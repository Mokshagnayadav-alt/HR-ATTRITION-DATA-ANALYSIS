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HR_Data_Analysis\data\"/>
    </mc:Choice>
  </mc:AlternateContent>
  <xr:revisionPtr revIDLastSave="0" documentId="13_ncr:1_{2A93191E-BB0E-4D6A-B935-E117DC8259B8}" xr6:coauthVersionLast="47" xr6:coauthVersionMax="47" xr10:uidLastSave="{00000000-0000-0000-0000-000000000000}"/>
  <bookViews>
    <workbookView xWindow="-110" yWindow="-110" windowWidth="19420" windowHeight="10300" activeTab="2" xr2:uid="{E010C7DA-D0A1-43BC-AEA0-ABD32119E0E7}"/>
  </bookViews>
  <sheets>
    <sheet name="HR-Employee-Attrition" sheetId="1" r:id="rId1"/>
    <sheet name="Analysis" sheetId="6" r:id="rId2"/>
    <sheet name="Dashboard" sheetId="5" r:id="rId3"/>
  </sheets>
  <definedNames>
    <definedName name="_xlnm._FilterDatabase" localSheetId="1" hidden="1">Analysis!$A$11:$D$14</definedName>
    <definedName name="_xlnm._FilterDatabase" localSheetId="0" hidden="1">'HR-Employee-Attrition'!$B$1:$AH$1471</definedName>
    <definedName name="_xlcn.WorksheetConnection_HREmployeeAttritionCleaned.xlsxTable31" hidden="1">Table3[]</definedName>
    <definedName name="Slicer_Gender">#N/A</definedName>
    <definedName name="Slicer_MaritalStatus">#N/A</definedName>
    <definedName name="Slicer_OverTime">#N/A</definedName>
    <definedName name="Slicer_SalaryBand">#N/A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HR-Employee-Attrition(Cleaned).xlsx!Table3"/>
        </x15:modelTables>
      </x15:dataModel>
    </ext>
  </extLst>
</workbook>
</file>

<file path=xl/calcChain.xml><?xml version="1.0" encoding="utf-8"?>
<calcChain xmlns="http://schemas.openxmlformats.org/spreadsheetml/2006/main">
  <c r="D6" i="6" l="1"/>
  <c r="C6" i="6"/>
  <c r="D4" i="6"/>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D14" i="6"/>
  <c r="D13" i="6"/>
  <c r="D12" i="6"/>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2" i="1"/>
  <c r="B6" i="6"/>
  <c r="A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61E518-5ABB-465A-8E5A-378961271A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EF150C-F57A-478C-BDC5-7223BA87EDE0}" name="WorksheetConnection_HR-Employee-Attrition(Cleaned).xlsx!Table3" type="102" refreshedVersion="8" minRefreshableVersion="5">
    <extLst>
      <ext xmlns:x15="http://schemas.microsoft.com/office/spreadsheetml/2010/11/main" uri="{DE250136-89BD-433C-8126-D09CA5730AF9}">
        <x15:connection id="Table3" autoDelete="1">
          <x15:rangePr sourceName="_xlcn.WorksheetConnection_HREmployeeAttritionCleaned.xlsxTable31"/>
        </x15:connection>
      </ext>
    </extLst>
  </connection>
</connections>
</file>

<file path=xl/sharedStrings.xml><?xml version="1.0" encoding="utf-8"?>
<sst xmlns="http://schemas.openxmlformats.org/spreadsheetml/2006/main" count="22100" uniqueCount="90">
  <si>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</si>
  <si>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</si>
  <si>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</si>
  <si>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</si>
  <si>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</si>
  <si>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</si>
  <si>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</si>
  <si>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</si>
  <si>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</si>
  <si>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</si>
  <si>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</si>
  <si>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</si>
  <si>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</si>
  <si>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</si>
  <si>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</si>
  <si>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</si>
  <si>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</si>
  <si>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</si>
  <si>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</si>
  <si>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</si>
  <si>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</si>
  <si>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</si>
  <si>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</si>
  <si>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</si>
  <si>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</si>
  <si>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</si>
  <si>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</si>
  <si>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</si>
  <si>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</si>
  <si>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</si>
  <si>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</si>
  <si>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</si>
  <si>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</si>
  <si>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</si>
  <si>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</si>
  <si>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</si>
  <si>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</si>
  <si>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</si>
  <si>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</si>
  <si>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</si>
  <si>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</si>
  <si>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</si>
  <si>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</si>
  <si>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</si>
  <si>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</si>
  <si>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</si>
  <si>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</si>
  <si>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</si>
  <si>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</si>
  <si>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</si>
  <si>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</si>
  <si>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</si>
  <si>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</si>
  <si>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</si>
  <si>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</si>
  <si>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</si>
  <si>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</si>
  <si>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index</t>
  </si>
  <si>
    <t>Good</t>
  </si>
  <si>
    <t>Low</t>
  </si>
  <si>
    <t>High</t>
  </si>
  <si>
    <t>Medium</t>
  </si>
  <si>
    <t>Excellent</t>
  </si>
  <si>
    <t>Age Groups</t>
  </si>
  <si>
    <t>SalaryBand</t>
  </si>
  <si>
    <t>Row Labels</t>
  </si>
  <si>
    <t>Tenture</t>
  </si>
  <si>
    <t>Attrition Rate by Department</t>
  </si>
  <si>
    <t>Total Employees</t>
  </si>
  <si>
    <t>Attrition Count</t>
  </si>
  <si>
    <t>Attrition Rate</t>
  </si>
  <si>
    <t>Overtime Impact on Attrition</t>
  </si>
  <si>
    <t>Employees</t>
  </si>
  <si>
    <t>Over Time</t>
  </si>
  <si>
    <t>Tenure vs Attrition</t>
  </si>
  <si>
    <t>0-2 Years</t>
  </si>
  <si>
    <t>10+ Years</t>
  </si>
  <si>
    <t>3-5 Years</t>
  </si>
  <si>
    <t>6-10 Years</t>
  </si>
  <si>
    <t>Employess</t>
  </si>
  <si>
    <t>Salary Band vs Attrition</t>
  </si>
  <si>
    <t>Job Satisfaction vs Attrition</t>
  </si>
  <si>
    <t>Work-Life Balance vs Attrition</t>
  </si>
  <si>
    <t>Job Satisfaction</t>
  </si>
  <si>
    <t>YearsSinceLastPromotion2</t>
  </si>
  <si>
    <t>Jobe Role</t>
  </si>
  <si>
    <t>Job Role vs Department</t>
  </si>
  <si>
    <t>Sum of MonthlyIncome</t>
  </si>
  <si>
    <t>Average of MonthlyIncome</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</si>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</sst>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 &quot;KM&quot;"/>
    <numFmt numFmtId="165" formatCode="0&quot;%&quot;"/>
    <numFmt numFmtId="166" formatCode="_ [$₹-4009]\ * #,##0_ ;_ [$₹-4009]\ * \-#,##0_ ;_ [$₹-4009]\ * &quot;-&quot;??_ ;_ @_ "/>
    <numFmt numFmtId="167"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2"/>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0099FF"/>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64" fontId="0" fillId="0" borderId="0" xfId="0" applyNumberFormat="1"/>
    <xf numFmtId="165" fontId="0" fillId="0" borderId="0" xfId="0" applyNumberFormat="1"/>
    <xf numFmtId="166" fontId="0" fillId="0" borderId="0" xfId="0" applyNumberFormat="1"/>
    <xf numFmtId="2" fontId="0" fillId="0" borderId="0" xfId="0" applyNumberFormat="1"/>
    <xf numFmtId="0" fontId="16" fillId="0" borderId="0" xfId="0" applyFont="1"/>
    <xf numFmtId="166" fontId="16" fillId="0" borderId="0" xfId="0" applyNumberFormat="1" applyFont="1"/>
    <xf numFmtId="164" fontId="16" fillId="0" borderId="0" xfId="0" applyNumberFormat="1" applyFont="1"/>
    <xf numFmtId="165" fontId="16" fillId="0" borderId="0" xfId="0" applyNumberFormat="1" applyFont="1"/>
    <xf numFmtId="0" fontId="0" fillId="0" borderId="0" xfId="0" pivotButton="1"/>
    <xf numFmtId="0" fontId="0" fillId="0" borderId="0" xfId="0" applyAlignment="1">
      <alignment horizontal="left"/>
    </xf>
    <xf numFmtId="0" fontId="16" fillId="34" borderId="10" xfId="0" applyFont="1" applyFill="1" applyBorder="1"/>
    <xf numFmtId="0" fontId="16" fillId="34" borderId="0" xfId="0" applyFont="1" applyFill="1"/>
    <xf numFmtId="167" fontId="0" fillId="0" borderId="0" xfId="42" applyNumberFormat="1" applyFont="1"/>
    <xf numFmtId="0" fontId="0" fillId="35" borderId="0" xfId="0" applyFill="1"/>
    <xf numFmtId="9" fontId="0" fillId="0" borderId="0" xfId="42" applyFont="1"/>
    <xf numFmtId="0" fontId="16" fillId="36" borderId="0" xfId="0" applyFont="1" applyFill="1"/>
    <xf numFmtId="0" fontId="19"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165" formatCode="0&quot;%&quot;"/>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4" formatCode="0\ &quot;KM&quot;"/>
    </dxf>
    <dxf>
      <numFmt numFmtId="166" formatCode="_ [$₹-4009]\ * #,##0_ ;_ [$₹-4009]\ * \-#,##0_ ;_ [$₹-4009]\ * &quot;-&quot;??_ ;_ @_ "/>
    </dxf>
    <dxf>
      <font>
        <b/>
        <i val="0"/>
        <strike val="0"/>
        <condense val="0"/>
        <extend val="0"/>
        <outline val="0"/>
        <shadow val="0"/>
        <u val="none"/>
        <vertAlign val="baseline"/>
        <sz val="11"/>
        <color theme="1"/>
        <name val="Calibri"/>
        <family val="2"/>
        <scheme val="minor"/>
      </font>
    </dxf>
    <dxf>
      <font>
        <color rgb="FFF8FAFC"/>
        <name val="Segoe UI Semibold"/>
        <family val="2"/>
        <scheme val="none"/>
      </font>
      <fill>
        <patternFill>
          <bgColor rgb="FF1E293B"/>
        </patternFill>
      </fill>
      <border>
        <left style="medium">
          <color auto="1"/>
        </left>
        <right style="medium">
          <color auto="1"/>
        </right>
        <top style="medium">
          <color auto="1"/>
        </top>
        <bottom style="medium">
          <color auto="1"/>
        </bottom>
      </border>
    </dxf>
    <dxf>
      <fill>
        <patternFill>
          <bgColor rgb="FF0F172A"/>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839CA0D7-E50C-400B-B3D1-72EE9ED8B4BD}">
      <tableStyleElement type="wholeTable" dxfId="11"/>
      <tableStyleElement type="headerRow" dxfId="10"/>
    </tableStyle>
  </tableStyles>
  <colors>
    <mruColors>
      <color rgb="FF334155"/>
      <color rgb="FF1F3A5F"/>
      <color rgb="FF362033"/>
      <color rgb="FFF8FAFC"/>
      <color rgb="FF1E293B"/>
      <color rgb="FF0F172A"/>
      <color rgb="FFDBEAFE"/>
      <color rgb="FF1E3A8A"/>
      <color rgb="FFFFFFFF"/>
      <color rgb="FFCBD5E1"/>
    </mruColors>
  </colors>
  <extLst>
    <ext xmlns:x14="http://schemas.microsoft.com/office/spreadsheetml/2009/9/main" uri="{46F421CA-312F-682f-3DD2-61675219B42D}">
      <x14:dxfs count="3">
        <dxf>
          <font>
            <color rgb="FF1E3A8A"/>
          </font>
          <fill>
            <patternFill>
              <bgColor rgb="FFDBEAFE"/>
            </patternFill>
          </fill>
        </dxf>
        <dxf>
          <font>
            <color rgb="FFFFFFFF"/>
          </font>
          <fill>
            <patternFill>
              <bgColor rgb="FF2563EB"/>
            </patternFill>
          </fill>
          <border>
            <left style="thin">
              <color auto="1"/>
            </left>
            <right style="thin">
              <color auto="1"/>
            </right>
            <top style="thin">
              <color auto="1"/>
            </top>
            <bottom style="thin">
              <color auto="1"/>
            </bottom>
          </border>
        </dxf>
        <dxf>
          <font>
            <color rgb="FF334155"/>
          </font>
          <fill>
            <patternFill>
              <bgColor rgb="FFFFFFFF"/>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Analysis!$B$97</c:f>
              <c:strCache>
                <c:ptCount val="1"/>
                <c:pt idx="0">
                  <c:v>Sum of MonthlyIncome</c:v>
                </c:pt>
              </c:strCache>
            </c:strRef>
          </c:tx>
          <c:spPr>
            <a:ln w="19050" cap="rnd">
              <a:noFill/>
              <a:round/>
            </a:ln>
            <a:effectLst/>
          </c:spPr>
          <c:marker>
            <c:symbol val="circle"/>
            <c:size val="5"/>
            <c:spPr>
              <a:solidFill>
                <a:schemeClr val="accent1"/>
              </a:solidFill>
              <a:ln w="9525">
                <a:solidFill>
                  <a:schemeClr val="accent1"/>
                </a:solidFill>
              </a:ln>
              <a:effectLst/>
            </c:spPr>
          </c:marker>
          <c:xVal>
            <c:numRef>
              <c:f>Analysis!$A$98:$A$134</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xVal>
          <c:yVal>
            <c:numRef>
              <c:f>Analysis!$B$98:$B$134</c:f>
              <c:numCache>
                <c:formatCode>General</c:formatCode>
                <c:ptCount val="37"/>
                <c:pt idx="0">
                  <c:v>180994</c:v>
                </c:pt>
                <c:pt idx="1">
                  <c:v>800503</c:v>
                </c:pt>
                <c:pt idx="2">
                  <c:v>629096</c:v>
                </c:pt>
                <c:pt idx="3">
                  <c:v>650112</c:v>
                </c:pt>
                <c:pt idx="4">
                  <c:v>562086</c:v>
                </c:pt>
                <c:pt idx="5">
                  <c:v>1116165</c:v>
                </c:pt>
                <c:pt idx="6">
                  <c:v>419828</c:v>
                </c:pt>
                <c:pt idx="7">
                  <c:v>607079</c:v>
                </c:pt>
                <c:pt idx="8">
                  <c:v>513210</c:v>
                </c:pt>
                <c:pt idx="9">
                  <c:v>590613</c:v>
                </c:pt>
                <c:pt idx="10">
                  <c:v>811452</c:v>
                </c:pt>
                <c:pt idx="11">
                  <c:v>205943</c:v>
                </c:pt>
                <c:pt idx="12">
                  <c:v>121452</c:v>
                </c:pt>
                <c:pt idx="13">
                  <c:v>192400</c:v>
                </c:pt>
                <c:pt idx="14">
                  <c:v>176073</c:v>
                </c:pt>
                <c:pt idx="15">
                  <c:v>138844</c:v>
                </c:pt>
                <c:pt idx="16">
                  <c:v>115472</c:v>
                </c:pt>
                <c:pt idx="17">
                  <c:v>74182</c:v>
                </c:pt>
                <c:pt idx="18">
                  <c:v>135980</c:v>
                </c:pt>
                <c:pt idx="19">
                  <c:v>133299</c:v>
                </c:pt>
                <c:pt idx="20">
                  <c:v>328000</c:v>
                </c:pt>
                <c:pt idx="21">
                  <c:v>222309</c:v>
                </c:pt>
                <c:pt idx="22">
                  <c:v>242928</c:v>
                </c:pt>
                <c:pt idx="23">
                  <c:v>23684</c:v>
                </c:pt>
                <c:pt idx="24">
                  <c:v>90841</c:v>
                </c:pt>
                <c:pt idx="25">
                  <c:v>65912</c:v>
                </c:pt>
                <c:pt idx="26">
                  <c:v>58770</c:v>
                </c:pt>
                <c:pt idx="27">
                  <c:v>35786</c:v>
                </c:pt>
                <c:pt idx="28">
                  <c:v>39413</c:v>
                </c:pt>
                <c:pt idx="29">
                  <c:v>11245</c:v>
                </c:pt>
                <c:pt idx="30">
                  <c:v>56672</c:v>
                </c:pt>
                <c:pt idx="31">
                  <c:v>52456</c:v>
                </c:pt>
                <c:pt idx="32">
                  <c:v>76839</c:v>
                </c:pt>
                <c:pt idx="33">
                  <c:v>16856</c:v>
                </c:pt>
                <c:pt idx="34">
                  <c:v>38631</c:v>
                </c:pt>
                <c:pt idx="35">
                  <c:v>13872</c:v>
                </c:pt>
                <c:pt idx="36">
                  <c:v>10312</c:v>
                </c:pt>
              </c:numCache>
            </c:numRef>
          </c:yVal>
          <c:smooth val="0"/>
          <c:extLst>
            <c:ext xmlns:c16="http://schemas.microsoft.com/office/drawing/2014/chart" uri="{C3380CC4-5D6E-409C-BE32-E72D297353CC}">
              <c16:uniqueId val="{00000000-415D-4AA7-9E8B-F75F9EF32802}"/>
            </c:ext>
          </c:extLst>
        </c:ser>
        <c:dLbls>
          <c:showLegendKey val="0"/>
          <c:showVal val="0"/>
          <c:showCatName val="0"/>
          <c:showSerName val="0"/>
          <c:showPercent val="0"/>
          <c:showBubbleSize val="0"/>
        </c:dLbls>
        <c:axId val="1207777951"/>
        <c:axId val="1207780831"/>
      </c:scatterChart>
      <c:valAx>
        <c:axId val="120777795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80831"/>
        <c:crosses val="autoZero"/>
        <c:crossBetween val="midCat"/>
      </c:valAx>
      <c:valAx>
        <c:axId val="120778083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77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Analysis!$B$10:$B$11</c:f>
              <c:strCache>
                <c:ptCount val="2"/>
                <c:pt idx="0">
                  <c:v>Attrition Rate by Department</c:v>
                </c:pt>
                <c:pt idx="1">
                  <c:v>Total Employees</c:v>
                </c:pt>
              </c:strCache>
            </c:strRef>
          </c:tx>
          <c:spPr>
            <a:solidFill>
              <a:schemeClr val="accent1"/>
            </a:solidFill>
            <a:ln>
              <a:noFill/>
            </a:ln>
            <a:effectLst/>
          </c:spPr>
          <c:invertIfNegative val="0"/>
          <c:cat>
            <c:strRef>
              <c:f>Analysis!$A$12:$A$14</c:f>
              <c:strCache>
                <c:ptCount val="3"/>
                <c:pt idx="0">
                  <c:v>Human Resources</c:v>
                </c:pt>
                <c:pt idx="1">
                  <c:v>Research &amp; Development</c:v>
                </c:pt>
                <c:pt idx="2">
                  <c:v>Sales</c:v>
                </c:pt>
              </c:strCache>
            </c:strRef>
          </c:cat>
          <c:val>
            <c:numRef>
              <c:f>Analysis!$B$12:$B$14</c:f>
              <c:numCache>
                <c:formatCode>General</c:formatCode>
                <c:ptCount val="3"/>
                <c:pt idx="0">
                  <c:v>63</c:v>
                </c:pt>
                <c:pt idx="1">
                  <c:v>961</c:v>
                </c:pt>
                <c:pt idx="2">
                  <c:v>446</c:v>
                </c:pt>
              </c:numCache>
            </c:numRef>
          </c:val>
          <c:extLst>
            <c:ext xmlns:c16="http://schemas.microsoft.com/office/drawing/2014/chart" uri="{C3380CC4-5D6E-409C-BE32-E72D297353CC}">
              <c16:uniqueId val="{00000000-B5D2-4856-97C5-2E62A2A8B96E}"/>
            </c:ext>
          </c:extLst>
        </c:ser>
        <c:ser>
          <c:idx val="1"/>
          <c:order val="1"/>
          <c:tx>
            <c:strRef>
              <c:f>Analysis!$C$10:$C$11</c:f>
              <c:strCache>
                <c:ptCount val="2"/>
                <c:pt idx="0">
                  <c:v>Attrition Rate by Department</c:v>
                </c:pt>
                <c:pt idx="1">
                  <c:v>Attrition Count</c:v>
                </c:pt>
              </c:strCache>
            </c:strRef>
          </c:tx>
          <c:spPr>
            <a:solidFill>
              <a:schemeClr val="accent2"/>
            </a:solidFill>
            <a:ln>
              <a:noFill/>
            </a:ln>
            <a:effectLst/>
          </c:spPr>
          <c:invertIfNegative val="0"/>
          <c:cat>
            <c:strRef>
              <c:f>Analysis!$A$12:$A$14</c:f>
              <c:strCache>
                <c:ptCount val="3"/>
                <c:pt idx="0">
                  <c:v>Human Resources</c:v>
                </c:pt>
                <c:pt idx="1">
                  <c:v>Research &amp; Development</c:v>
                </c:pt>
                <c:pt idx="2">
                  <c:v>Sales</c:v>
                </c:pt>
              </c:strCache>
            </c:strRef>
          </c:cat>
          <c:val>
            <c:numRef>
              <c:f>Analysis!$C$12:$C$14</c:f>
              <c:numCache>
                <c:formatCode>General</c:formatCode>
                <c:ptCount val="3"/>
                <c:pt idx="0">
                  <c:v>12</c:v>
                </c:pt>
                <c:pt idx="1">
                  <c:v>133</c:v>
                </c:pt>
                <c:pt idx="2">
                  <c:v>92</c:v>
                </c:pt>
              </c:numCache>
            </c:numRef>
          </c:val>
          <c:extLst>
            <c:ext xmlns:c16="http://schemas.microsoft.com/office/drawing/2014/chart" uri="{C3380CC4-5D6E-409C-BE32-E72D297353CC}">
              <c16:uniqueId val="{00000001-B5D2-4856-97C5-2E62A2A8B96E}"/>
            </c:ext>
          </c:extLst>
        </c:ser>
        <c:ser>
          <c:idx val="2"/>
          <c:order val="2"/>
          <c:tx>
            <c:strRef>
              <c:f>Analysis!$D$10:$D$11</c:f>
              <c:strCache>
                <c:ptCount val="2"/>
                <c:pt idx="0">
                  <c:v>Attrition Rate by Department</c:v>
                </c:pt>
                <c:pt idx="1">
                  <c:v>Attrition Rate</c:v>
                </c:pt>
              </c:strCache>
            </c:strRef>
          </c:tx>
          <c:spPr>
            <a:solidFill>
              <a:schemeClr val="accent3"/>
            </a:solidFill>
            <a:ln>
              <a:noFill/>
            </a:ln>
            <a:effectLst/>
          </c:spPr>
          <c:invertIfNegative val="0"/>
          <c:cat>
            <c:strRef>
              <c:f>Analysis!$A$12:$A$14</c:f>
              <c:strCache>
                <c:ptCount val="3"/>
                <c:pt idx="0">
                  <c:v>Human Resources</c:v>
                </c:pt>
                <c:pt idx="1">
                  <c:v>Research &amp; Development</c:v>
                </c:pt>
                <c:pt idx="2">
                  <c:v>Sales</c:v>
                </c:pt>
              </c:strCache>
            </c:strRef>
          </c:cat>
          <c:val>
            <c:numRef>
              <c:f>Analysis!$D$12:$D$14</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B5D2-4856-97C5-2E62A2A8B96E}"/>
            </c:ext>
          </c:extLst>
        </c:ser>
        <c:dLbls>
          <c:showLegendKey val="0"/>
          <c:showVal val="0"/>
          <c:showCatName val="0"/>
          <c:showSerName val="0"/>
          <c:showPercent val="0"/>
          <c:showBubbleSize val="0"/>
        </c:dLbls>
        <c:gapWidth val="182"/>
        <c:axId val="702880463"/>
        <c:axId val="702873743"/>
      </c:barChart>
      <c:catAx>
        <c:axId val="70288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873743"/>
        <c:crosses val="autoZero"/>
        <c:auto val="1"/>
        <c:lblAlgn val="ctr"/>
        <c:lblOffset val="100"/>
        <c:noMultiLvlLbl val="0"/>
      </c:catAx>
      <c:valAx>
        <c:axId val="702873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880463"/>
        <c:crosses val="autoZero"/>
        <c:crossBetween val="between"/>
      </c:valAx>
      <c:spPr>
        <a:noFill/>
        <a:ln>
          <a:noFill/>
        </a:ln>
        <a:effectLst/>
      </c:spPr>
    </c:plotArea>
    <c:legend>
      <c:legendPos val="b"/>
      <c:layout>
        <c:manualLayout>
          <c:xMode val="edge"/>
          <c:yMode val="edge"/>
          <c:x val="1.4746500437445319E-2"/>
          <c:y val="0.77256780402449698"/>
          <c:w val="0.96495144356955376"/>
          <c:h val="0.2042840478273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Analysis!$B$22:$B$23</c:f>
              <c:strCache>
                <c:ptCount val="1"/>
                <c:pt idx="0">
                  <c:v>No</c:v>
                </c:pt>
              </c:strCache>
            </c:strRef>
          </c:tx>
          <c:spPr>
            <a:solidFill>
              <a:schemeClr val="accent1"/>
            </a:solidFill>
            <a:ln>
              <a:noFill/>
            </a:ln>
            <a:effectLst/>
          </c:spPr>
          <c:invertIfNegative val="0"/>
          <c:cat>
            <c:strRef>
              <c:f>Analysis!$A$24:$A$25</c:f>
              <c:strCache>
                <c:ptCount val="2"/>
                <c:pt idx="0">
                  <c:v>No</c:v>
                </c:pt>
                <c:pt idx="1">
                  <c:v>Yes</c:v>
                </c:pt>
              </c:strCache>
            </c:strRef>
          </c:cat>
          <c:val>
            <c:numRef>
              <c:f>Analysis!$B$24:$B$25</c:f>
              <c:numCache>
                <c:formatCode>General</c:formatCode>
                <c:ptCount val="2"/>
                <c:pt idx="0">
                  <c:v>944</c:v>
                </c:pt>
                <c:pt idx="1">
                  <c:v>289</c:v>
                </c:pt>
              </c:numCache>
            </c:numRef>
          </c:val>
          <c:extLst>
            <c:ext xmlns:c16="http://schemas.microsoft.com/office/drawing/2014/chart" uri="{C3380CC4-5D6E-409C-BE32-E72D297353CC}">
              <c16:uniqueId val="{00000000-AAEF-4D91-9460-16E35FEE574C}"/>
            </c:ext>
          </c:extLst>
        </c:ser>
        <c:ser>
          <c:idx val="1"/>
          <c:order val="1"/>
          <c:tx>
            <c:strRef>
              <c:f>Analysis!$C$22:$C$23</c:f>
              <c:strCache>
                <c:ptCount val="1"/>
                <c:pt idx="0">
                  <c:v>Yes</c:v>
                </c:pt>
              </c:strCache>
            </c:strRef>
          </c:tx>
          <c:spPr>
            <a:solidFill>
              <a:schemeClr val="accent2"/>
            </a:solidFill>
            <a:ln>
              <a:noFill/>
            </a:ln>
            <a:effectLst/>
          </c:spPr>
          <c:invertIfNegative val="0"/>
          <c:cat>
            <c:strRef>
              <c:f>Analysis!$A$24:$A$25</c:f>
              <c:strCache>
                <c:ptCount val="2"/>
                <c:pt idx="0">
                  <c:v>No</c:v>
                </c:pt>
                <c:pt idx="1">
                  <c:v>Yes</c:v>
                </c:pt>
              </c:strCache>
            </c:strRef>
          </c:cat>
          <c:val>
            <c:numRef>
              <c:f>Analysis!$C$24:$C$25</c:f>
              <c:numCache>
                <c:formatCode>General</c:formatCode>
                <c:ptCount val="2"/>
                <c:pt idx="0">
                  <c:v>110</c:v>
                </c:pt>
                <c:pt idx="1">
                  <c:v>127</c:v>
                </c:pt>
              </c:numCache>
            </c:numRef>
          </c:val>
          <c:extLst>
            <c:ext xmlns:c16="http://schemas.microsoft.com/office/drawing/2014/chart" uri="{C3380CC4-5D6E-409C-BE32-E72D297353CC}">
              <c16:uniqueId val="{00000001-AAEF-4D91-9460-16E35FEE574C}"/>
            </c:ext>
          </c:extLst>
        </c:ser>
        <c:dLbls>
          <c:showLegendKey val="0"/>
          <c:showVal val="0"/>
          <c:showCatName val="0"/>
          <c:showSerName val="0"/>
          <c:showPercent val="0"/>
          <c:showBubbleSize val="0"/>
        </c:dLbls>
        <c:gapWidth val="219"/>
        <c:overlap val="-27"/>
        <c:axId val="702924623"/>
        <c:axId val="702927503"/>
      </c:barChart>
      <c:catAx>
        <c:axId val="702924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27503"/>
        <c:crosses val="autoZero"/>
        <c:auto val="1"/>
        <c:lblAlgn val="ctr"/>
        <c:lblOffset val="100"/>
        <c:noMultiLvlLbl val="0"/>
      </c:catAx>
      <c:valAx>
        <c:axId val="702927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2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[HR-Employee-Attrition(Cleaned).xlsx]Analysis!PivotTable5</c:name>
    <c:fmtId val="0"/>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Analysis!$B$32:$B$33</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Analysis!$A$34:$A$37</c:f>
              <c:strCache>
                <c:ptCount val="4"/>
                <c:pt idx="0">
                  <c:v>0-2 Years</c:v>
                </c:pt>
                <c:pt idx="1">
                  <c:v>10+ Years</c:v>
                </c:pt>
                <c:pt idx="2">
                  <c:v>3-5 Years</c:v>
                </c:pt>
                <c:pt idx="3">
                  <c:v>6-10 Years</c:v>
                </c:pt>
              </c:strCache>
            </c:strRef>
          </c:cat>
          <c:val>
            <c:numRef>
              <c:f>Analysis!$B$34:$B$37</c:f>
              <c:numCache>
                <c:formatCode>General</c:formatCode>
                <c:ptCount val="4"/>
                <c:pt idx="0">
                  <c:v>240</c:v>
                </c:pt>
                <c:pt idx="1">
                  <c:v>226</c:v>
                </c:pt>
                <c:pt idx="2">
                  <c:v>374</c:v>
                </c:pt>
                <c:pt idx="3">
                  <c:v>393</c:v>
                </c:pt>
              </c:numCache>
            </c:numRef>
          </c:val>
          <c:smooth val="0"/>
          <c:extLst>
            <c:ext xmlns:c16="http://schemas.microsoft.com/office/drawing/2014/chart" uri="{C3380CC4-5D6E-409C-BE32-E72D297353CC}">
              <c16:uniqueId val="{00000000-1367-4487-9022-40E8DEBD95E3}"/>
            </c:ext>
          </c:extLst>
        </c:ser>
        <c:ser>
          <c:idx val="1"/>
          <c:order val="1"/>
          <c:tx>
            <c:strRef>
              <c:f>Analysis!$C$32:$C$33</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Analysis!$A$34:$A$37</c:f>
              <c:strCache>
                <c:ptCount val="4"/>
                <c:pt idx="0">
                  <c:v>0-2 Years</c:v>
                </c:pt>
                <c:pt idx="1">
                  <c:v>10+ Years</c:v>
                </c:pt>
                <c:pt idx="2">
                  <c:v>3-5 Years</c:v>
                </c:pt>
                <c:pt idx="3">
                  <c:v>6-10 Years</c:v>
                </c:pt>
              </c:strCache>
            </c:strRef>
          </c:cat>
          <c:val>
            <c:numRef>
              <c:f>Analysis!$C$34:$C$37</c:f>
              <c:numCache>
                <c:formatCode>General</c:formatCode>
                <c:ptCount val="4"/>
                <c:pt idx="0">
                  <c:v>102</c:v>
                </c:pt>
                <c:pt idx="1">
                  <c:v>20</c:v>
                </c:pt>
                <c:pt idx="2">
                  <c:v>60</c:v>
                </c:pt>
                <c:pt idx="3">
                  <c:v>55</c:v>
                </c:pt>
              </c:numCache>
            </c:numRef>
          </c:val>
          <c:smooth val="0"/>
          <c:extLst>
            <c:ext xmlns:c16="http://schemas.microsoft.com/office/drawing/2014/chart" uri="{C3380CC4-5D6E-409C-BE32-E72D297353CC}">
              <c16:uniqueId val="{00000001-1367-4487-9022-40E8DEBD95E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02891023"/>
        <c:axId val="702886703"/>
      </c:lineChart>
      <c:catAx>
        <c:axId val="7028910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2886703"/>
        <c:crosses val="autoZero"/>
        <c:auto val="1"/>
        <c:lblAlgn val="ctr"/>
        <c:lblOffset val="100"/>
        <c:noMultiLvlLbl val="0"/>
      </c:catAx>
      <c:valAx>
        <c:axId val="70288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289102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Analysis!$B$45:$B$46</c:f>
              <c:strCache>
                <c:ptCount val="1"/>
                <c:pt idx="0">
                  <c:v>No</c:v>
                </c:pt>
              </c:strCache>
            </c:strRef>
          </c:tx>
          <c:spPr>
            <a:solidFill>
              <a:schemeClr val="accent1"/>
            </a:solidFill>
            <a:ln>
              <a:noFill/>
            </a:ln>
            <a:effectLst/>
          </c:spPr>
          <c:invertIfNegative val="0"/>
          <c:cat>
            <c:strRef>
              <c:f>Analysis!$A$47:$A$49</c:f>
              <c:strCache>
                <c:ptCount val="3"/>
                <c:pt idx="0">
                  <c:v>High</c:v>
                </c:pt>
                <c:pt idx="1">
                  <c:v>Low</c:v>
                </c:pt>
                <c:pt idx="2">
                  <c:v>Medium</c:v>
                </c:pt>
              </c:strCache>
            </c:strRef>
          </c:cat>
          <c:val>
            <c:numRef>
              <c:f>Analysis!$B$47:$B$49</c:f>
              <c:numCache>
                <c:formatCode>General</c:formatCode>
                <c:ptCount val="3"/>
                <c:pt idx="0">
                  <c:v>256</c:v>
                </c:pt>
                <c:pt idx="1">
                  <c:v>586</c:v>
                </c:pt>
                <c:pt idx="2">
                  <c:v>391</c:v>
                </c:pt>
              </c:numCache>
            </c:numRef>
          </c:val>
          <c:extLst>
            <c:ext xmlns:c16="http://schemas.microsoft.com/office/drawing/2014/chart" uri="{C3380CC4-5D6E-409C-BE32-E72D297353CC}">
              <c16:uniqueId val="{00000000-7D6F-4E14-98F8-9C79F4800E83}"/>
            </c:ext>
          </c:extLst>
        </c:ser>
        <c:ser>
          <c:idx val="1"/>
          <c:order val="1"/>
          <c:tx>
            <c:strRef>
              <c:f>Analysis!$C$45:$C$46</c:f>
              <c:strCache>
                <c:ptCount val="1"/>
                <c:pt idx="0">
                  <c:v>Yes</c:v>
                </c:pt>
              </c:strCache>
            </c:strRef>
          </c:tx>
          <c:spPr>
            <a:solidFill>
              <a:schemeClr val="accent2"/>
            </a:solidFill>
            <a:ln>
              <a:noFill/>
            </a:ln>
            <a:effectLst/>
          </c:spPr>
          <c:invertIfNegative val="0"/>
          <c:cat>
            <c:strRef>
              <c:f>Analysis!$A$47:$A$49</c:f>
              <c:strCache>
                <c:ptCount val="3"/>
                <c:pt idx="0">
                  <c:v>High</c:v>
                </c:pt>
                <c:pt idx="1">
                  <c:v>Low</c:v>
                </c:pt>
                <c:pt idx="2">
                  <c:v>Medium</c:v>
                </c:pt>
              </c:strCache>
            </c:strRef>
          </c:cat>
          <c:val>
            <c:numRef>
              <c:f>Analysis!$C$47:$C$49</c:f>
              <c:numCache>
                <c:formatCode>General</c:formatCode>
                <c:ptCount val="3"/>
                <c:pt idx="0">
                  <c:v>25</c:v>
                </c:pt>
                <c:pt idx="1">
                  <c:v>163</c:v>
                </c:pt>
                <c:pt idx="2">
                  <c:v>49</c:v>
                </c:pt>
              </c:numCache>
            </c:numRef>
          </c:val>
          <c:extLst>
            <c:ext xmlns:c16="http://schemas.microsoft.com/office/drawing/2014/chart" uri="{C3380CC4-5D6E-409C-BE32-E72D297353CC}">
              <c16:uniqueId val="{00000001-7D6F-4E14-98F8-9C79F4800E83}"/>
            </c:ext>
          </c:extLst>
        </c:ser>
        <c:dLbls>
          <c:showLegendKey val="0"/>
          <c:showVal val="0"/>
          <c:showCatName val="0"/>
          <c:showSerName val="0"/>
          <c:showPercent val="0"/>
          <c:showBubbleSize val="0"/>
        </c:dLbls>
        <c:gapWidth val="219"/>
        <c:overlap val="-27"/>
        <c:axId val="1966883055"/>
        <c:axId val="1966878735"/>
      </c:barChart>
      <c:catAx>
        <c:axId val="196688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78735"/>
        <c:crosses val="autoZero"/>
        <c:auto val="1"/>
        <c:lblAlgn val="ctr"/>
        <c:lblOffset val="100"/>
        <c:noMultiLvlLbl val="0"/>
      </c:catAx>
      <c:valAx>
        <c:axId val="196687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Analysis!$B$56:$B$57</c:f>
              <c:strCache>
                <c:ptCount val="1"/>
                <c:pt idx="0">
                  <c:v>No</c:v>
                </c:pt>
              </c:strCache>
            </c:strRef>
          </c:tx>
          <c:spPr>
            <a:solidFill>
              <a:schemeClr val="accent1"/>
            </a:solidFill>
            <a:ln>
              <a:noFill/>
            </a:ln>
            <a:effectLst/>
          </c:spPr>
          <c:invertIfNegative val="0"/>
          <c:cat>
            <c:strRef>
              <c:f>Analysis!$A$58:$A$61</c:f>
              <c:strCache>
                <c:ptCount val="4"/>
                <c:pt idx="0">
                  <c:v>Excellent</c:v>
                </c:pt>
                <c:pt idx="1">
                  <c:v>High</c:v>
                </c:pt>
                <c:pt idx="2">
                  <c:v>Low</c:v>
                </c:pt>
                <c:pt idx="3">
                  <c:v>Medium</c:v>
                </c:pt>
              </c:strCache>
            </c:strRef>
          </c:cat>
          <c:val>
            <c:numRef>
              <c:f>Analysis!$B$58:$B$61</c:f>
              <c:numCache>
                <c:formatCode>General</c:formatCode>
                <c:ptCount val="4"/>
                <c:pt idx="0">
                  <c:v>407</c:v>
                </c:pt>
                <c:pt idx="1">
                  <c:v>369</c:v>
                </c:pt>
                <c:pt idx="2">
                  <c:v>223</c:v>
                </c:pt>
                <c:pt idx="3">
                  <c:v>234</c:v>
                </c:pt>
              </c:numCache>
            </c:numRef>
          </c:val>
          <c:extLst>
            <c:ext xmlns:c16="http://schemas.microsoft.com/office/drawing/2014/chart" uri="{C3380CC4-5D6E-409C-BE32-E72D297353CC}">
              <c16:uniqueId val="{00000000-FE36-4F96-BF02-6874B42C0ABE}"/>
            </c:ext>
          </c:extLst>
        </c:ser>
        <c:ser>
          <c:idx val="1"/>
          <c:order val="1"/>
          <c:tx>
            <c:strRef>
              <c:f>Analysis!$C$56:$C$57</c:f>
              <c:strCache>
                <c:ptCount val="1"/>
                <c:pt idx="0">
                  <c:v>Yes</c:v>
                </c:pt>
              </c:strCache>
            </c:strRef>
          </c:tx>
          <c:spPr>
            <a:solidFill>
              <a:schemeClr val="accent2"/>
            </a:solidFill>
            <a:ln>
              <a:noFill/>
            </a:ln>
            <a:effectLst/>
          </c:spPr>
          <c:invertIfNegative val="0"/>
          <c:cat>
            <c:strRef>
              <c:f>Analysis!$A$58:$A$61</c:f>
              <c:strCache>
                <c:ptCount val="4"/>
                <c:pt idx="0">
                  <c:v>Excellent</c:v>
                </c:pt>
                <c:pt idx="1">
                  <c:v>High</c:v>
                </c:pt>
                <c:pt idx="2">
                  <c:v>Low</c:v>
                </c:pt>
                <c:pt idx="3">
                  <c:v>Medium</c:v>
                </c:pt>
              </c:strCache>
            </c:strRef>
          </c:cat>
          <c:val>
            <c:numRef>
              <c:f>Analysis!$C$58:$C$61</c:f>
              <c:numCache>
                <c:formatCode>General</c:formatCode>
                <c:ptCount val="4"/>
                <c:pt idx="0">
                  <c:v>52</c:v>
                </c:pt>
                <c:pt idx="1">
                  <c:v>73</c:v>
                </c:pt>
                <c:pt idx="2">
                  <c:v>66</c:v>
                </c:pt>
                <c:pt idx="3">
                  <c:v>46</c:v>
                </c:pt>
              </c:numCache>
            </c:numRef>
          </c:val>
          <c:extLst>
            <c:ext xmlns:c16="http://schemas.microsoft.com/office/drawing/2014/chart" uri="{C3380CC4-5D6E-409C-BE32-E72D297353CC}">
              <c16:uniqueId val="{00000001-FE36-4F96-BF02-6874B42C0ABE}"/>
            </c:ext>
          </c:extLst>
        </c:ser>
        <c:dLbls>
          <c:showLegendKey val="0"/>
          <c:showVal val="0"/>
          <c:showCatName val="0"/>
          <c:showSerName val="0"/>
          <c:showPercent val="0"/>
          <c:showBubbleSize val="0"/>
        </c:dLbls>
        <c:gapWidth val="219"/>
        <c:overlap val="-27"/>
        <c:axId val="1966887855"/>
        <c:axId val="1966878255"/>
      </c:barChart>
      <c:catAx>
        <c:axId val="196688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78255"/>
        <c:crosses val="autoZero"/>
        <c:auto val="1"/>
        <c:lblAlgn val="ctr"/>
        <c:lblOffset val="100"/>
        <c:noMultiLvlLbl val="0"/>
      </c:catAx>
      <c:valAx>
        <c:axId val="196687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Analysis!$B$68:$B$69</c:f>
              <c:strCache>
                <c:ptCount val="1"/>
                <c:pt idx="0">
                  <c:v>No</c:v>
                </c:pt>
              </c:strCache>
            </c:strRef>
          </c:tx>
          <c:spPr>
            <a:solidFill>
              <a:schemeClr val="accent1"/>
            </a:solidFill>
            <a:ln>
              <a:noFill/>
            </a:ln>
            <a:effectLst/>
          </c:spPr>
          <c:cat>
            <c:strRef>
              <c:f>Analysis!$A$70:$A$73</c:f>
              <c:strCache>
                <c:ptCount val="4"/>
                <c:pt idx="0">
                  <c:v>1</c:v>
                </c:pt>
                <c:pt idx="1">
                  <c:v>2</c:v>
                </c:pt>
                <c:pt idx="2">
                  <c:v>3</c:v>
                </c:pt>
                <c:pt idx="3">
                  <c:v>4</c:v>
                </c:pt>
              </c:strCache>
            </c:strRef>
          </c:cat>
          <c:val>
            <c:numRef>
              <c:f>Analysis!$B$70:$B$73</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B108-4742-87BA-69037609F58C}"/>
            </c:ext>
          </c:extLst>
        </c:ser>
        <c:ser>
          <c:idx val="1"/>
          <c:order val="1"/>
          <c:tx>
            <c:strRef>
              <c:f>Analysis!$C$68:$C$69</c:f>
              <c:strCache>
                <c:ptCount val="1"/>
                <c:pt idx="0">
                  <c:v>Yes</c:v>
                </c:pt>
              </c:strCache>
            </c:strRef>
          </c:tx>
          <c:spPr>
            <a:solidFill>
              <a:schemeClr val="accent2"/>
            </a:solidFill>
            <a:ln>
              <a:noFill/>
            </a:ln>
            <a:effectLst/>
          </c:spPr>
          <c:cat>
            <c:strRef>
              <c:f>Analysis!$A$70:$A$73</c:f>
              <c:strCache>
                <c:ptCount val="4"/>
                <c:pt idx="0">
                  <c:v>1</c:v>
                </c:pt>
                <c:pt idx="1">
                  <c:v>2</c:v>
                </c:pt>
                <c:pt idx="2">
                  <c:v>3</c:v>
                </c:pt>
                <c:pt idx="3">
                  <c:v>4</c:v>
                </c:pt>
              </c:strCache>
            </c:strRef>
          </c:cat>
          <c:val>
            <c:numRef>
              <c:f>Analysis!$C$70:$C$73</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B108-4742-87BA-69037609F58C}"/>
            </c:ext>
          </c:extLst>
        </c:ser>
        <c:dLbls>
          <c:showLegendKey val="0"/>
          <c:showVal val="0"/>
          <c:showCatName val="0"/>
          <c:showSerName val="0"/>
          <c:showPercent val="0"/>
          <c:showBubbleSize val="0"/>
        </c:dLbls>
        <c:axId val="1966919535"/>
        <c:axId val="1966925295"/>
      </c:areaChart>
      <c:catAx>
        <c:axId val="196691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925295"/>
        <c:crosses val="autoZero"/>
        <c:auto val="1"/>
        <c:lblAlgn val="ctr"/>
        <c:lblOffset val="100"/>
        <c:noMultiLvlLbl val="0"/>
      </c:catAx>
      <c:valAx>
        <c:axId val="196692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9195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0B9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77888666152412"/>
          <c:y val="4.5120502748016308E-2"/>
          <c:w val="0.60466678478160518"/>
          <c:h val="0.63333429190942603"/>
        </c:manualLayout>
      </c:layout>
      <c:barChart>
        <c:barDir val="col"/>
        <c:grouping val="clustered"/>
        <c:varyColors val="0"/>
        <c:ser>
          <c:idx val="0"/>
          <c:order val="0"/>
          <c:tx>
            <c:strRef>
              <c:f>Analysis!$B$22:$B$23</c:f>
              <c:strCache>
                <c:ptCount val="1"/>
                <c:pt idx="0">
                  <c:v>No</c:v>
                </c:pt>
              </c:strCache>
            </c:strRef>
          </c:tx>
          <c:spPr>
            <a:solidFill>
              <a:srgbClr val="10B981"/>
            </a:solidFill>
            <a:ln>
              <a:noFill/>
            </a:ln>
            <a:effectLst/>
          </c:spPr>
          <c:invertIfNegative val="0"/>
          <c:cat>
            <c:strRef>
              <c:f>Analysis!$A$24:$A$25</c:f>
              <c:strCache>
                <c:ptCount val="2"/>
                <c:pt idx="0">
                  <c:v>No</c:v>
                </c:pt>
                <c:pt idx="1">
                  <c:v>Yes</c:v>
                </c:pt>
              </c:strCache>
            </c:strRef>
          </c:cat>
          <c:val>
            <c:numRef>
              <c:f>Analysis!$B$24:$B$25</c:f>
              <c:numCache>
                <c:formatCode>General</c:formatCode>
                <c:ptCount val="2"/>
                <c:pt idx="0">
                  <c:v>944</c:v>
                </c:pt>
                <c:pt idx="1">
                  <c:v>289</c:v>
                </c:pt>
              </c:numCache>
            </c:numRef>
          </c:val>
          <c:extLst>
            <c:ext xmlns:c16="http://schemas.microsoft.com/office/drawing/2014/chart" uri="{C3380CC4-5D6E-409C-BE32-E72D297353CC}">
              <c16:uniqueId val="{00000000-7954-4258-A27F-3738FC29E5FE}"/>
            </c:ext>
          </c:extLst>
        </c:ser>
        <c:ser>
          <c:idx val="1"/>
          <c:order val="1"/>
          <c:tx>
            <c:strRef>
              <c:f>Analysis!$C$22:$C$23</c:f>
              <c:strCache>
                <c:ptCount val="1"/>
                <c:pt idx="0">
                  <c:v>Yes</c:v>
                </c:pt>
              </c:strCache>
            </c:strRef>
          </c:tx>
          <c:spPr>
            <a:solidFill>
              <a:srgbClr val="FF0000"/>
            </a:solidFill>
            <a:ln>
              <a:noFill/>
            </a:ln>
            <a:effectLst/>
          </c:spPr>
          <c:invertIfNegative val="0"/>
          <c:cat>
            <c:strRef>
              <c:f>Analysis!$A$24:$A$25</c:f>
              <c:strCache>
                <c:ptCount val="2"/>
                <c:pt idx="0">
                  <c:v>No</c:v>
                </c:pt>
                <c:pt idx="1">
                  <c:v>Yes</c:v>
                </c:pt>
              </c:strCache>
            </c:strRef>
          </c:cat>
          <c:val>
            <c:numRef>
              <c:f>Analysis!$C$24:$C$25</c:f>
              <c:numCache>
                <c:formatCode>General</c:formatCode>
                <c:ptCount val="2"/>
                <c:pt idx="0">
                  <c:v>110</c:v>
                </c:pt>
                <c:pt idx="1">
                  <c:v>127</c:v>
                </c:pt>
              </c:numCache>
            </c:numRef>
          </c:val>
          <c:extLst>
            <c:ext xmlns:c16="http://schemas.microsoft.com/office/drawing/2014/chart" uri="{C3380CC4-5D6E-409C-BE32-E72D297353CC}">
              <c16:uniqueId val="{00000001-7954-4258-A27F-3738FC29E5FE}"/>
            </c:ext>
          </c:extLst>
        </c:ser>
        <c:dLbls>
          <c:showLegendKey val="0"/>
          <c:showVal val="0"/>
          <c:showCatName val="0"/>
          <c:showSerName val="0"/>
          <c:showPercent val="0"/>
          <c:showBubbleSize val="0"/>
        </c:dLbls>
        <c:gapWidth val="219"/>
        <c:overlap val="-27"/>
        <c:axId val="702924623"/>
        <c:axId val="702927503"/>
      </c:barChart>
      <c:catAx>
        <c:axId val="702924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27503"/>
        <c:crosses val="autoZero"/>
        <c:auto val="1"/>
        <c:lblAlgn val="ctr"/>
        <c:lblOffset val="100"/>
        <c:noMultiLvlLbl val="0"/>
      </c:catAx>
      <c:valAx>
        <c:axId val="702927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2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76185656968461"/>
          <c:y val="7.1825968300943094E-2"/>
          <c:w val="0.4957835161659912"/>
          <c:h val="0.6265162760112063"/>
        </c:manualLayout>
      </c:layout>
      <c:barChart>
        <c:barDir val="bar"/>
        <c:grouping val="clustered"/>
        <c:varyColors val="0"/>
        <c:ser>
          <c:idx val="0"/>
          <c:order val="0"/>
          <c:tx>
            <c:strRef>
              <c:f>Analysis!$B$10:$B$11</c:f>
              <c:strCache>
                <c:ptCount val="2"/>
                <c:pt idx="0">
                  <c:v>Attrition Rate by Department</c:v>
                </c:pt>
                <c:pt idx="1">
                  <c:v>Total Employees</c:v>
                </c:pt>
              </c:strCache>
            </c:strRef>
          </c:tx>
          <c:spPr>
            <a:solidFill>
              <a:srgbClr val="E2E8F0"/>
            </a:solidFill>
            <a:ln>
              <a:noFill/>
            </a:ln>
            <a:effectLst/>
          </c:spPr>
          <c:invertIfNegative val="0"/>
          <c:cat>
            <c:strRef>
              <c:f>Analysis!$A$12:$A$14</c:f>
              <c:strCache>
                <c:ptCount val="3"/>
                <c:pt idx="0">
                  <c:v>Human Resources</c:v>
                </c:pt>
                <c:pt idx="1">
                  <c:v>Research &amp; Development</c:v>
                </c:pt>
                <c:pt idx="2">
                  <c:v>Sales</c:v>
                </c:pt>
              </c:strCache>
            </c:strRef>
          </c:cat>
          <c:val>
            <c:numRef>
              <c:f>Analysis!$B$12:$B$14</c:f>
              <c:numCache>
                <c:formatCode>General</c:formatCode>
                <c:ptCount val="3"/>
                <c:pt idx="0">
                  <c:v>63</c:v>
                </c:pt>
                <c:pt idx="1">
                  <c:v>961</c:v>
                </c:pt>
                <c:pt idx="2">
                  <c:v>446</c:v>
                </c:pt>
              </c:numCache>
            </c:numRef>
          </c:val>
          <c:extLst>
            <c:ext xmlns:c16="http://schemas.microsoft.com/office/drawing/2014/chart" uri="{C3380CC4-5D6E-409C-BE32-E72D297353CC}">
              <c16:uniqueId val="{00000000-5C8A-4E30-BECE-7EEA7E459702}"/>
            </c:ext>
          </c:extLst>
        </c:ser>
        <c:ser>
          <c:idx val="1"/>
          <c:order val="1"/>
          <c:tx>
            <c:strRef>
              <c:f>Analysis!$C$10:$C$11</c:f>
              <c:strCache>
                <c:ptCount val="2"/>
                <c:pt idx="0">
                  <c:v>Attrition Rate by Department</c:v>
                </c:pt>
                <c:pt idx="1">
                  <c:v>Attrition Count</c:v>
                </c:pt>
              </c:strCache>
            </c:strRef>
          </c:tx>
          <c:spPr>
            <a:solidFill>
              <a:srgbClr val="FF0000"/>
            </a:solidFill>
            <a:ln>
              <a:noFill/>
            </a:ln>
            <a:effectLst/>
          </c:spPr>
          <c:invertIfNegative val="0"/>
          <c:cat>
            <c:strRef>
              <c:f>Analysis!$A$12:$A$14</c:f>
              <c:strCache>
                <c:ptCount val="3"/>
                <c:pt idx="0">
                  <c:v>Human Resources</c:v>
                </c:pt>
                <c:pt idx="1">
                  <c:v>Research &amp; Development</c:v>
                </c:pt>
                <c:pt idx="2">
                  <c:v>Sales</c:v>
                </c:pt>
              </c:strCache>
            </c:strRef>
          </c:cat>
          <c:val>
            <c:numRef>
              <c:f>Analysis!$C$12:$C$14</c:f>
              <c:numCache>
                <c:formatCode>General</c:formatCode>
                <c:ptCount val="3"/>
                <c:pt idx="0">
                  <c:v>12</c:v>
                </c:pt>
                <c:pt idx="1">
                  <c:v>133</c:v>
                </c:pt>
                <c:pt idx="2">
                  <c:v>92</c:v>
                </c:pt>
              </c:numCache>
            </c:numRef>
          </c:val>
          <c:extLst>
            <c:ext xmlns:c16="http://schemas.microsoft.com/office/drawing/2014/chart" uri="{C3380CC4-5D6E-409C-BE32-E72D297353CC}">
              <c16:uniqueId val="{00000001-5C8A-4E30-BECE-7EEA7E459702}"/>
            </c:ext>
          </c:extLst>
        </c:ser>
        <c:ser>
          <c:idx val="2"/>
          <c:order val="2"/>
          <c:tx>
            <c:strRef>
              <c:f>Analysis!$D$10:$D$11</c:f>
              <c:strCache>
                <c:ptCount val="2"/>
                <c:pt idx="0">
                  <c:v>Attrition Rate by Department</c:v>
                </c:pt>
                <c:pt idx="1">
                  <c:v>Attrition Rate</c:v>
                </c:pt>
              </c:strCache>
            </c:strRef>
          </c:tx>
          <c:spPr>
            <a:solidFill>
              <a:schemeClr val="accent3"/>
            </a:solidFill>
            <a:ln>
              <a:noFill/>
            </a:ln>
            <a:effectLst/>
          </c:spPr>
          <c:invertIfNegative val="0"/>
          <c:cat>
            <c:strRef>
              <c:f>Analysis!$A$12:$A$14</c:f>
              <c:strCache>
                <c:ptCount val="3"/>
                <c:pt idx="0">
                  <c:v>Human Resources</c:v>
                </c:pt>
                <c:pt idx="1">
                  <c:v>Research &amp; Development</c:v>
                </c:pt>
                <c:pt idx="2">
                  <c:v>Sales</c:v>
                </c:pt>
              </c:strCache>
            </c:strRef>
          </c:cat>
          <c:val>
            <c:numRef>
              <c:f>Analysis!$D$12:$D$14</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5C8A-4E30-BECE-7EEA7E459702}"/>
            </c:ext>
          </c:extLst>
        </c:ser>
        <c:dLbls>
          <c:showLegendKey val="0"/>
          <c:showVal val="0"/>
          <c:showCatName val="0"/>
          <c:showSerName val="0"/>
          <c:showPercent val="0"/>
          <c:showBubbleSize val="0"/>
        </c:dLbls>
        <c:gapWidth val="182"/>
        <c:axId val="702880463"/>
        <c:axId val="702873743"/>
      </c:barChart>
      <c:catAx>
        <c:axId val="70288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873743"/>
        <c:crosses val="autoZero"/>
        <c:auto val="1"/>
        <c:lblAlgn val="ctr"/>
        <c:lblOffset val="100"/>
        <c:noMultiLvlLbl val="0"/>
      </c:catAx>
      <c:valAx>
        <c:axId val="702873743"/>
        <c:scaling>
          <c:orientation val="minMax"/>
        </c:scaling>
        <c:delete val="1"/>
        <c:axPos val="b"/>
        <c:numFmt formatCode="General" sourceLinked="1"/>
        <c:majorTickMark val="none"/>
        <c:minorTickMark val="none"/>
        <c:tickLblPos val="nextTo"/>
        <c:crossAx val="702880463"/>
        <c:crosses val="autoZero"/>
        <c:crossBetween val="between"/>
      </c:valAx>
      <c:spPr>
        <a:noFill/>
        <a:ln>
          <a:noFill/>
        </a:ln>
        <a:effectLst/>
      </c:spPr>
    </c:plotArea>
    <c:legend>
      <c:legendPos val="r"/>
      <c:layout>
        <c:manualLayout>
          <c:xMode val="edge"/>
          <c:yMode val="edge"/>
          <c:x val="0.55618571447054233"/>
          <c:y val="7.8680345673865837E-2"/>
          <c:w val="0.44381428552945762"/>
          <c:h val="0.62853444171300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[HR-Employee-Attrition(Cleaned).xlsx]Analysis!PivotTable5</c:name>
    <c:fmtId val="4"/>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cmpd="sng" algn="ctr">
            <a:solidFill>
              <a:srgbClr val="E2E8F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rgbClr val="FF3300"/>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9050" cap="rnd" cmpd="sng" algn="ctr">
            <a:solidFill>
              <a:srgbClr val="DC2626"/>
            </a:solidFill>
            <a:round/>
          </a:ln>
          <a:effectLst/>
        </c:spPr>
        <c:marker>
          <c:symbol val="circle"/>
          <c:size val="4"/>
          <c:spPr>
            <a:solidFill>
              <a:srgbClr val="DC2626"/>
            </a:solidFill>
            <a:ln w="15875" cap="flat" cmpd="sng" algn="ctr">
              <a:solidFill>
                <a:srgbClr val="DC2626"/>
              </a:solidFill>
              <a:round/>
            </a:ln>
            <a:effectLst/>
          </c:spPr>
        </c:marker>
      </c:pivotFmt>
    </c:pivotFmts>
    <c:plotArea>
      <c:layout>
        <c:manualLayout>
          <c:layoutTarget val="inner"/>
          <c:xMode val="edge"/>
          <c:yMode val="edge"/>
          <c:x val="0.11853810480660255"/>
          <c:y val="7.9770043008444091E-2"/>
          <c:w val="0.77409060920203543"/>
          <c:h val="0.67233926650389086"/>
        </c:manualLayout>
      </c:layout>
      <c:lineChart>
        <c:grouping val="standard"/>
        <c:varyColors val="0"/>
        <c:ser>
          <c:idx val="0"/>
          <c:order val="0"/>
          <c:tx>
            <c:strRef>
              <c:f>Analysis!$B$32:$B$33</c:f>
              <c:strCache>
                <c:ptCount val="1"/>
                <c:pt idx="0">
                  <c:v>No</c:v>
                </c:pt>
              </c:strCache>
            </c:strRef>
          </c:tx>
          <c:spPr>
            <a:ln w="38100" cap="rnd" cmpd="sng" algn="ctr">
              <a:solidFill>
                <a:srgbClr val="E2E8F0"/>
              </a:solidFill>
              <a:round/>
            </a:ln>
            <a:effectLst/>
          </c:spPr>
          <c:marker>
            <c:symbol val="circle"/>
            <c:size val="4"/>
            <c:spPr>
              <a:solidFill>
                <a:schemeClr val="accent1"/>
              </a:solidFill>
              <a:ln w="9525" cap="flat" cmpd="sng" algn="ctr">
                <a:solidFill>
                  <a:schemeClr val="accent1"/>
                </a:solidFill>
                <a:round/>
              </a:ln>
              <a:effectLst/>
            </c:spPr>
          </c:marker>
          <c:cat>
            <c:strRef>
              <c:f>Analysis!$A$34:$A$37</c:f>
              <c:strCache>
                <c:ptCount val="4"/>
                <c:pt idx="0">
                  <c:v>0-2 Years</c:v>
                </c:pt>
                <c:pt idx="1">
                  <c:v>10+ Years</c:v>
                </c:pt>
                <c:pt idx="2">
                  <c:v>3-5 Years</c:v>
                </c:pt>
                <c:pt idx="3">
                  <c:v>6-10 Years</c:v>
                </c:pt>
              </c:strCache>
            </c:strRef>
          </c:cat>
          <c:val>
            <c:numRef>
              <c:f>Analysis!$B$34:$B$37</c:f>
              <c:numCache>
                <c:formatCode>General</c:formatCode>
                <c:ptCount val="4"/>
                <c:pt idx="0">
                  <c:v>240</c:v>
                </c:pt>
                <c:pt idx="1">
                  <c:v>226</c:v>
                </c:pt>
                <c:pt idx="2">
                  <c:v>374</c:v>
                </c:pt>
                <c:pt idx="3">
                  <c:v>393</c:v>
                </c:pt>
              </c:numCache>
            </c:numRef>
          </c:val>
          <c:smooth val="1"/>
          <c:extLst>
            <c:ext xmlns:c16="http://schemas.microsoft.com/office/drawing/2014/chart" uri="{C3380CC4-5D6E-409C-BE32-E72D297353CC}">
              <c16:uniqueId val="{00000000-0D20-43DC-A058-EA70B69165F0}"/>
            </c:ext>
          </c:extLst>
        </c:ser>
        <c:ser>
          <c:idx val="1"/>
          <c:order val="1"/>
          <c:tx>
            <c:strRef>
              <c:f>Analysis!$C$32:$C$33</c:f>
              <c:strCache>
                <c:ptCount val="1"/>
                <c:pt idx="0">
                  <c:v>Yes</c:v>
                </c:pt>
              </c:strCache>
            </c:strRef>
          </c:tx>
          <c:spPr>
            <a:ln w="22225" cap="rnd" cmpd="sng" algn="ctr">
              <a:solidFill>
                <a:srgbClr val="FF3300"/>
              </a:solidFill>
              <a:round/>
            </a:ln>
            <a:effectLst/>
          </c:spPr>
          <c:marker>
            <c:symbol val="circle"/>
            <c:size val="4"/>
            <c:spPr>
              <a:solidFill>
                <a:schemeClr val="accent2"/>
              </a:solidFill>
              <a:ln w="9525" cap="flat" cmpd="sng" algn="ctr">
                <a:solidFill>
                  <a:schemeClr val="accent2"/>
                </a:solidFill>
                <a:round/>
              </a:ln>
              <a:effectLst/>
            </c:spPr>
          </c:marker>
          <c:dPt>
            <c:idx val="0"/>
            <c:marker>
              <c:symbol val="circle"/>
              <c:size val="4"/>
              <c:spPr>
                <a:solidFill>
                  <a:srgbClr val="DC2626"/>
                </a:solidFill>
                <a:ln w="15875" cap="flat" cmpd="sng" algn="ctr">
                  <a:solidFill>
                    <a:srgbClr val="DC2626"/>
                  </a:solidFill>
                  <a:round/>
                </a:ln>
                <a:effectLst/>
              </c:spPr>
            </c:marker>
            <c:bubble3D val="0"/>
            <c:spPr>
              <a:ln w="19050" cap="rnd" cmpd="sng" algn="ctr">
                <a:solidFill>
                  <a:srgbClr val="DC2626"/>
                </a:solidFill>
                <a:round/>
              </a:ln>
              <a:effectLst/>
            </c:spPr>
            <c:extLst>
              <c:ext xmlns:c16="http://schemas.microsoft.com/office/drawing/2014/chart" uri="{C3380CC4-5D6E-409C-BE32-E72D297353CC}">
                <c16:uniqueId val="{00000000-267C-4E26-A7EC-D719EE3A6A44}"/>
              </c:ext>
            </c:extLst>
          </c:dPt>
          <c:cat>
            <c:strRef>
              <c:f>Analysis!$A$34:$A$37</c:f>
              <c:strCache>
                <c:ptCount val="4"/>
                <c:pt idx="0">
                  <c:v>0-2 Years</c:v>
                </c:pt>
                <c:pt idx="1">
                  <c:v>10+ Years</c:v>
                </c:pt>
                <c:pt idx="2">
                  <c:v>3-5 Years</c:v>
                </c:pt>
                <c:pt idx="3">
                  <c:v>6-10 Years</c:v>
                </c:pt>
              </c:strCache>
            </c:strRef>
          </c:cat>
          <c:val>
            <c:numRef>
              <c:f>Analysis!$C$34:$C$37</c:f>
              <c:numCache>
                <c:formatCode>General</c:formatCode>
                <c:ptCount val="4"/>
                <c:pt idx="0">
                  <c:v>102</c:v>
                </c:pt>
                <c:pt idx="1">
                  <c:v>20</c:v>
                </c:pt>
                <c:pt idx="2">
                  <c:v>60</c:v>
                </c:pt>
                <c:pt idx="3">
                  <c:v>55</c:v>
                </c:pt>
              </c:numCache>
            </c:numRef>
          </c:val>
          <c:smooth val="1"/>
          <c:extLst>
            <c:ext xmlns:c16="http://schemas.microsoft.com/office/drawing/2014/chart" uri="{C3380CC4-5D6E-409C-BE32-E72D297353CC}">
              <c16:uniqueId val="{00000001-0D20-43DC-A058-EA70B69165F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02891023"/>
        <c:axId val="702886703"/>
      </c:lineChart>
      <c:catAx>
        <c:axId val="7028910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2886703"/>
        <c:crosses val="autoZero"/>
        <c:auto val="1"/>
        <c:lblAlgn val="ctr"/>
        <c:lblOffset val="100"/>
        <c:noMultiLvlLbl val="0"/>
      </c:catAx>
      <c:valAx>
        <c:axId val="70288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2891023"/>
        <c:crosses val="autoZero"/>
        <c:crossBetween val="between"/>
      </c:valAx>
      <c:spPr>
        <a:noFill/>
        <a:ln>
          <a:noFill/>
        </a:ln>
        <a:effectLst/>
      </c:spPr>
    </c:plotArea>
    <c:legend>
      <c:legendPos val="r"/>
      <c:layout>
        <c:manualLayout>
          <c:xMode val="edge"/>
          <c:yMode val="edge"/>
          <c:x val="0.82344890964104989"/>
          <c:y val="5.1292651563081722E-2"/>
          <c:w val="0.17248169010203301"/>
          <c:h val="0.24475070862293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2E8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956569205707"/>
          <c:y val="0.17119328250417096"/>
          <c:w val="0.62750423557549573"/>
          <c:h val="0.55754261426970153"/>
        </c:manualLayout>
      </c:layout>
      <c:barChart>
        <c:barDir val="col"/>
        <c:grouping val="clustered"/>
        <c:varyColors val="0"/>
        <c:ser>
          <c:idx val="0"/>
          <c:order val="0"/>
          <c:tx>
            <c:strRef>
              <c:f>Analysis!$B$45:$B$46</c:f>
              <c:strCache>
                <c:ptCount val="1"/>
                <c:pt idx="0">
                  <c:v>No</c:v>
                </c:pt>
              </c:strCache>
            </c:strRef>
          </c:tx>
          <c:spPr>
            <a:solidFill>
              <a:srgbClr val="E2E8F0"/>
            </a:solidFill>
            <a:ln>
              <a:noFill/>
            </a:ln>
            <a:effectLst/>
          </c:spPr>
          <c:invertIfNegative val="0"/>
          <c:cat>
            <c:strRef>
              <c:f>Analysis!$A$47:$A$49</c:f>
              <c:strCache>
                <c:ptCount val="3"/>
                <c:pt idx="0">
                  <c:v>High</c:v>
                </c:pt>
                <c:pt idx="1">
                  <c:v>Low</c:v>
                </c:pt>
                <c:pt idx="2">
                  <c:v>Medium</c:v>
                </c:pt>
              </c:strCache>
            </c:strRef>
          </c:cat>
          <c:val>
            <c:numRef>
              <c:f>Analysis!$B$47:$B$49</c:f>
              <c:numCache>
                <c:formatCode>General</c:formatCode>
                <c:ptCount val="3"/>
                <c:pt idx="0">
                  <c:v>256</c:v>
                </c:pt>
                <c:pt idx="1">
                  <c:v>586</c:v>
                </c:pt>
                <c:pt idx="2">
                  <c:v>391</c:v>
                </c:pt>
              </c:numCache>
            </c:numRef>
          </c:val>
          <c:extLst>
            <c:ext xmlns:c16="http://schemas.microsoft.com/office/drawing/2014/chart" uri="{C3380CC4-5D6E-409C-BE32-E72D297353CC}">
              <c16:uniqueId val="{00000000-E7D4-413B-8E93-9A4081A6612A}"/>
            </c:ext>
          </c:extLst>
        </c:ser>
        <c:ser>
          <c:idx val="1"/>
          <c:order val="1"/>
          <c:tx>
            <c:strRef>
              <c:f>Analysis!$C$45:$C$46</c:f>
              <c:strCache>
                <c:ptCount val="1"/>
                <c:pt idx="0">
                  <c:v>Yes</c:v>
                </c:pt>
              </c:strCache>
            </c:strRef>
          </c:tx>
          <c:spPr>
            <a:solidFill>
              <a:srgbClr val="FF0000"/>
            </a:solidFill>
            <a:ln>
              <a:noFill/>
            </a:ln>
            <a:effectLst/>
          </c:spPr>
          <c:invertIfNegative val="0"/>
          <c:cat>
            <c:strRef>
              <c:f>Analysis!$A$47:$A$49</c:f>
              <c:strCache>
                <c:ptCount val="3"/>
                <c:pt idx="0">
                  <c:v>High</c:v>
                </c:pt>
                <c:pt idx="1">
                  <c:v>Low</c:v>
                </c:pt>
                <c:pt idx="2">
                  <c:v>Medium</c:v>
                </c:pt>
              </c:strCache>
            </c:strRef>
          </c:cat>
          <c:val>
            <c:numRef>
              <c:f>Analysis!$C$47:$C$49</c:f>
              <c:numCache>
                <c:formatCode>General</c:formatCode>
                <c:ptCount val="3"/>
                <c:pt idx="0">
                  <c:v>25</c:v>
                </c:pt>
                <c:pt idx="1">
                  <c:v>163</c:v>
                </c:pt>
                <c:pt idx="2">
                  <c:v>49</c:v>
                </c:pt>
              </c:numCache>
            </c:numRef>
          </c:val>
          <c:extLst>
            <c:ext xmlns:c16="http://schemas.microsoft.com/office/drawing/2014/chart" uri="{C3380CC4-5D6E-409C-BE32-E72D297353CC}">
              <c16:uniqueId val="{00000001-E7D4-413B-8E93-9A4081A6612A}"/>
            </c:ext>
          </c:extLst>
        </c:ser>
        <c:dLbls>
          <c:showLegendKey val="0"/>
          <c:showVal val="0"/>
          <c:showCatName val="0"/>
          <c:showSerName val="0"/>
          <c:showPercent val="0"/>
          <c:showBubbleSize val="0"/>
        </c:dLbls>
        <c:gapWidth val="219"/>
        <c:overlap val="-27"/>
        <c:axId val="1966883055"/>
        <c:axId val="1966878735"/>
      </c:barChart>
      <c:catAx>
        <c:axId val="196688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78735"/>
        <c:crosses val="autoZero"/>
        <c:auto val="1"/>
        <c:lblAlgn val="ctr"/>
        <c:lblOffset val="100"/>
        <c:noMultiLvlLbl val="0"/>
      </c:catAx>
      <c:valAx>
        <c:axId val="1966878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30000"/>
        </a:prstClr>
      </a:outerShdw>
      <a:softEdge rad="1193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Analysis!$B$97</c:f>
              <c:strCache>
                <c:ptCount val="1"/>
                <c:pt idx="0">
                  <c:v>Sum of MonthlyIncome</c:v>
                </c:pt>
              </c:strCache>
            </c:strRef>
          </c:tx>
          <c:spPr>
            <a:ln w="19050" cap="rnd">
              <a:noFill/>
              <a:round/>
            </a:ln>
            <a:effectLst/>
          </c:spPr>
          <c:marker>
            <c:symbol val="circle"/>
            <c:size val="5"/>
            <c:spPr>
              <a:solidFill>
                <a:srgbClr val="2563EB"/>
              </a:solidFill>
              <a:ln w="9525">
                <a:solidFill>
                  <a:schemeClr val="accent1"/>
                </a:solidFill>
              </a:ln>
              <a:effectLst/>
            </c:spPr>
          </c:marker>
          <c:xVal>
            <c:numRef>
              <c:f>Analysis!$A$98:$A$134</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xVal>
          <c:yVal>
            <c:numRef>
              <c:f>Analysis!$B$98:$B$134</c:f>
              <c:numCache>
                <c:formatCode>General</c:formatCode>
                <c:ptCount val="37"/>
                <c:pt idx="0">
                  <c:v>180994</c:v>
                </c:pt>
                <c:pt idx="1">
                  <c:v>800503</c:v>
                </c:pt>
                <c:pt idx="2">
                  <c:v>629096</c:v>
                </c:pt>
                <c:pt idx="3">
                  <c:v>650112</c:v>
                </c:pt>
                <c:pt idx="4">
                  <c:v>562086</c:v>
                </c:pt>
                <c:pt idx="5">
                  <c:v>1116165</c:v>
                </c:pt>
                <c:pt idx="6">
                  <c:v>419828</c:v>
                </c:pt>
                <c:pt idx="7">
                  <c:v>607079</c:v>
                </c:pt>
                <c:pt idx="8">
                  <c:v>513210</c:v>
                </c:pt>
                <c:pt idx="9">
                  <c:v>590613</c:v>
                </c:pt>
                <c:pt idx="10">
                  <c:v>811452</c:v>
                </c:pt>
                <c:pt idx="11">
                  <c:v>205943</c:v>
                </c:pt>
                <c:pt idx="12">
                  <c:v>121452</c:v>
                </c:pt>
                <c:pt idx="13">
                  <c:v>192400</c:v>
                </c:pt>
                <c:pt idx="14">
                  <c:v>176073</c:v>
                </c:pt>
                <c:pt idx="15">
                  <c:v>138844</c:v>
                </c:pt>
                <c:pt idx="16">
                  <c:v>115472</c:v>
                </c:pt>
                <c:pt idx="17">
                  <c:v>74182</c:v>
                </c:pt>
                <c:pt idx="18">
                  <c:v>135980</c:v>
                </c:pt>
                <c:pt idx="19">
                  <c:v>133299</c:v>
                </c:pt>
                <c:pt idx="20">
                  <c:v>328000</c:v>
                </c:pt>
                <c:pt idx="21">
                  <c:v>222309</c:v>
                </c:pt>
                <c:pt idx="22">
                  <c:v>242928</c:v>
                </c:pt>
                <c:pt idx="23">
                  <c:v>23684</c:v>
                </c:pt>
                <c:pt idx="24">
                  <c:v>90841</c:v>
                </c:pt>
                <c:pt idx="25">
                  <c:v>65912</c:v>
                </c:pt>
                <c:pt idx="26">
                  <c:v>58770</c:v>
                </c:pt>
                <c:pt idx="27">
                  <c:v>35786</c:v>
                </c:pt>
                <c:pt idx="28">
                  <c:v>39413</c:v>
                </c:pt>
                <c:pt idx="29">
                  <c:v>11245</c:v>
                </c:pt>
                <c:pt idx="30">
                  <c:v>56672</c:v>
                </c:pt>
                <c:pt idx="31">
                  <c:v>52456</c:v>
                </c:pt>
                <c:pt idx="32">
                  <c:v>76839</c:v>
                </c:pt>
                <c:pt idx="33">
                  <c:v>16856</c:v>
                </c:pt>
                <c:pt idx="34">
                  <c:v>38631</c:v>
                </c:pt>
                <c:pt idx="35">
                  <c:v>13872</c:v>
                </c:pt>
                <c:pt idx="36">
                  <c:v>10312</c:v>
                </c:pt>
              </c:numCache>
            </c:numRef>
          </c:yVal>
          <c:smooth val="0"/>
          <c:extLst>
            <c:ext xmlns:c16="http://schemas.microsoft.com/office/drawing/2014/chart" uri="{C3380CC4-5D6E-409C-BE32-E72D297353CC}">
              <c16:uniqueId val="{00000000-8A15-42D6-90B4-A8A5D26A4E42}"/>
            </c:ext>
          </c:extLst>
        </c:ser>
        <c:dLbls>
          <c:showLegendKey val="0"/>
          <c:showVal val="0"/>
          <c:showCatName val="0"/>
          <c:showSerName val="0"/>
          <c:showPercent val="0"/>
          <c:showBubbleSize val="0"/>
        </c:dLbls>
        <c:axId val="1207777951"/>
        <c:axId val="1207780831"/>
      </c:scatterChart>
      <c:valAx>
        <c:axId val="120777795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80831"/>
        <c:crosses val="autoZero"/>
        <c:crossBetween val="midCat"/>
      </c:valAx>
      <c:valAx>
        <c:axId val="120778083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77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2E8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alpha val="8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Analysis!$B$68:$B$69</c:f>
              <c:strCache>
                <c:ptCount val="1"/>
                <c:pt idx="0">
                  <c:v>No</c:v>
                </c:pt>
              </c:strCache>
            </c:strRef>
          </c:tx>
          <c:spPr>
            <a:solidFill>
              <a:srgbClr val="E2E8F0"/>
            </a:solidFill>
            <a:ln>
              <a:noFill/>
            </a:ln>
            <a:effectLst/>
          </c:spPr>
          <c:cat>
            <c:strRef>
              <c:f>Analysis!$A$70:$A$73</c:f>
              <c:strCache>
                <c:ptCount val="4"/>
                <c:pt idx="0">
                  <c:v>1</c:v>
                </c:pt>
                <c:pt idx="1">
                  <c:v>2</c:v>
                </c:pt>
                <c:pt idx="2">
                  <c:v>3</c:v>
                </c:pt>
                <c:pt idx="3">
                  <c:v>4</c:v>
                </c:pt>
              </c:strCache>
            </c:strRef>
          </c:cat>
          <c:val>
            <c:numRef>
              <c:f>Analysis!$B$70:$B$73</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5849-4D8C-BCE1-92B7BFC3ADA9}"/>
            </c:ext>
          </c:extLst>
        </c:ser>
        <c:ser>
          <c:idx val="1"/>
          <c:order val="1"/>
          <c:tx>
            <c:strRef>
              <c:f>Analysis!$C$68:$C$69</c:f>
              <c:strCache>
                <c:ptCount val="1"/>
                <c:pt idx="0">
                  <c:v>Yes</c:v>
                </c:pt>
              </c:strCache>
            </c:strRef>
          </c:tx>
          <c:spPr>
            <a:solidFill>
              <a:srgbClr val="FF0000">
                <a:alpha val="81000"/>
              </a:srgbClr>
            </a:solidFill>
            <a:ln>
              <a:noFill/>
            </a:ln>
            <a:effectLst/>
          </c:spPr>
          <c:cat>
            <c:strRef>
              <c:f>Analysis!$A$70:$A$73</c:f>
              <c:strCache>
                <c:ptCount val="4"/>
                <c:pt idx="0">
                  <c:v>1</c:v>
                </c:pt>
                <c:pt idx="1">
                  <c:v>2</c:v>
                </c:pt>
                <c:pt idx="2">
                  <c:v>3</c:v>
                </c:pt>
                <c:pt idx="3">
                  <c:v>4</c:v>
                </c:pt>
              </c:strCache>
            </c:strRef>
          </c:cat>
          <c:val>
            <c:numRef>
              <c:f>Analysis!$C$70:$C$73</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5849-4D8C-BCE1-92B7BFC3ADA9}"/>
            </c:ext>
          </c:extLst>
        </c:ser>
        <c:dLbls>
          <c:showLegendKey val="0"/>
          <c:showVal val="0"/>
          <c:showCatName val="0"/>
          <c:showSerName val="0"/>
          <c:showPercent val="0"/>
          <c:showBubbleSize val="0"/>
        </c:dLbls>
        <c:axId val="1966919535"/>
        <c:axId val="1966925295"/>
      </c:areaChart>
      <c:catAx>
        <c:axId val="196691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925295"/>
        <c:crosses val="autoZero"/>
        <c:auto val="1"/>
        <c:lblAlgn val="ctr"/>
        <c:lblOffset val="100"/>
        <c:noMultiLvlLbl val="0"/>
      </c:catAx>
      <c:valAx>
        <c:axId val="196692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9195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[HR-Employee-Attrition(Cleaned).xlsx]Analysis!PivotTable7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74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91B1B"/>
          </a:solidFill>
          <a:ln>
            <a:noFill/>
          </a:ln>
          <a:effectLst/>
        </c:spPr>
      </c:pivotFmt>
      <c:pivotFmt>
        <c:idx val="7"/>
        <c:spPr>
          <a:solidFill>
            <a:srgbClr val="DC2626"/>
          </a:solidFill>
          <a:ln>
            <a:noFill/>
          </a:ln>
          <a:effectLst/>
        </c:spPr>
      </c:pivotFmt>
      <c:pivotFmt>
        <c:idx val="8"/>
        <c:spPr>
          <a:solidFill>
            <a:srgbClr val="DC2626"/>
          </a:solidFill>
          <a:ln>
            <a:noFill/>
          </a:ln>
          <a:effectLst/>
        </c:spPr>
      </c:pivotFmt>
      <c:pivotFmt>
        <c:idx val="9"/>
        <c:spPr>
          <a:solidFill>
            <a:srgbClr val="DC2626"/>
          </a:solidFill>
          <a:ln>
            <a:noFill/>
          </a:ln>
          <a:effectLst/>
        </c:spPr>
      </c:pivotFmt>
      <c:pivotFmt>
        <c:idx val="10"/>
        <c:spPr>
          <a:solidFill>
            <a:srgbClr val="66748B"/>
          </a:solidFill>
          <a:ln>
            <a:noFill/>
          </a:ln>
          <a:effectLst/>
        </c:spPr>
      </c:pivotFmt>
      <c:pivotFmt>
        <c:idx val="11"/>
        <c:spPr>
          <a:solidFill>
            <a:srgbClr val="66748B"/>
          </a:solidFill>
          <a:ln>
            <a:noFill/>
          </a:ln>
          <a:effectLst/>
        </c:spPr>
      </c:pivotFmt>
      <c:pivotFmt>
        <c:idx val="12"/>
        <c:spPr>
          <a:solidFill>
            <a:srgbClr val="66748B"/>
          </a:solidFill>
          <a:ln>
            <a:noFill/>
          </a:ln>
          <a:effectLst/>
        </c:spPr>
      </c:pivotFmt>
      <c:pivotFmt>
        <c:idx val="13"/>
        <c:spPr>
          <a:solidFill>
            <a:srgbClr val="15803D"/>
          </a:solidFill>
          <a:ln>
            <a:noFill/>
          </a:ln>
          <a:effectLst/>
        </c:spPr>
      </c:pivotFmt>
    </c:pivotFmts>
    <c:plotArea>
      <c:layout>
        <c:manualLayout>
          <c:layoutTarget val="inner"/>
          <c:xMode val="edge"/>
          <c:yMode val="edge"/>
          <c:x val="0.14583578544089199"/>
          <c:y val="4.2523060739958408E-2"/>
          <c:w val="0.80676950150074245"/>
          <c:h val="0.65873965538116519"/>
        </c:manualLayout>
      </c:layout>
      <c:barChart>
        <c:barDir val="col"/>
        <c:grouping val="clustered"/>
        <c:varyColors val="0"/>
        <c:ser>
          <c:idx val="0"/>
          <c:order val="0"/>
          <c:tx>
            <c:strRef>
              <c:f>Analysis!$B$56:$B$57</c:f>
              <c:strCache>
                <c:ptCount val="1"/>
                <c:pt idx="0">
                  <c:v>No</c:v>
                </c:pt>
              </c:strCache>
            </c:strRef>
          </c:tx>
          <c:spPr>
            <a:solidFill>
              <a:srgbClr val="66748B"/>
            </a:solidFill>
            <a:ln>
              <a:noFill/>
            </a:ln>
            <a:effectLst/>
          </c:spPr>
          <c:invertIfNegative val="0"/>
          <c:dPt>
            <c:idx val="0"/>
            <c:invertIfNegative val="0"/>
            <c:bubble3D val="0"/>
            <c:spPr>
              <a:solidFill>
                <a:srgbClr val="15803D"/>
              </a:solidFill>
              <a:ln>
                <a:noFill/>
              </a:ln>
              <a:effectLst/>
            </c:spPr>
            <c:extLst>
              <c:ext xmlns:c16="http://schemas.microsoft.com/office/drawing/2014/chart" uri="{C3380CC4-5D6E-409C-BE32-E72D297353CC}">
                <c16:uniqueId val="{00000007-01B6-4740-8207-29BC05D8789A}"/>
              </c:ext>
            </c:extLst>
          </c:dPt>
          <c:cat>
            <c:strRef>
              <c:f>Analysis!$A$58:$A$61</c:f>
              <c:strCache>
                <c:ptCount val="4"/>
                <c:pt idx="0">
                  <c:v>Excellent</c:v>
                </c:pt>
                <c:pt idx="1">
                  <c:v>High</c:v>
                </c:pt>
                <c:pt idx="2">
                  <c:v>Low</c:v>
                </c:pt>
                <c:pt idx="3">
                  <c:v>Medium</c:v>
                </c:pt>
              </c:strCache>
            </c:strRef>
          </c:cat>
          <c:val>
            <c:numRef>
              <c:f>Analysis!$B$58:$B$61</c:f>
              <c:numCache>
                <c:formatCode>General</c:formatCode>
                <c:ptCount val="4"/>
                <c:pt idx="0">
                  <c:v>407</c:v>
                </c:pt>
                <c:pt idx="1">
                  <c:v>369</c:v>
                </c:pt>
                <c:pt idx="2">
                  <c:v>223</c:v>
                </c:pt>
                <c:pt idx="3">
                  <c:v>234</c:v>
                </c:pt>
              </c:numCache>
            </c:numRef>
          </c:val>
          <c:extLst>
            <c:ext xmlns:c16="http://schemas.microsoft.com/office/drawing/2014/chart" uri="{C3380CC4-5D6E-409C-BE32-E72D297353CC}">
              <c16:uniqueId val="{00000000-F04B-40C3-9168-A3F5D277CB37}"/>
            </c:ext>
          </c:extLst>
        </c:ser>
        <c:ser>
          <c:idx val="1"/>
          <c:order val="1"/>
          <c:tx>
            <c:strRef>
              <c:f>Analysis!$C$56:$C$57</c:f>
              <c:strCache>
                <c:ptCount val="1"/>
                <c:pt idx="0">
                  <c:v>Yes</c:v>
                </c:pt>
              </c:strCache>
            </c:strRef>
          </c:tx>
          <c:spPr>
            <a:solidFill>
              <a:srgbClr val="DC2626"/>
            </a:solidFill>
            <a:ln>
              <a:noFill/>
            </a:ln>
            <a:effectLst/>
          </c:spPr>
          <c:invertIfNegative val="0"/>
          <c:dPt>
            <c:idx val="1"/>
            <c:invertIfNegative val="0"/>
            <c:bubble3D val="0"/>
            <c:spPr>
              <a:solidFill>
                <a:srgbClr val="991B1B"/>
              </a:solidFill>
              <a:ln>
                <a:noFill/>
              </a:ln>
              <a:effectLst/>
            </c:spPr>
            <c:extLst>
              <c:ext xmlns:c16="http://schemas.microsoft.com/office/drawing/2014/chart" uri="{C3380CC4-5D6E-409C-BE32-E72D297353CC}">
                <c16:uniqueId val="{00000000-01B6-4740-8207-29BC05D8789A}"/>
              </c:ext>
            </c:extLst>
          </c:dPt>
          <c:cat>
            <c:strRef>
              <c:f>Analysis!$A$58:$A$61</c:f>
              <c:strCache>
                <c:ptCount val="4"/>
                <c:pt idx="0">
                  <c:v>Excellent</c:v>
                </c:pt>
                <c:pt idx="1">
                  <c:v>High</c:v>
                </c:pt>
                <c:pt idx="2">
                  <c:v>Low</c:v>
                </c:pt>
                <c:pt idx="3">
                  <c:v>Medium</c:v>
                </c:pt>
              </c:strCache>
            </c:strRef>
          </c:cat>
          <c:val>
            <c:numRef>
              <c:f>Analysis!$C$58:$C$61</c:f>
              <c:numCache>
                <c:formatCode>General</c:formatCode>
                <c:ptCount val="4"/>
                <c:pt idx="0">
                  <c:v>52</c:v>
                </c:pt>
                <c:pt idx="1">
                  <c:v>73</c:v>
                </c:pt>
                <c:pt idx="2">
                  <c:v>66</c:v>
                </c:pt>
                <c:pt idx="3">
                  <c:v>46</c:v>
                </c:pt>
              </c:numCache>
            </c:numRef>
          </c:val>
          <c:extLst>
            <c:ext xmlns:c16="http://schemas.microsoft.com/office/drawing/2014/chart" uri="{C3380CC4-5D6E-409C-BE32-E72D297353CC}">
              <c16:uniqueId val="{00000001-F04B-40C3-9168-A3F5D277CB37}"/>
            </c:ext>
          </c:extLst>
        </c:ser>
        <c:dLbls>
          <c:showLegendKey val="0"/>
          <c:showVal val="0"/>
          <c:showCatName val="0"/>
          <c:showSerName val="0"/>
          <c:showPercent val="0"/>
          <c:showBubbleSize val="0"/>
        </c:dLbls>
        <c:gapWidth val="219"/>
        <c:overlap val="-27"/>
        <c:axId val="1966887855"/>
        <c:axId val="1966878255"/>
      </c:barChart>
      <c:catAx>
        <c:axId val="196688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78255"/>
        <c:crosses val="autoZero"/>
        <c:auto val="1"/>
        <c:lblAlgn val="ctr"/>
        <c:lblOffset val="100"/>
        <c:noMultiLvlLbl val="0"/>
      </c:catAx>
      <c:valAx>
        <c:axId val="196687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87855"/>
        <c:crosses val="autoZero"/>
        <c:crossBetween val="between"/>
      </c:valAx>
      <c:spPr>
        <a:noFill/>
        <a:ln>
          <a:noFill/>
        </a:ln>
        <a:effectLst/>
      </c:spPr>
    </c:plotArea>
    <c:legend>
      <c:legendPos val="r"/>
      <c:layout>
        <c:manualLayout>
          <c:xMode val="edge"/>
          <c:yMode val="edge"/>
          <c:x val="0.83422782172358989"/>
          <c:y val="6.990010105476574E-2"/>
          <c:w val="0.14522503370257522"/>
          <c:h val="0.22725552010332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hyperlink" Target="#Analysis!A1"/><Relationship Id="rId4" Type="http://schemas.openxmlformats.org/officeDocument/2006/relationships/chart" Target="../charts/chart11.xml"/><Relationship Id="rId9"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594846</xdr:colOff>
      <xdr:row>97</xdr:row>
      <xdr:rowOff>5790</xdr:rowOff>
    </xdr:from>
    <xdr:to>
      <xdr:col>8</xdr:col>
      <xdr:colOff>310963</xdr:colOff>
      <xdr:row>111</xdr:row>
      <xdr:rowOff>134284</xdr:rowOff>
    </xdr:to>
    <xdr:graphicFrame macro="">
      <xdr:nvGraphicFramePr>
        <xdr:cNvPr id="5" name="Chart 4">
          <a:extLst>
            <a:ext uri="{FF2B5EF4-FFF2-40B4-BE49-F238E27FC236}">
              <a16:creationId xmlns:a16="http://schemas.microsoft.com/office/drawing/2014/main" id="{9C9EA846-0421-4F9F-6824-C886DC9CD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176770</xdr:colOff>
      <xdr:row>6</xdr:row>
      <xdr:rowOff>0</xdr:rowOff>
    </xdr:from>
    <xdr:to>
      <xdr:col>11</xdr:col>
      <xdr:colOff>260865</xdr:colOff>
      <xdr:row>16</xdr:row>
      <xdr:rowOff>60068</xdr:rowOff>
    </xdr:to>
    <xdr:graphicFrame macro="">
      <xdr:nvGraphicFramePr>
        <xdr:cNvPr id="2" name="Chart 1">
          <a:extLst>
            <a:ext uri="{FF2B5EF4-FFF2-40B4-BE49-F238E27FC236}">
              <a16:creationId xmlns:a16="http://schemas.microsoft.com/office/drawing/2014/main" id="{AB3D4DF4-D4BD-AEE7-FE24-B1D96053A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112412</xdr:colOff>
      <xdr:row>17</xdr:row>
      <xdr:rowOff>168704</xdr:rowOff>
    </xdr:from>
    <xdr:to>
      <xdr:col>11</xdr:col>
      <xdr:colOff>196507</xdr:colOff>
      <xdr:row>27</xdr:row>
      <xdr:rowOff>51486</xdr:rowOff>
    </xdr:to>
    <xdr:graphicFrame macro="">
      <xdr:nvGraphicFramePr>
        <xdr:cNvPr id="3" name="Chart 2">
          <a:extLst>
            <a:ext uri="{FF2B5EF4-FFF2-40B4-BE49-F238E27FC236}">
              <a16:creationId xmlns:a16="http://schemas.microsoft.com/office/drawing/2014/main" id="{51E825DE-4757-7037-F45D-74B4D769C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73797</xdr:colOff>
      <xdr:row>30</xdr:row>
      <xdr:rowOff>102973</xdr:rowOff>
    </xdr:from>
    <xdr:to>
      <xdr:col>11</xdr:col>
      <xdr:colOff>157892</xdr:colOff>
      <xdr:row>39</xdr:row>
      <xdr:rowOff>85810</xdr:rowOff>
    </xdr:to>
    <xdr:graphicFrame macro="">
      <xdr:nvGraphicFramePr>
        <xdr:cNvPr id="4" name="Chart 3">
          <a:extLst>
            <a:ext uri="{FF2B5EF4-FFF2-40B4-BE49-F238E27FC236}">
              <a16:creationId xmlns:a16="http://schemas.microsoft.com/office/drawing/2014/main" id="{F2C6C6B8-0500-9C7A-BD82-3F125E451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73797</xdr:colOff>
      <xdr:row>40</xdr:row>
      <xdr:rowOff>160123</xdr:rowOff>
    </xdr:from>
    <xdr:to>
      <xdr:col>11</xdr:col>
      <xdr:colOff>157892</xdr:colOff>
      <xdr:row>52</xdr:row>
      <xdr:rowOff>25743</xdr:rowOff>
    </xdr:to>
    <xdr:graphicFrame macro="">
      <xdr:nvGraphicFramePr>
        <xdr:cNvPr id="6" name="Chart 5">
          <a:extLst>
            <a:ext uri="{FF2B5EF4-FFF2-40B4-BE49-F238E27FC236}">
              <a16:creationId xmlns:a16="http://schemas.microsoft.com/office/drawing/2014/main" id="{F08A1DC7-CDB4-CED9-9DF8-F408E44CD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90959</xdr:colOff>
      <xdr:row>52</xdr:row>
      <xdr:rowOff>117218</xdr:rowOff>
    </xdr:from>
    <xdr:to>
      <xdr:col>11</xdr:col>
      <xdr:colOff>175054</xdr:colOff>
      <xdr:row>64</xdr:row>
      <xdr:rowOff>34325</xdr:rowOff>
    </xdr:to>
    <xdr:graphicFrame macro="">
      <xdr:nvGraphicFramePr>
        <xdr:cNvPr id="7" name="Chart 6">
          <a:extLst>
            <a:ext uri="{FF2B5EF4-FFF2-40B4-BE49-F238E27FC236}">
              <a16:creationId xmlns:a16="http://schemas.microsoft.com/office/drawing/2014/main" id="{6DDE3A1D-6506-59B8-F067-8161B2DC1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13729</xdr:colOff>
      <xdr:row>66</xdr:row>
      <xdr:rowOff>94391</xdr:rowOff>
    </xdr:from>
    <xdr:to>
      <xdr:col>11</xdr:col>
      <xdr:colOff>97824</xdr:colOff>
      <xdr:row>74</xdr:row>
      <xdr:rowOff>85811</xdr:rowOff>
    </xdr:to>
    <xdr:graphicFrame macro="">
      <xdr:nvGraphicFramePr>
        <xdr:cNvPr id="8" name="Chart 7">
          <a:extLst>
            <a:ext uri="{FF2B5EF4-FFF2-40B4-BE49-F238E27FC236}">
              <a16:creationId xmlns:a16="http://schemas.microsoft.com/office/drawing/2014/main" id="{CC1C10CA-0523-4FB0-6DAD-47FABC55D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403311</xdr:colOff>
      <xdr:row>1</xdr:row>
      <xdr:rowOff>60068</xdr:rowOff>
    </xdr:from>
    <xdr:to>
      <xdr:col>14</xdr:col>
      <xdr:colOff>155490</xdr:colOff>
      <xdr:row>6</xdr:row>
      <xdr:rowOff>94393</xdr:rowOff>
    </xdr:to>
    <mc:AlternateContent xmlns:mc="http://schemas.openxmlformats.org/markup-compatibility/2006" xmlns:a14="http://schemas.microsoft.com/office/drawing/2010/main">
      <mc:Choice Requires="a14">
        <xdr:graphicFrame macro="">
          <xdr:nvGraphicFramePr>
            <xdr:cNvPr id="9" name="Gender 2">
              <a:extLst>
                <a:ext uri="{FF2B5EF4-FFF2-40B4-BE49-F238E27FC236}">
                  <a16:creationId xmlns:a16="http://schemas.microsoft.com/office/drawing/2014/main" id="{123A8E64-E3FC-4D23-BA11-2F95FE73FD3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551352" y="240271"/>
              <a:ext cx="1828800" cy="935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257432</xdr:colOff>
      <xdr:row>1</xdr:row>
      <xdr:rowOff>25743</xdr:rowOff>
    </xdr:from>
    <xdr:to>
      <xdr:col>16</xdr:col>
      <xdr:colOff>412921</xdr:colOff>
      <xdr:row>6</xdr:row>
      <xdr:rowOff>120135</xdr:rowOff>
    </xdr:to>
    <mc:AlternateContent xmlns:mc="http://schemas.openxmlformats.org/markup-compatibility/2006" xmlns:a14="http://schemas.microsoft.com/office/drawing/2010/main">
      <mc:Choice Requires="a14">
        <xdr:graphicFrame macro="">
          <xdr:nvGraphicFramePr>
            <xdr:cNvPr id="10" name="OverTime 2">
              <a:extLst>
                <a:ext uri="{FF2B5EF4-FFF2-40B4-BE49-F238E27FC236}">
                  <a16:creationId xmlns:a16="http://schemas.microsoft.com/office/drawing/2014/main" id="{1F7D69CA-DB51-4960-A939-204D6151A45E}"/>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9482094" y="205946"/>
              <a:ext cx="1828800" cy="995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454797</xdr:colOff>
      <xdr:row>1</xdr:row>
      <xdr:rowOff>8581</xdr:rowOff>
    </xdr:from>
    <xdr:to>
      <xdr:col>19</xdr:col>
      <xdr:colOff>455827</xdr:colOff>
      <xdr:row>7</xdr:row>
      <xdr:rowOff>51486</xdr:rowOff>
    </xdr:to>
    <mc:AlternateContent xmlns:mc="http://schemas.openxmlformats.org/markup-compatibility/2006" xmlns:a14="http://schemas.microsoft.com/office/drawing/2010/main">
      <mc:Choice Requires="a14">
        <xdr:graphicFrame macro="">
          <xdr:nvGraphicFramePr>
            <xdr:cNvPr id="11" name="SalaryBand 2">
              <a:extLst>
                <a:ext uri="{FF2B5EF4-FFF2-40B4-BE49-F238E27FC236}">
                  <a16:creationId xmlns:a16="http://schemas.microsoft.com/office/drawing/2014/main" id="{2BE92758-080C-431F-96AA-9631C369CC70}"/>
                </a:ext>
              </a:extLst>
            </xdr:cNvPr>
            <xdr:cNvGraphicFramePr/>
          </xdr:nvGraphicFramePr>
          <xdr:xfrm>
            <a:off x="0" y="0"/>
            <a:ext cx="0" cy="0"/>
          </xdr:xfrm>
          <a:graphic>
            <a:graphicData uri="http://schemas.microsoft.com/office/drawing/2010/slicer">
              <sle:slicer xmlns:sle="http://schemas.microsoft.com/office/drawing/2010/slicer" name="SalaryBand 2"/>
            </a:graphicData>
          </a:graphic>
        </xdr:graphicFrame>
      </mc:Choice>
      <mc:Fallback xmlns="">
        <xdr:sp macro="" textlink="">
          <xdr:nvSpPr>
            <xdr:cNvPr id="0" name=""/>
            <xdr:cNvSpPr>
              <a:spLocks noTextEdit="1"/>
            </xdr:cNvSpPr>
          </xdr:nvSpPr>
          <xdr:spPr>
            <a:xfrm>
              <a:off x="11352770" y="188784"/>
              <a:ext cx="1828800" cy="1124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394730</xdr:colOff>
      <xdr:row>6</xdr:row>
      <xdr:rowOff>171623</xdr:rowOff>
    </xdr:from>
    <xdr:to>
      <xdr:col>14</xdr:col>
      <xdr:colOff>146909</xdr:colOff>
      <xdr:row>14</xdr:row>
      <xdr:rowOff>85812</xdr:rowOff>
    </xdr:to>
    <mc:AlternateContent xmlns:mc="http://schemas.openxmlformats.org/markup-compatibility/2006" xmlns:a14="http://schemas.microsoft.com/office/drawing/2010/main">
      <mc:Choice Requires="a14">
        <xdr:graphicFrame macro="">
          <xdr:nvGraphicFramePr>
            <xdr:cNvPr id="12" name="MaritalStatus 2">
              <a:extLst>
                <a:ext uri="{FF2B5EF4-FFF2-40B4-BE49-F238E27FC236}">
                  <a16:creationId xmlns:a16="http://schemas.microsoft.com/office/drawing/2014/main" id="{97203467-D196-456A-95E5-448DF69927BF}"/>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7542771" y="1252839"/>
              <a:ext cx="1828800" cy="136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259253</xdr:colOff>
      <xdr:row>23</xdr:row>
      <xdr:rowOff>16076</xdr:rowOff>
    </xdr:from>
    <xdr:to>
      <xdr:col>33</xdr:col>
      <xdr:colOff>128005</xdr:colOff>
      <xdr:row>55</xdr:row>
      <xdr:rowOff>55260</xdr:rowOff>
    </xdr:to>
    <xdr:sp macro="" textlink="">
      <xdr:nvSpPr>
        <xdr:cNvPr id="2" name="Rectangle 1">
          <a:extLst>
            <a:ext uri="{FF2B5EF4-FFF2-40B4-BE49-F238E27FC236}">
              <a16:creationId xmlns:a16="http://schemas.microsoft.com/office/drawing/2014/main" id="{9B3CFFDE-D1F9-BDAA-734F-8FB38777D31F}"/>
            </a:ext>
          </a:extLst>
        </xdr:cNvPr>
        <xdr:cNvSpPr/>
      </xdr:nvSpPr>
      <xdr:spPr>
        <a:xfrm>
          <a:off x="5757228" y="4268165"/>
          <a:ext cx="14530018" cy="5955133"/>
        </a:xfrm>
        <a:prstGeom prst="rect">
          <a:avLst/>
        </a:prstGeom>
        <a:solidFill>
          <a:srgbClr val="F8FAFC"/>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411409</xdr:colOff>
      <xdr:row>23</xdr:row>
      <xdr:rowOff>69589</xdr:rowOff>
    </xdr:from>
    <xdr:to>
      <xdr:col>12</xdr:col>
      <xdr:colOff>142697</xdr:colOff>
      <xdr:row>55</xdr:row>
      <xdr:rowOff>12705</xdr:rowOff>
    </xdr:to>
    <xdr:sp macro="" textlink="">
      <xdr:nvSpPr>
        <xdr:cNvPr id="3" name="Rectangle 2">
          <a:extLst>
            <a:ext uri="{FF2B5EF4-FFF2-40B4-BE49-F238E27FC236}">
              <a16:creationId xmlns:a16="http://schemas.microsoft.com/office/drawing/2014/main" id="{1C928C6E-84FC-F988-A73C-46EBB59B9CA3}"/>
            </a:ext>
          </a:extLst>
        </xdr:cNvPr>
        <xdr:cNvSpPr/>
      </xdr:nvSpPr>
      <xdr:spPr>
        <a:xfrm>
          <a:off x="5891546" y="4271027"/>
          <a:ext cx="1558000" cy="5788596"/>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360775</xdr:colOff>
      <xdr:row>27</xdr:row>
      <xdr:rowOff>8604</xdr:rowOff>
    </xdr:from>
    <xdr:to>
      <xdr:col>14</xdr:col>
      <xdr:colOff>603732</xdr:colOff>
      <xdr:row>30</xdr:row>
      <xdr:rowOff>145204</xdr:rowOff>
    </xdr:to>
    <xdr:sp macro="" textlink="">
      <xdr:nvSpPr>
        <xdr:cNvPr id="6" name="Rectangle: Rounded Corners 5">
          <a:extLst>
            <a:ext uri="{FF2B5EF4-FFF2-40B4-BE49-F238E27FC236}">
              <a16:creationId xmlns:a16="http://schemas.microsoft.com/office/drawing/2014/main" id="{CF057A4D-FC49-A53E-3A9A-84672FF95806}"/>
            </a:ext>
          </a:extLst>
        </xdr:cNvPr>
        <xdr:cNvSpPr/>
      </xdr:nvSpPr>
      <xdr:spPr>
        <a:xfrm>
          <a:off x="7708632" y="4907175"/>
          <a:ext cx="1467600" cy="680886"/>
        </a:xfrm>
        <a:prstGeom prst="roundRect">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163837</xdr:colOff>
      <xdr:row>26</xdr:row>
      <xdr:rowOff>159900</xdr:rowOff>
    </xdr:from>
    <xdr:to>
      <xdr:col>18</xdr:col>
      <xdr:colOff>402914</xdr:colOff>
      <xdr:row>30</xdr:row>
      <xdr:rowOff>110994</xdr:rowOff>
    </xdr:to>
    <xdr:sp macro="" textlink="">
      <xdr:nvSpPr>
        <xdr:cNvPr id="7" name="Rectangle: Rounded Corners 6">
          <a:extLst>
            <a:ext uri="{FF2B5EF4-FFF2-40B4-BE49-F238E27FC236}">
              <a16:creationId xmlns:a16="http://schemas.microsoft.com/office/drawing/2014/main" id="{8CE0F3A7-F9EC-4D66-A42D-4C08BDEF6D87}"/>
            </a:ext>
          </a:extLst>
        </xdr:cNvPr>
        <xdr:cNvSpPr/>
      </xdr:nvSpPr>
      <xdr:spPr>
        <a:xfrm>
          <a:off x="9960980" y="4877043"/>
          <a:ext cx="1463720" cy="67680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575341</xdr:colOff>
      <xdr:row>26</xdr:row>
      <xdr:rowOff>147904</xdr:rowOff>
    </xdr:from>
    <xdr:to>
      <xdr:col>22</xdr:col>
      <xdr:colOff>205975</xdr:colOff>
      <xdr:row>30</xdr:row>
      <xdr:rowOff>98208</xdr:rowOff>
    </xdr:to>
    <xdr:sp macro="" textlink="">
      <xdr:nvSpPr>
        <xdr:cNvPr id="8" name="Rectangle: Rounded Corners 7">
          <a:extLst>
            <a:ext uri="{FF2B5EF4-FFF2-40B4-BE49-F238E27FC236}">
              <a16:creationId xmlns:a16="http://schemas.microsoft.com/office/drawing/2014/main" id="{DA7A2A90-7CA7-4F79-9107-2A9EB554E759}"/>
            </a:ext>
          </a:extLst>
        </xdr:cNvPr>
        <xdr:cNvSpPr/>
      </xdr:nvSpPr>
      <xdr:spPr>
        <a:xfrm>
          <a:off x="12209448" y="4865047"/>
          <a:ext cx="1467598" cy="67601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378400</xdr:colOff>
      <xdr:row>26</xdr:row>
      <xdr:rowOff>144505</xdr:rowOff>
    </xdr:from>
    <xdr:to>
      <xdr:col>26</xdr:col>
      <xdr:colOff>14897</xdr:colOff>
      <xdr:row>30</xdr:row>
      <xdr:rowOff>94809</xdr:rowOff>
    </xdr:to>
    <xdr:sp macro="" textlink="">
      <xdr:nvSpPr>
        <xdr:cNvPr id="9" name="Rectangle: Rounded Corners 8">
          <a:extLst>
            <a:ext uri="{FF2B5EF4-FFF2-40B4-BE49-F238E27FC236}">
              <a16:creationId xmlns:a16="http://schemas.microsoft.com/office/drawing/2014/main" id="{3E3477EC-B2CF-431A-BB3A-EB51B5097921}"/>
            </a:ext>
          </a:extLst>
        </xdr:cNvPr>
        <xdr:cNvSpPr/>
      </xdr:nvSpPr>
      <xdr:spPr>
        <a:xfrm>
          <a:off x="14461793" y="4861648"/>
          <a:ext cx="1473461" cy="67601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250326</xdr:colOff>
      <xdr:row>31</xdr:row>
      <xdr:rowOff>52859</xdr:rowOff>
    </xdr:from>
    <xdr:to>
      <xdr:col>18</xdr:col>
      <xdr:colOff>92179</xdr:colOff>
      <xdr:row>42</xdr:row>
      <xdr:rowOff>57078</xdr:rowOff>
    </xdr:to>
    <xdr:sp macro="" textlink="">
      <xdr:nvSpPr>
        <xdr:cNvPr id="10" name="Rectangle: Rounded Corners 9">
          <a:extLst>
            <a:ext uri="{FF2B5EF4-FFF2-40B4-BE49-F238E27FC236}">
              <a16:creationId xmlns:a16="http://schemas.microsoft.com/office/drawing/2014/main" id="{65C3B242-CD88-45F1-862F-B95B927BBD5B}"/>
            </a:ext>
          </a:extLst>
        </xdr:cNvPr>
        <xdr:cNvSpPr/>
      </xdr:nvSpPr>
      <xdr:spPr>
        <a:xfrm>
          <a:off x="7527854" y="5803533"/>
          <a:ext cx="3480617" cy="2044781"/>
        </a:xfrm>
        <a:prstGeom prst="roundRect">
          <a:avLst>
            <a:gd name="adj" fmla="val 814"/>
          </a:avLst>
        </a:prstGeom>
        <a:noFill/>
        <a:ln>
          <a:noFill/>
        </a:ln>
        <a:effectLst>
          <a:outerShdw blurRad="50800" dist="381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125266</xdr:colOff>
      <xdr:row>31</xdr:row>
      <xdr:rowOff>49984</xdr:rowOff>
    </xdr:from>
    <xdr:to>
      <xdr:col>22</xdr:col>
      <xdr:colOff>221345</xdr:colOff>
      <xdr:row>42</xdr:row>
      <xdr:rowOff>49943</xdr:rowOff>
    </xdr:to>
    <xdr:sp macro="" textlink="">
      <xdr:nvSpPr>
        <xdr:cNvPr id="11" name="Rectangle: Rounded Corners 10">
          <a:extLst>
            <a:ext uri="{FF2B5EF4-FFF2-40B4-BE49-F238E27FC236}">
              <a16:creationId xmlns:a16="http://schemas.microsoft.com/office/drawing/2014/main" id="{CDEC12EA-6EF2-4F3C-A79B-23164ED14386}"/>
            </a:ext>
          </a:extLst>
        </xdr:cNvPr>
        <xdr:cNvSpPr/>
      </xdr:nvSpPr>
      <xdr:spPr>
        <a:xfrm>
          <a:off x="11041558" y="5800658"/>
          <a:ext cx="2521922" cy="2040521"/>
        </a:xfrm>
        <a:prstGeom prst="roundRect">
          <a:avLst>
            <a:gd name="adj" fmla="val 814"/>
          </a:avLst>
        </a:prstGeom>
        <a:noFill/>
        <a:ln>
          <a:noFill/>
        </a:ln>
        <a:effectLst>
          <a:outerShdw blurRad="50800" dist="381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270510</xdr:colOff>
      <xdr:row>31</xdr:row>
      <xdr:rowOff>67162</xdr:rowOff>
    </xdr:from>
    <xdr:to>
      <xdr:col>27</xdr:col>
      <xdr:colOff>326443</xdr:colOff>
      <xdr:row>42</xdr:row>
      <xdr:rowOff>51751</xdr:rowOff>
    </xdr:to>
    <xdr:sp macro="" textlink="">
      <xdr:nvSpPr>
        <xdr:cNvPr id="12" name="Rectangle: Rounded Corners 11">
          <a:extLst>
            <a:ext uri="{FF2B5EF4-FFF2-40B4-BE49-F238E27FC236}">
              <a16:creationId xmlns:a16="http://schemas.microsoft.com/office/drawing/2014/main" id="{EF8D25D9-2238-42A1-82D7-657BF1686F98}"/>
            </a:ext>
          </a:extLst>
        </xdr:cNvPr>
        <xdr:cNvSpPr/>
      </xdr:nvSpPr>
      <xdr:spPr>
        <a:xfrm>
          <a:off x="13650228" y="5889486"/>
          <a:ext cx="3096778" cy="2050575"/>
        </a:xfrm>
        <a:prstGeom prst="roundRect">
          <a:avLst>
            <a:gd name="adj" fmla="val 81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427229</xdr:colOff>
      <xdr:row>27</xdr:row>
      <xdr:rowOff>2903</xdr:rowOff>
    </xdr:from>
    <xdr:to>
      <xdr:col>32</xdr:col>
      <xdr:colOff>574923</xdr:colOff>
      <xdr:row>37</xdr:row>
      <xdr:rowOff>178370</xdr:rowOff>
    </xdr:to>
    <xdr:sp macro="" textlink="">
      <xdr:nvSpPr>
        <xdr:cNvPr id="13" name="Rectangle: Rounded Corners 12">
          <a:extLst>
            <a:ext uri="{FF2B5EF4-FFF2-40B4-BE49-F238E27FC236}">
              <a16:creationId xmlns:a16="http://schemas.microsoft.com/office/drawing/2014/main" id="{775F269C-6084-4E7F-A701-6399E51B1EAA}"/>
            </a:ext>
          </a:extLst>
        </xdr:cNvPr>
        <xdr:cNvSpPr/>
      </xdr:nvSpPr>
      <xdr:spPr>
        <a:xfrm>
          <a:off x="16929292" y="4932091"/>
          <a:ext cx="3203631" cy="2001092"/>
        </a:xfrm>
        <a:prstGeom prst="roundRect">
          <a:avLst>
            <a:gd name="adj" fmla="val 814"/>
          </a:avLst>
        </a:prstGeom>
        <a:noFill/>
        <a:ln>
          <a:noFill/>
        </a:ln>
        <a:effectLst>
          <a:outerShdw blurRad="50800" dist="381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242584</xdr:colOff>
      <xdr:row>42</xdr:row>
      <xdr:rowOff>178371</xdr:rowOff>
    </xdr:from>
    <xdr:to>
      <xdr:col>18</xdr:col>
      <xdr:colOff>94292</xdr:colOff>
      <xdr:row>54</xdr:row>
      <xdr:rowOff>155152</xdr:rowOff>
    </xdr:to>
    <xdr:sp macro="" textlink="">
      <xdr:nvSpPr>
        <xdr:cNvPr id="14" name="Rectangle: Rounded Corners 13">
          <a:extLst>
            <a:ext uri="{FF2B5EF4-FFF2-40B4-BE49-F238E27FC236}">
              <a16:creationId xmlns:a16="http://schemas.microsoft.com/office/drawing/2014/main" id="{EC41DA0B-79B1-405E-AE96-B3BEF59FB1E2}"/>
            </a:ext>
          </a:extLst>
        </xdr:cNvPr>
        <xdr:cNvSpPr/>
      </xdr:nvSpPr>
      <xdr:spPr>
        <a:xfrm>
          <a:off x="7520112" y="7969607"/>
          <a:ext cx="3490472" cy="2202848"/>
        </a:xfrm>
        <a:prstGeom prst="roundRect">
          <a:avLst>
            <a:gd name="adj" fmla="val 814"/>
          </a:avLst>
        </a:prstGeom>
        <a:noFill/>
        <a:ln>
          <a:noFill/>
        </a:ln>
        <a:effectLst>
          <a:outerShdw blurRad="50800" dist="381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130176</xdr:colOff>
      <xdr:row>42</xdr:row>
      <xdr:rowOff>103702</xdr:rowOff>
    </xdr:from>
    <xdr:to>
      <xdr:col>22</xdr:col>
      <xdr:colOff>268310</xdr:colOff>
      <xdr:row>54</xdr:row>
      <xdr:rowOff>169929</xdr:rowOff>
    </xdr:to>
    <xdr:sp macro="" textlink="">
      <xdr:nvSpPr>
        <xdr:cNvPr id="15" name="Rectangle: Rounded Corners 14">
          <a:extLst>
            <a:ext uri="{FF2B5EF4-FFF2-40B4-BE49-F238E27FC236}">
              <a16:creationId xmlns:a16="http://schemas.microsoft.com/office/drawing/2014/main" id="{25FBE806-3F13-4236-9B83-F58A5C2782A1}"/>
            </a:ext>
          </a:extLst>
        </xdr:cNvPr>
        <xdr:cNvSpPr/>
      </xdr:nvSpPr>
      <xdr:spPr>
        <a:xfrm>
          <a:off x="11077218" y="7992012"/>
          <a:ext cx="2570810" cy="2320030"/>
        </a:xfrm>
        <a:prstGeom prst="roundRect">
          <a:avLst>
            <a:gd name="adj" fmla="val 81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424882</xdr:colOff>
      <xdr:row>38</xdr:row>
      <xdr:rowOff>57079</xdr:rowOff>
    </xdr:from>
    <xdr:to>
      <xdr:col>32</xdr:col>
      <xdr:colOff>590028</xdr:colOff>
      <xdr:row>54</xdr:row>
      <xdr:rowOff>134931</xdr:rowOff>
    </xdr:to>
    <xdr:sp macro="" textlink="">
      <xdr:nvSpPr>
        <xdr:cNvPr id="16" name="Rectangle: Rounded Corners 15">
          <a:extLst>
            <a:ext uri="{FF2B5EF4-FFF2-40B4-BE49-F238E27FC236}">
              <a16:creationId xmlns:a16="http://schemas.microsoft.com/office/drawing/2014/main" id="{49A7D980-5B02-E317-6BF5-49495AB37E2D}"/>
            </a:ext>
          </a:extLst>
        </xdr:cNvPr>
        <xdr:cNvSpPr/>
      </xdr:nvSpPr>
      <xdr:spPr>
        <a:xfrm>
          <a:off x="16926945" y="6994454"/>
          <a:ext cx="3221083" cy="2998852"/>
        </a:xfrm>
        <a:prstGeom prst="roundRect">
          <a:avLst>
            <a:gd name="adj" fmla="val 814"/>
          </a:avLst>
        </a:prstGeom>
        <a:noFill/>
        <a:ln>
          <a:noFill/>
        </a:ln>
        <a:effectLst>
          <a:outerShdw blurRad="50800" dist="381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284104</xdr:colOff>
      <xdr:row>42</xdr:row>
      <xdr:rowOff>171236</xdr:rowOff>
    </xdr:from>
    <xdr:to>
      <xdr:col>27</xdr:col>
      <xdr:colOff>317499</xdr:colOff>
      <xdr:row>54</xdr:row>
      <xdr:rowOff>157865</xdr:rowOff>
    </xdr:to>
    <xdr:sp macro="" textlink="">
      <xdr:nvSpPr>
        <xdr:cNvPr id="17" name="Rectangle: Rounded Corners 16">
          <a:extLst>
            <a:ext uri="{FF2B5EF4-FFF2-40B4-BE49-F238E27FC236}">
              <a16:creationId xmlns:a16="http://schemas.microsoft.com/office/drawing/2014/main" id="{4C563A81-5561-44C3-9361-CE0B305A3B70}"/>
            </a:ext>
          </a:extLst>
        </xdr:cNvPr>
        <xdr:cNvSpPr/>
      </xdr:nvSpPr>
      <xdr:spPr>
        <a:xfrm>
          <a:off x="13730229" y="7838861"/>
          <a:ext cx="3089333" cy="2177379"/>
        </a:xfrm>
        <a:prstGeom prst="roundRect">
          <a:avLst>
            <a:gd name="adj" fmla="val 814"/>
          </a:avLst>
        </a:prstGeom>
        <a:noFill/>
        <a:ln>
          <a:noFill/>
        </a:ln>
        <a:effectLst>
          <a:outerShdw blurRad="50800" dist="38100" dir="2700000" algn="tl" rotWithShape="0">
            <a:prstClr val="black">
              <a:alpha val="4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309941</xdr:colOff>
      <xdr:row>27</xdr:row>
      <xdr:rowOff>37791</xdr:rowOff>
    </xdr:from>
    <xdr:to>
      <xdr:col>15</xdr:col>
      <xdr:colOff>105832</xdr:colOff>
      <xdr:row>28</xdr:row>
      <xdr:rowOff>68034</xdr:rowOff>
    </xdr:to>
    <xdr:sp macro="" textlink="">
      <xdr:nvSpPr>
        <xdr:cNvPr id="5" name="TextBox 4">
          <a:extLst>
            <a:ext uri="{FF2B5EF4-FFF2-40B4-BE49-F238E27FC236}">
              <a16:creationId xmlns:a16="http://schemas.microsoft.com/office/drawing/2014/main" id="{D122467F-6D0F-345C-508F-0B9C1E6A17A6}"/>
            </a:ext>
          </a:extLst>
        </xdr:cNvPr>
        <xdr:cNvSpPr txBox="1"/>
      </xdr:nvSpPr>
      <xdr:spPr>
        <a:xfrm>
          <a:off x="7657798" y="4936362"/>
          <a:ext cx="1632855" cy="21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1F2937"/>
              </a:solidFill>
            </a:rPr>
            <a:t>TOTAL</a:t>
          </a:r>
          <a:r>
            <a:rPr lang="en-IN" sz="1200" b="1" baseline="0">
              <a:solidFill>
                <a:srgbClr val="1F2937"/>
              </a:solidFill>
            </a:rPr>
            <a:t> EMPLOYEES</a:t>
          </a:r>
          <a:endParaRPr lang="en-IN" sz="1200" b="1">
            <a:solidFill>
              <a:srgbClr val="1F2937"/>
            </a:solidFill>
          </a:endParaRPr>
        </a:p>
      </xdr:txBody>
    </xdr:sp>
    <xdr:clientData/>
  </xdr:twoCellAnchor>
  <xdr:twoCellAnchor>
    <xdr:from>
      <xdr:col>12</xdr:col>
      <xdr:colOff>202025</xdr:colOff>
      <xdr:row>28</xdr:row>
      <xdr:rowOff>45358</xdr:rowOff>
    </xdr:from>
    <xdr:to>
      <xdr:col>15</xdr:col>
      <xdr:colOff>173870</xdr:colOff>
      <xdr:row>30</xdr:row>
      <xdr:rowOff>151191</xdr:rowOff>
    </xdr:to>
    <xdr:sp macro="" textlink="Analysis!A6">
      <xdr:nvSpPr>
        <xdr:cNvPr id="18" name="TextBox 17">
          <a:extLst>
            <a:ext uri="{FF2B5EF4-FFF2-40B4-BE49-F238E27FC236}">
              <a16:creationId xmlns:a16="http://schemas.microsoft.com/office/drawing/2014/main" id="{519C40D8-AB86-43BB-B74D-849B3B5978FD}"/>
            </a:ext>
          </a:extLst>
        </xdr:cNvPr>
        <xdr:cNvSpPr txBox="1"/>
      </xdr:nvSpPr>
      <xdr:spPr>
        <a:xfrm>
          <a:off x="7549882" y="5125358"/>
          <a:ext cx="1808809" cy="468690"/>
        </a:xfrm>
        <a:prstGeom prst="rect">
          <a:avLst/>
        </a:prstGeom>
        <a:noFill/>
        <a:ln w="9525" cmpd="sng">
          <a:noFill/>
        </a:ln>
        <a:effectLst>
          <a:outerShdw blurRad="50800" dist="38100" dir="2700000" algn="tl" rotWithShape="0">
            <a:prstClr val="black">
              <a:alpha val="43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A4E7AA-8786-4AC9-9FA8-050AB6921B3D}" type="TxLink">
            <a:rPr lang="en-US" sz="2800" b="1" i="0" u="none" strike="noStrike">
              <a:solidFill>
                <a:srgbClr val="2563EB"/>
              </a:solidFill>
              <a:latin typeface="Calibri"/>
              <a:ea typeface="Calibri"/>
              <a:cs typeface="Calibri"/>
            </a:rPr>
            <a:pPr algn="ctr"/>
            <a:t>1470</a:t>
          </a:fld>
          <a:endParaRPr lang="en-IN" sz="1400" b="1">
            <a:solidFill>
              <a:srgbClr val="2563EB"/>
            </a:solidFill>
          </a:endParaRPr>
        </a:p>
      </xdr:txBody>
    </xdr:sp>
    <xdr:clientData/>
  </xdr:twoCellAnchor>
  <xdr:twoCellAnchor>
    <xdr:from>
      <xdr:col>16</xdr:col>
      <xdr:colOff>108495</xdr:colOff>
      <xdr:row>27</xdr:row>
      <xdr:rowOff>31389</xdr:rowOff>
    </xdr:from>
    <xdr:to>
      <xdr:col>18</xdr:col>
      <xdr:colOff>516707</xdr:colOff>
      <xdr:row>28</xdr:row>
      <xdr:rowOff>61632</xdr:rowOff>
    </xdr:to>
    <xdr:sp macro="" textlink="">
      <xdr:nvSpPr>
        <xdr:cNvPr id="19" name="TextBox 18">
          <a:extLst>
            <a:ext uri="{FF2B5EF4-FFF2-40B4-BE49-F238E27FC236}">
              <a16:creationId xmlns:a16="http://schemas.microsoft.com/office/drawing/2014/main" id="{CD7C34F5-DCB6-4323-A2DB-FE235E37B302}"/>
            </a:ext>
          </a:extLst>
        </xdr:cNvPr>
        <xdr:cNvSpPr txBox="1"/>
      </xdr:nvSpPr>
      <xdr:spPr>
        <a:xfrm>
          <a:off x="9905638" y="4929960"/>
          <a:ext cx="1632855" cy="21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1F2937"/>
              </a:solidFill>
            </a:rPr>
            <a:t>ATTRITION</a:t>
          </a:r>
          <a:r>
            <a:rPr lang="en-IN" sz="1200" b="1" baseline="0">
              <a:solidFill>
                <a:srgbClr val="1F2937"/>
              </a:solidFill>
            </a:rPr>
            <a:t> COUNT</a:t>
          </a:r>
          <a:endParaRPr lang="en-IN" sz="1200" b="1">
            <a:solidFill>
              <a:srgbClr val="1F2937"/>
            </a:solidFill>
          </a:endParaRPr>
        </a:p>
      </xdr:txBody>
    </xdr:sp>
    <xdr:clientData/>
  </xdr:twoCellAnchor>
  <xdr:twoCellAnchor>
    <xdr:from>
      <xdr:col>19</xdr:col>
      <xdr:colOff>519371</xdr:colOff>
      <xdr:row>27</xdr:row>
      <xdr:rowOff>27451</xdr:rowOff>
    </xdr:from>
    <xdr:to>
      <xdr:col>22</xdr:col>
      <xdr:colOff>315262</xdr:colOff>
      <xdr:row>28</xdr:row>
      <xdr:rowOff>57694</xdr:rowOff>
    </xdr:to>
    <xdr:sp macro="" textlink="">
      <xdr:nvSpPr>
        <xdr:cNvPr id="20" name="TextBox 19">
          <a:extLst>
            <a:ext uri="{FF2B5EF4-FFF2-40B4-BE49-F238E27FC236}">
              <a16:creationId xmlns:a16="http://schemas.microsoft.com/office/drawing/2014/main" id="{29FE44AD-B606-4A16-A987-B3A832CE5BD4}"/>
            </a:ext>
          </a:extLst>
        </xdr:cNvPr>
        <xdr:cNvSpPr txBox="1"/>
      </xdr:nvSpPr>
      <xdr:spPr>
        <a:xfrm>
          <a:off x="12153478" y="4926022"/>
          <a:ext cx="1632855" cy="21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1F2937"/>
              </a:solidFill>
            </a:rPr>
            <a:t>ATTRITION</a:t>
          </a:r>
          <a:r>
            <a:rPr lang="en-IN" sz="1200" b="1" baseline="0">
              <a:solidFill>
                <a:srgbClr val="1F2937"/>
              </a:solidFill>
            </a:rPr>
            <a:t> RATE</a:t>
          </a:r>
        </a:p>
      </xdr:txBody>
    </xdr:sp>
    <xdr:clientData/>
  </xdr:twoCellAnchor>
  <xdr:twoCellAnchor>
    <xdr:from>
      <xdr:col>23</xdr:col>
      <xdr:colOff>317924</xdr:colOff>
      <xdr:row>26</xdr:row>
      <xdr:rowOff>174743</xdr:rowOff>
    </xdr:from>
    <xdr:to>
      <xdr:col>26</xdr:col>
      <xdr:colOff>113815</xdr:colOff>
      <xdr:row>28</xdr:row>
      <xdr:rowOff>23558</xdr:rowOff>
    </xdr:to>
    <xdr:sp macro="" textlink="">
      <xdr:nvSpPr>
        <xdr:cNvPr id="21" name="TextBox 20">
          <a:extLst>
            <a:ext uri="{FF2B5EF4-FFF2-40B4-BE49-F238E27FC236}">
              <a16:creationId xmlns:a16="http://schemas.microsoft.com/office/drawing/2014/main" id="{5A40864C-855E-44F3-B46D-8E809F27188A}"/>
            </a:ext>
          </a:extLst>
        </xdr:cNvPr>
        <xdr:cNvSpPr txBox="1"/>
      </xdr:nvSpPr>
      <xdr:spPr>
        <a:xfrm>
          <a:off x="14401317" y="4891886"/>
          <a:ext cx="1632855" cy="21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1F2937"/>
              </a:solidFill>
            </a:rPr>
            <a:t>AVG</a:t>
          </a:r>
          <a:r>
            <a:rPr lang="en-IN" sz="1200" b="1" baseline="0">
              <a:solidFill>
                <a:srgbClr val="1F2937"/>
              </a:solidFill>
            </a:rPr>
            <a:t> INCOME</a:t>
          </a:r>
          <a:endParaRPr lang="en-IN" sz="1200" b="1">
            <a:solidFill>
              <a:srgbClr val="1F2937"/>
            </a:solidFill>
          </a:endParaRPr>
        </a:p>
      </xdr:txBody>
    </xdr:sp>
    <xdr:clientData/>
  </xdr:twoCellAnchor>
  <xdr:twoCellAnchor>
    <xdr:from>
      <xdr:col>16</xdr:col>
      <xdr:colOff>87026</xdr:colOff>
      <xdr:row>28</xdr:row>
      <xdr:rowOff>68036</xdr:rowOff>
    </xdr:from>
    <xdr:to>
      <xdr:col>18</xdr:col>
      <xdr:colOff>495238</xdr:colOff>
      <xdr:row>30</xdr:row>
      <xdr:rowOff>98274</xdr:rowOff>
    </xdr:to>
    <xdr:sp macro="" textlink="Analysis!C6">
      <xdr:nvSpPr>
        <xdr:cNvPr id="22" name="TextBox 21">
          <a:extLst>
            <a:ext uri="{FF2B5EF4-FFF2-40B4-BE49-F238E27FC236}">
              <a16:creationId xmlns:a16="http://schemas.microsoft.com/office/drawing/2014/main" id="{67E4FC3B-AFE1-473D-8ACC-202AB239D16B}"/>
            </a:ext>
          </a:extLst>
        </xdr:cNvPr>
        <xdr:cNvSpPr txBox="1"/>
      </xdr:nvSpPr>
      <xdr:spPr>
        <a:xfrm>
          <a:off x="9884169" y="5148036"/>
          <a:ext cx="1632855" cy="393095"/>
        </a:xfrm>
        <a:prstGeom prst="rect">
          <a:avLst/>
        </a:prstGeom>
        <a:noFill/>
        <a:ln w="9525" cmpd="sng">
          <a:noFill/>
        </a:ln>
        <a:effectLst>
          <a:outerShdw blurRad="50800" dist="38100" dir="2700000" algn="tl" rotWithShape="0">
            <a:prstClr val="black">
              <a:alpha val="43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E3E0C2-CC8C-496B-8BFC-0EC9C39952FB}" type="TxLink">
            <a:rPr lang="en-US" sz="2800" b="1" i="0" u="none" strike="noStrike">
              <a:solidFill>
                <a:srgbClr val="DC2626"/>
              </a:solidFill>
              <a:latin typeface="Calibri"/>
              <a:ea typeface="Calibri"/>
              <a:cs typeface="Calibri"/>
            </a:rPr>
            <a:pPr marL="0" indent="0" algn="ctr"/>
            <a:t>237</a:t>
          </a:fld>
          <a:endParaRPr lang="en-IN" sz="2800" b="1" i="0" u="none" strike="noStrike">
            <a:solidFill>
              <a:srgbClr val="DC2626"/>
            </a:solidFill>
            <a:latin typeface="Calibri"/>
            <a:ea typeface="Calibri"/>
            <a:cs typeface="Calibri"/>
          </a:endParaRPr>
        </a:p>
      </xdr:txBody>
    </xdr:sp>
    <xdr:clientData/>
  </xdr:twoCellAnchor>
  <xdr:twoCellAnchor>
    <xdr:from>
      <xdr:col>19</xdr:col>
      <xdr:colOff>514865</xdr:colOff>
      <xdr:row>28</xdr:row>
      <xdr:rowOff>125223</xdr:rowOff>
    </xdr:from>
    <xdr:to>
      <xdr:col>22</xdr:col>
      <xdr:colOff>310756</xdr:colOff>
      <xdr:row>30</xdr:row>
      <xdr:rowOff>60474</xdr:rowOff>
    </xdr:to>
    <xdr:sp macro="" textlink="Analysis!D6">
      <xdr:nvSpPr>
        <xdr:cNvPr id="23" name="TextBox 22">
          <a:extLst>
            <a:ext uri="{FF2B5EF4-FFF2-40B4-BE49-F238E27FC236}">
              <a16:creationId xmlns:a16="http://schemas.microsoft.com/office/drawing/2014/main" id="{10A5C7E3-C9D8-4E84-A832-D650CF0CD3B5}"/>
            </a:ext>
          </a:extLst>
        </xdr:cNvPr>
        <xdr:cNvSpPr txBox="1"/>
      </xdr:nvSpPr>
      <xdr:spPr>
        <a:xfrm>
          <a:off x="12148972" y="5205223"/>
          <a:ext cx="1632855" cy="298108"/>
        </a:xfrm>
        <a:prstGeom prst="rect">
          <a:avLst/>
        </a:prstGeom>
        <a:noFill/>
        <a:ln w="9525" cmpd="sng">
          <a:noFill/>
        </a:ln>
        <a:effectLst>
          <a:outerShdw blurRad="50800" dist="38100" dir="2700000" algn="tl" rotWithShape="0">
            <a:prstClr val="black">
              <a:alpha val="43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157AB1-4623-4335-A158-AEA0D3876F70}" type="TxLink">
            <a:rPr lang="en-US" sz="2800" b="1" i="0" u="none" strike="noStrike">
              <a:solidFill>
                <a:srgbClr val="EF4444"/>
              </a:solidFill>
              <a:latin typeface="Calibri"/>
              <a:ea typeface="Calibri"/>
              <a:cs typeface="Calibri"/>
            </a:rPr>
            <a:pPr marL="0" indent="0" algn="ctr"/>
            <a:t>16%</a:t>
          </a:fld>
          <a:endParaRPr lang="en-IN" sz="2800" b="1" i="0" u="none" strike="noStrike">
            <a:solidFill>
              <a:srgbClr val="EF4444"/>
            </a:solidFill>
            <a:latin typeface="Calibri"/>
            <a:ea typeface="Calibri"/>
            <a:cs typeface="Calibri"/>
          </a:endParaRPr>
        </a:p>
      </xdr:txBody>
    </xdr:sp>
    <xdr:clientData/>
  </xdr:twoCellAnchor>
  <xdr:twoCellAnchor>
    <xdr:from>
      <xdr:col>23</xdr:col>
      <xdr:colOff>280126</xdr:colOff>
      <xdr:row>28</xdr:row>
      <xdr:rowOff>99144</xdr:rowOff>
    </xdr:from>
    <xdr:to>
      <xdr:col>26</xdr:col>
      <xdr:colOff>76017</xdr:colOff>
      <xdr:row>30</xdr:row>
      <xdr:rowOff>83151</xdr:rowOff>
    </xdr:to>
    <xdr:sp macro="" textlink="Analysis!B6">
      <xdr:nvSpPr>
        <xdr:cNvPr id="24" name="TextBox 23">
          <a:extLst>
            <a:ext uri="{FF2B5EF4-FFF2-40B4-BE49-F238E27FC236}">
              <a16:creationId xmlns:a16="http://schemas.microsoft.com/office/drawing/2014/main" id="{01BCFEB8-E836-4DAD-80B4-03D8E6014C8C}"/>
            </a:ext>
          </a:extLst>
        </xdr:cNvPr>
        <xdr:cNvSpPr txBox="1"/>
      </xdr:nvSpPr>
      <xdr:spPr>
        <a:xfrm>
          <a:off x="14363519" y="5179144"/>
          <a:ext cx="1632855" cy="346864"/>
        </a:xfrm>
        <a:prstGeom prst="rect">
          <a:avLst/>
        </a:prstGeom>
        <a:noFill/>
        <a:ln w="9525" cmpd="sng">
          <a:noFill/>
        </a:ln>
        <a:effectLst>
          <a:outerShdw blurRad="50800" dist="38100" dir="2700000" algn="tl" rotWithShape="0">
            <a:prstClr val="black">
              <a:alpha val="43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EE0A95-1F68-42C8-B86B-3B0C7664A990}" type="TxLink">
            <a:rPr lang="en-US" sz="2800" b="1" i="0" u="none" strike="noStrike">
              <a:solidFill>
                <a:srgbClr val="10B981"/>
              </a:solidFill>
              <a:latin typeface="Calibri"/>
              <a:ea typeface="Calibri"/>
              <a:cs typeface="Calibri"/>
            </a:rPr>
            <a:pPr marL="0" indent="0" algn="ctr"/>
            <a:t> ₹ 6,503 </a:t>
          </a:fld>
          <a:endParaRPr lang="en-IN" sz="2800" b="1" i="0" u="none" strike="noStrike">
            <a:solidFill>
              <a:srgbClr val="10B981"/>
            </a:solidFill>
            <a:latin typeface="Calibri"/>
            <a:ea typeface="Calibri"/>
            <a:cs typeface="Calibri"/>
          </a:endParaRPr>
        </a:p>
      </xdr:txBody>
    </xdr:sp>
    <xdr:clientData/>
  </xdr:twoCellAnchor>
  <xdr:twoCellAnchor>
    <xdr:from>
      <xdr:col>18</xdr:col>
      <xdr:colOff>151190</xdr:colOff>
      <xdr:row>32</xdr:row>
      <xdr:rowOff>128513</xdr:rowOff>
    </xdr:from>
    <xdr:to>
      <xdr:col>22</xdr:col>
      <xdr:colOff>219227</xdr:colOff>
      <xdr:row>42</xdr:row>
      <xdr:rowOff>52917</xdr:rowOff>
    </xdr:to>
    <xdr:graphicFrame macro="">
      <xdr:nvGraphicFramePr>
        <xdr:cNvPr id="25" name="Chart 24">
          <a:extLst>
            <a:ext uri="{FF2B5EF4-FFF2-40B4-BE49-F238E27FC236}">
              <a16:creationId xmlns:a16="http://schemas.microsoft.com/office/drawing/2014/main" id="{82A5A3F8-FF58-4EEF-9035-FAD06462A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166310</xdr:colOff>
      <xdr:row>31</xdr:row>
      <xdr:rowOff>75594</xdr:rowOff>
    </xdr:from>
    <xdr:to>
      <xdr:col>22</xdr:col>
      <xdr:colOff>188989</xdr:colOff>
      <xdr:row>33</xdr:row>
      <xdr:rowOff>151190</xdr:rowOff>
    </xdr:to>
    <xdr:sp macro="" textlink="">
      <xdr:nvSpPr>
        <xdr:cNvPr id="26" name="TextBox 25">
          <a:extLst>
            <a:ext uri="{FF2B5EF4-FFF2-40B4-BE49-F238E27FC236}">
              <a16:creationId xmlns:a16="http://schemas.microsoft.com/office/drawing/2014/main" id="{4A73B4CF-A845-AB23-246F-96EE4F49B918}"/>
            </a:ext>
          </a:extLst>
        </xdr:cNvPr>
        <xdr:cNvSpPr txBox="1"/>
      </xdr:nvSpPr>
      <xdr:spPr>
        <a:xfrm>
          <a:off x="11188096" y="5699880"/>
          <a:ext cx="2471964" cy="43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000" b="1">
              <a:solidFill>
                <a:srgbClr val="1F2937"/>
              </a:solidFill>
              <a:latin typeface="Segoe UI Semibold" panose="020B0702040204020203" pitchFamily="34" charset="0"/>
              <a:cs typeface="Segoe UI Semibold" panose="020B0702040204020203" pitchFamily="34" charset="0"/>
            </a:rPr>
            <a:t>Does Overtime Increase Employee Turnover?</a:t>
          </a:r>
        </a:p>
      </xdr:txBody>
    </xdr:sp>
    <xdr:clientData/>
  </xdr:twoCellAnchor>
  <xdr:twoCellAnchor>
    <xdr:from>
      <xdr:col>12</xdr:col>
      <xdr:colOff>257024</xdr:colOff>
      <xdr:row>31</xdr:row>
      <xdr:rowOff>179246</xdr:rowOff>
    </xdr:from>
    <xdr:to>
      <xdr:col>18</xdr:col>
      <xdr:colOff>68034</xdr:colOff>
      <xdr:row>42</xdr:row>
      <xdr:rowOff>128511</xdr:rowOff>
    </xdr:to>
    <xdr:graphicFrame macro="">
      <xdr:nvGraphicFramePr>
        <xdr:cNvPr id="4" name="Chart 3">
          <a:extLst>
            <a:ext uri="{FF2B5EF4-FFF2-40B4-BE49-F238E27FC236}">
              <a16:creationId xmlns:a16="http://schemas.microsoft.com/office/drawing/2014/main" id="{A7B6EFF1-8497-47B0-9D03-74311F0E0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264583</xdr:colOff>
      <xdr:row>31</xdr:row>
      <xdr:rowOff>52916</xdr:rowOff>
    </xdr:from>
    <xdr:to>
      <xdr:col>18</xdr:col>
      <xdr:colOff>15119</xdr:colOff>
      <xdr:row>33</xdr:row>
      <xdr:rowOff>105834</xdr:rowOff>
    </xdr:to>
    <xdr:sp macro="" textlink="">
      <xdr:nvSpPr>
        <xdr:cNvPr id="27" name="TextBox 26">
          <a:extLst>
            <a:ext uri="{FF2B5EF4-FFF2-40B4-BE49-F238E27FC236}">
              <a16:creationId xmlns:a16="http://schemas.microsoft.com/office/drawing/2014/main" id="{98DF8C16-024B-4B73-BA3A-4A64D313AE46}"/>
            </a:ext>
          </a:extLst>
        </xdr:cNvPr>
        <xdr:cNvSpPr txBox="1"/>
      </xdr:nvSpPr>
      <xdr:spPr>
        <a:xfrm>
          <a:off x="7612440" y="5677202"/>
          <a:ext cx="3424465" cy="41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IN" sz="1000" b="1">
              <a:solidFill>
                <a:srgbClr val="1F2937"/>
              </a:solidFill>
              <a:latin typeface="Segoe UI Semibold" panose="020B0702040204020203" pitchFamily="34" charset="0"/>
              <a:ea typeface="+mn-ea"/>
              <a:cs typeface="Segoe UI Semibold" panose="020B0702040204020203" pitchFamily="34" charset="0"/>
            </a:rPr>
            <a:t>Which Departments Have the Highest Attrition Risk?</a:t>
          </a:r>
        </a:p>
      </xdr:txBody>
    </xdr:sp>
    <xdr:clientData/>
  </xdr:twoCellAnchor>
  <xdr:twoCellAnchor>
    <xdr:from>
      <xdr:col>22</xdr:col>
      <xdr:colOff>270214</xdr:colOff>
      <xdr:row>31</xdr:row>
      <xdr:rowOff>56095</xdr:rowOff>
    </xdr:from>
    <xdr:to>
      <xdr:col>26</xdr:col>
      <xdr:colOff>292892</xdr:colOff>
      <xdr:row>33</xdr:row>
      <xdr:rowOff>131691</xdr:rowOff>
    </xdr:to>
    <xdr:sp macro="" textlink="">
      <xdr:nvSpPr>
        <xdr:cNvPr id="28" name="TextBox 27">
          <a:extLst>
            <a:ext uri="{FF2B5EF4-FFF2-40B4-BE49-F238E27FC236}">
              <a16:creationId xmlns:a16="http://schemas.microsoft.com/office/drawing/2014/main" id="{D2788547-55CE-405A-B886-2E1D30C8D121}"/>
            </a:ext>
          </a:extLst>
        </xdr:cNvPr>
        <xdr:cNvSpPr txBox="1"/>
      </xdr:nvSpPr>
      <xdr:spPr>
        <a:xfrm>
          <a:off x="13716339" y="5715533"/>
          <a:ext cx="2467428" cy="44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t>Is Compensation Driving Employee Attrition?</a:t>
          </a:r>
          <a:endParaRPr lang="en-IN" sz="1000"/>
        </a:p>
        <a:p>
          <a:pPr marL="0" lvl="0" indent="0" algn="l"/>
          <a:endParaRPr lang="en-IN" sz="900" b="1">
            <a:solidFill>
              <a:srgbClr val="1F2937"/>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27</xdr:col>
      <xdr:colOff>427228</xdr:colOff>
      <xdr:row>24</xdr:row>
      <xdr:rowOff>72482</xdr:rowOff>
    </xdr:from>
    <xdr:to>
      <xdr:col>32</xdr:col>
      <xdr:colOff>522005</xdr:colOff>
      <xdr:row>26</xdr:row>
      <xdr:rowOff>148078</xdr:rowOff>
    </xdr:to>
    <xdr:sp macro="" textlink="">
      <xdr:nvSpPr>
        <xdr:cNvPr id="29" name="TextBox 28">
          <a:extLst>
            <a:ext uri="{FF2B5EF4-FFF2-40B4-BE49-F238E27FC236}">
              <a16:creationId xmlns:a16="http://schemas.microsoft.com/office/drawing/2014/main" id="{D983609B-DE3E-4D2A-B339-EFA4C7586DF8}"/>
            </a:ext>
          </a:extLst>
        </xdr:cNvPr>
        <xdr:cNvSpPr txBox="1"/>
      </xdr:nvSpPr>
      <xdr:spPr>
        <a:xfrm>
          <a:off x="16867639" y="4456592"/>
          <a:ext cx="3139298" cy="440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l"/>
          <a:r>
            <a:rPr lang="en-IN" sz="900" b="1">
              <a:solidFill>
                <a:srgbClr val="1F2937"/>
              </a:solidFill>
              <a:latin typeface="Segoe UI Semibold" panose="020B0702040204020203" pitchFamily="34" charset="0"/>
              <a:ea typeface="+mn-ea"/>
              <a:cs typeface="Segoe UI Semibold" panose="020B0702040204020203" pitchFamily="34" charset="0"/>
            </a:rPr>
            <a:t>When Are Employees Most Likely to Leave?</a:t>
          </a:r>
        </a:p>
      </xdr:txBody>
    </xdr:sp>
    <xdr:clientData/>
  </xdr:twoCellAnchor>
  <xdr:twoCellAnchor>
    <xdr:from>
      <xdr:col>12</xdr:col>
      <xdr:colOff>210051</xdr:colOff>
      <xdr:row>43</xdr:row>
      <xdr:rowOff>32106</xdr:rowOff>
    </xdr:from>
    <xdr:to>
      <xdr:col>18</xdr:col>
      <xdr:colOff>98272</xdr:colOff>
      <xdr:row>45</xdr:row>
      <xdr:rowOff>107702</xdr:rowOff>
    </xdr:to>
    <xdr:sp macro="" textlink="">
      <xdr:nvSpPr>
        <xdr:cNvPr id="30" name="TextBox 29">
          <a:extLst>
            <a:ext uri="{FF2B5EF4-FFF2-40B4-BE49-F238E27FC236}">
              <a16:creationId xmlns:a16="http://schemas.microsoft.com/office/drawing/2014/main" id="{FF5BE5E1-99DB-4105-A924-84FFAEB8ABD0}"/>
            </a:ext>
          </a:extLst>
        </xdr:cNvPr>
        <xdr:cNvSpPr txBox="1"/>
      </xdr:nvSpPr>
      <xdr:spPr>
        <a:xfrm>
          <a:off x="7557908" y="7833535"/>
          <a:ext cx="3562150" cy="43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IN" sz="1000" b="1">
              <a:solidFill>
                <a:srgbClr val="1F2937"/>
              </a:solidFill>
              <a:latin typeface="Segoe UI Semibold" panose="020B0702040204020203" pitchFamily="34" charset="0"/>
              <a:ea typeface="+mn-ea"/>
              <a:cs typeface="Segoe UI Semibold" panose="020B0702040204020203" pitchFamily="34" charset="0"/>
            </a:rPr>
            <a:t>Does Work-Life Balance Influence Employee Retention?</a:t>
          </a:r>
        </a:p>
      </xdr:txBody>
    </xdr:sp>
    <xdr:clientData/>
  </xdr:twoCellAnchor>
  <xdr:twoCellAnchor>
    <xdr:from>
      <xdr:col>18</xdr:col>
      <xdr:colOff>32242</xdr:colOff>
      <xdr:row>42</xdr:row>
      <xdr:rowOff>90027</xdr:rowOff>
    </xdr:from>
    <xdr:to>
      <xdr:col>22</xdr:col>
      <xdr:colOff>325060</xdr:colOff>
      <xdr:row>44</xdr:row>
      <xdr:rowOff>165623</xdr:rowOff>
    </xdr:to>
    <xdr:sp macro="" textlink="">
      <xdr:nvSpPr>
        <xdr:cNvPr id="31" name="TextBox 30">
          <a:extLst>
            <a:ext uri="{FF2B5EF4-FFF2-40B4-BE49-F238E27FC236}">
              <a16:creationId xmlns:a16="http://schemas.microsoft.com/office/drawing/2014/main" id="{E362F9F1-9609-4357-9589-CC37C3A01C70}"/>
            </a:ext>
          </a:extLst>
        </xdr:cNvPr>
        <xdr:cNvSpPr txBox="1"/>
      </xdr:nvSpPr>
      <xdr:spPr>
        <a:xfrm>
          <a:off x="10979284" y="7978337"/>
          <a:ext cx="2725494" cy="4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IN" sz="1000" b="1">
              <a:solidFill>
                <a:srgbClr val="1F2937"/>
              </a:solidFill>
              <a:latin typeface="Segoe UI Semibold" panose="020B0702040204020203" pitchFamily="34" charset="0"/>
              <a:ea typeface="+mn-ea"/>
              <a:cs typeface="Segoe UI Semibold" panose="020B0702040204020203" pitchFamily="34" charset="0"/>
            </a:rPr>
            <a:t>How Does Job Satisfaction Affect Attrition?</a:t>
          </a:r>
        </a:p>
      </xdr:txBody>
    </xdr:sp>
    <xdr:clientData/>
  </xdr:twoCellAnchor>
  <xdr:twoCellAnchor>
    <xdr:from>
      <xdr:col>22</xdr:col>
      <xdr:colOff>170288</xdr:colOff>
      <xdr:row>43</xdr:row>
      <xdr:rowOff>17412</xdr:rowOff>
    </xdr:from>
    <xdr:to>
      <xdr:col>26</xdr:col>
      <xdr:colOff>463105</xdr:colOff>
      <xdr:row>45</xdr:row>
      <xdr:rowOff>93008</xdr:rowOff>
    </xdr:to>
    <xdr:sp macro="" textlink="">
      <xdr:nvSpPr>
        <xdr:cNvPr id="32" name="TextBox 31">
          <a:extLst>
            <a:ext uri="{FF2B5EF4-FFF2-40B4-BE49-F238E27FC236}">
              <a16:creationId xmlns:a16="http://schemas.microsoft.com/office/drawing/2014/main" id="{818DA71F-7445-4026-A501-947DB4CDE16B}"/>
            </a:ext>
          </a:extLst>
        </xdr:cNvPr>
        <xdr:cNvSpPr txBox="1"/>
      </xdr:nvSpPr>
      <xdr:spPr>
        <a:xfrm>
          <a:off x="13641359" y="7818841"/>
          <a:ext cx="2742103" cy="43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IN" sz="1000" b="1">
              <a:solidFill>
                <a:srgbClr val="1F2937"/>
              </a:solidFill>
              <a:latin typeface="Segoe UI Semibold" panose="020B0702040204020203" pitchFamily="34" charset="0"/>
              <a:ea typeface="+mn-ea"/>
              <a:cs typeface="Segoe UI Semibold" panose="020B0702040204020203" pitchFamily="34" charset="0"/>
            </a:rPr>
            <a:t>Department × Job Role</a:t>
          </a:r>
        </a:p>
      </xdr:txBody>
    </xdr:sp>
    <xdr:clientData/>
  </xdr:twoCellAnchor>
  <xdr:twoCellAnchor>
    <xdr:from>
      <xdr:col>27</xdr:col>
      <xdr:colOff>424882</xdr:colOff>
      <xdr:row>38</xdr:row>
      <xdr:rowOff>57079</xdr:rowOff>
    </xdr:from>
    <xdr:to>
      <xdr:col>32</xdr:col>
      <xdr:colOff>105379</xdr:colOff>
      <xdr:row>40</xdr:row>
      <xdr:rowOff>132675</xdr:rowOff>
    </xdr:to>
    <xdr:sp macro="" textlink="">
      <xdr:nvSpPr>
        <xdr:cNvPr id="33" name="TextBox 32">
          <a:extLst>
            <a:ext uri="{FF2B5EF4-FFF2-40B4-BE49-F238E27FC236}">
              <a16:creationId xmlns:a16="http://schemas.microsoft.com/office/drawing/2014/main" id="{0AE44011-1DB6-4E95-86FF-0D9D52D7EC35}"/>
            </a:ext>
          </a:extLst>
        </xdr:cNvPr>
        <xdr:cNvSpPr txBox="1"/>
      </xdr:nvSpPr>
      <xdr:spPr>
        <a:xfrm>
          <a:off x="16926945" y="6994454"/>
          <a:ext cx="2736434" cy="44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IN" sz="1000" b="1">
              <a:solidFill>
                <a:srgbClr val="1F2937"/>
              </a:solidFill>
              <a:latin typeface="Segoe UI Semibold" panose="020B0702040204020203" pitchFamily="34" charset="0"/>
              <a:ea typeface="+mn-ea"/>
              <a:cs typeface="Segoe UI Semibold" panose="020B0702040204020203" pitchFamily="34" charset="0"/>
            </a:rPr>
            <a:t>YEARS</a:t>
          </a:r>
          <a:r>
            <a:rPr lang="en-IN" sz="1000" b="1" baseline="0">
              <a:solidFill>
                <a:srgbClr val="1F2937"/>
              </a:solidFill>
              <a:latin typeface="Segoe UI Semibold" panose="020B0702040204020203" pitchFamily="34" charset="0"/>
              <a:ea typeface="+mn-ea"/>
              <a:cs typeface="Segoe UI Semibold" panose="020B0702040204020203" pitchFamily="34" charset="0"/>
            </a:rPr>
            <a:t> AT COMPANY X MONTHLY SALARY</a:t>
          </a:r>
          <a:endParaRPr lang="en-IN" sz="1000" b="1">
            <a:solidFill>
              <a:srgbClr val="1F2937"/>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27</xdr:col>
      <xdr:colOff>451042</xdr:colOff>
      <xdr:row>25</xdr:row>
      <xdr:rowOff>58623</xdr:rowOff>
    </xdr:from>
    <xdr:to>
      <xdr:col>32</xdr:col>
      <xdr:colOff>515958</xdr:colOff>
      <xdr:row>34</xdr:row>
      <xdr:rowOff>166954</xdr:rowOff>
    </xdr:to>
    <xdr:graphicFrame macro="">
      <xdr:nvGraphicFramePr>
        <xdr:cNvPr id="34" name="Chart 33">
          <a:extLst>
            <a:ext uri="{FF2B5EF4-FFF2-40B4-BE49-F238E27FC236}">
              <a16:creationId xmlns:a16="http://schemas.microsoft.com/office/drawing/2014/main" id="{139A2746-F2C7-4FD4-BEA0-9E1CC8DD8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277812</xdr:colOff>
      <xdr:row>31</xdr:row>
      <xdr:rowOff>63500</xdr:rowOff>
    </xdr:from>
    <xdr:to>
      <xdr:col>27</xdr:col>
      <xdr:colOff>238125</xdr:colOff>
      <xdr:row>41</xdr:row>
      <xdr:rowOff>166689</xdr:rowOff>
    </xdr:to>
    <xdr:graphicFrame macro="">
      <xdr:nvGraphicFramePr>
        <xdr:cNvPr id="35" name="Chart 34">
          <a:extLst>
            <a:ext uri="{FF2B5EF4-FFF2-40B4-BE49-F238E27FC236}">
              <a16:creationId xmlns:a16="http://schemas.microsoft.com/office/drawing/2014/main" id="{D806E2B2-282C-41E0-9F28-FA8C9A071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454364</xdr:colOff>
      <xdr:row>39</xdr:row>
      <xdr:rowOff>111125</xdr:rowOff>
    </xdr:from>
    <xdr:to>
      <xdr:col>33</xdr:col>
      <xdr:colOff>6</xdr:colOff>
      <xdr:row>53</xdr:row>
      <xdr:rowOff>47624</xdr:rowOff>
    </xdr:to>
    <xdr:graphicFrame macro="">
      <xdr:nvGraphicFramePr>
        <xdr:cNvPr id="36" name="Chart 35">
          <a:extLst>
            <a:ext uri="{FF2B5EF4-FFF2-40B4-BE49-F238E27FC236}">
              <a16:creationId xmlns:a16="http://schemas.microsoft.com/office/drawing/2014/main" id="{A2FB66C1-0589-4BCB-9B8A-0A1F15920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238124</xdr:colOff>
      <xdr:row>44</xdr:row>
      <xdr:rowOff>47625</xdr:rowOff>
    </xdr:from>
    <xdr:to>
      <xdr:col>18</xdr:col>
      <xdr:colOff>87312</xdr:colOff>
      <xdr:row>53</xdr:row>
      <xdr:rowOff>23812</xdr:rowOff>
    </xdr:to>
    <xdr:graphicFrame macro="">
      <xdr:nvGraphicFramePr>
        <xdr:cNvPr id="37" name="Chart 36">
          <a:extLst>
            <a:ext uri="{FF2B5EF4-FFF2-40B4-BE49-F238E27FC236}">
              <a16:creationId xmlns:a16="http://schemas.microsoft.com/office/drawing/2014/main" id="{61A809B6-B1A1-450E-B01C-35A1BA98C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127000</xdr:colOff>
      <xdr:row>43</xdr:row>
      <xdr:rowOff>93346</xdr:rowOff>
    </xdr:from>
    <xdr:to>
      <xdr:col>22</xdr:col>
      <xdr:colOff>166687</xdr:colOff>
      <xdr:row>53</xdr:row>
      <xdr:rowOff>101283</xdr:rowOff>
    </xdr:to>
    <xdr:graphicFrame macro="">
      <xdr:nvGraphicFramePr>
        <xdr:cNvPr id="38" name="Chart 37">
          <a:extLst>
            <a:ext uri="{FF2B5EF4-FFF2-40B4-BE49-F238E27FC236}">
              <a16:creationId xmlns:a16="http://schemas.microsoft.com/office/drawing/2014/main" id="{6830F231-1F88-4999-AE40-8B12F1265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333375</xdr:colOff>
      <xdr:row>44</xdr:row>
      <xdr:rowOff>47626</xdr:rowOff>
    </xdr:from>
    <xdr:to>
      <xdr:col>27</xdr:col>
      <xdr:colOff>293687</xdr:colOff>
      <xdr:row>53</xdr:row>
      <xdr:rowOff>87313</xdr:rowOff>
    </xdr:to>
    <xdr:pic>
      <xdr:nvPicPr>
        <xdr:cNvPr id="40" name="Picture 39">
          <a:extLst>
            <a:ext uri="{FF2B5EF4-FFF2-40B4-BE49-F238E27FC236}">
              <a16:creationId xmlns:a16="http://schemas.microsoft.com/office/drawing/2014/main" id="{024A183F-77C2-0FDB-A2BE-AD0174C1A9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79500" y="8080376"/>
          <a:ext cx="3016250" cy="168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330916</xdr:colOff>
      <xdr:row>39</xdr:row>
      <xdr:rowOff>116268</xdr:rowOff>
    </xdr:from>
    <xdr:to>
      <xdr:col>18</xdr:col>
      <xdr:colOff>26831</xdr:colOff>
      <xdr:row>42</xdr:row>
      <xdr:rowOff>8944</xdr:rowOff>
    </xdr:to>
    <xdr:sp macro="" textlink="">
      <xdr:nvSpPr>
        <xdr:cNvPr id="39" name="TextBox 38">
          <a:extLst>
            <a:ext uri="{FF2B5EF4-FFF2-40B4-BE49-F238E27FC236}">
              <a16:creationId xmlns:a16="http://schemas.microsoft.com/office/drawing/2014/main" id="{4B92D937-74D3-953E-CCFB-47DFCB55D0FA}"/>
            </a:ext>
          </a:extLst>
        </xdr:cNvPr>
        <xdr:cNvSpPr txBox="1"/>
      </xdr:nvSpPr>
      <xdr:spPr>
        <a:xfrm>
          <a:off x="7628944" y="7441127"/>
          <a:ext cx="3344929" cy="456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 </a:t>
          </a:r>
          <a:r>
            <a:rPr lang="en-IN" sz="800">
              <a:solidFill>
                <a:srgbClr val="FF0000"/>
              </a:solidFill>
            </a:rPr>
            <a:t>f</a:t>
          </a:r>
          <a:r>
            <a:rPr lang="en-IN" sz="800" b="1">
              <a:solidFill>
                <a:srgbClr val="FF3300"/>
              </a:solidFill>
            </a:rPr>
            <a:t>or</a:t>
          </a:r>
          <a:r>
            <a:rPr lang="en-IN" sz="800" b="1" baseline="0">
              <a:solidFill>
                <a:srgbClr val="FF3300"/>
              </a:solidFill>
            </a:rPr>
            <a:t> every 10 members approx 2 members are leaving in human resourses and Sales department </a:t>
          </a:r>
        </a:p>
      </xdr:txBody>
    </xdr:sp>
    <xdr:clientData/>
  </xdr:twoCellAnchor>
  <xdr:twoCellAnchor>
    <xdr:from>
      <xdr:col>18</xdr:col>
      <xdr:colOff>71551</xdr:colOff>
      <xdr:row>39</xdr:row>
      <xdr:rowOff>152043</xdr:rowOff>
    </xdr:from>
    <xdr:to>
      <xdr:col>22</xdr:col>
      <xdr:colOff>223593</xdr:colOff>
      <xdr:row>42</xdr:row>
      <xdr:rowOff>80493</xdr:rowOff>
    </xdr:to>
    <xdr:sp macro="" textlink="">
      <xdr:nvSpPr>
        <xdr:cNvPr id="42" name="TextBox 41">
          <a:extLst>
            <a:ext uri="{FF2B5EF4-FFF2-40B4-BE49-F238E27FC236}">
              <a16:creationId xmlns:a16="http://schemas.microsoft.com/office/drawing/2014/main" id="{69339B8F-C062-4737-9628-64D316158128}"/>
            </a:ext>
          </a:extLst>
        </xdr:cNvPr>
        <xdr:cNvSpPr txBox="1"/>
      </xdr:nvSpPr>
      <xdr:spPr>
        <a:xfrm>
          <a:off x="11018593" y="7476902"/>
          <a:ext cx="2584718" cy="49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t>📌 </a:t>
          </a:r>
          <a:r>
            <a:rPr lang="en-IN" sz="800">
              <a:solidFill>
                <a:srgbClr val="FF0000"/>
              </a:solidFill>
            </a:rPr>
            <a:t>Overtime</a:t>
          </a:r>
          <a:r>
            <a:rPr lang="en-IN" sz="800" baseline="0">
              <a:solidFill>
                <a:srgbClr val="FF0000"/>
              </a:solidFill>
            </a:rPr>
            <a:t> has an impact on attrition </a:t>
          </a:r>
        </a:p>
        <a:p>
          <a:pPr algn="l"/>
          <a:r>
            <a:rPr lang="en-IN" sz="700"/>
            <a:t>💡</a:t>
          </a:r>
          <a:r>
            <a:rPr lang="en-IN" sz="700" b="1">
              <a:solidFill>
                <a:schemeClr val="accent6">
                  <a:lumMod val="60000"/>
                  <a:lumOff val="40000"/>
                </a:schemeClr>
              </a:solidFill>
            </a:rPr>
            <a:t>As there are few people still at company after doing</a:t>
          </a:r>
          <a:r>
            <a:rPr lang="en-IN" sz="700" b="1" baseline="0">
              <a:solidFill>
                <a:schemeClr val="accent6">
                  <a:lumMod val="60000"/>
                  <a:lumOff val="40000"/>
                </a:schemeClr>
              </a:solidFill>
            </a:rPr>
            <a:t> overtime to maintain there pace give them some bonus as appreciation</a:t>
          </a:r>
        </a:p>
      </xdr:txBody>
    </xdr:sp>
    <xdr:clientData/>
  </xdr:twoCellAnchor>
  <xdr:twoCellAnchor>
    <xdr:from>
      <xdr:col>22</xdr:col>
      <xdr:colOff>232536</xdr:colOff>
      <xdr:row>40</xdr:row>
      <xdr:rowOff>358</xdr:rowOff>
    </xdr:from>
    <xdr:to>
      <xdr:col>27</xdr:col>
      <xdr:colOff>331274</xdr:colOff>
      <xdr:row>42</xdr:row>
      <xdr:rowOff>80851</xdr:rowOff>
    </xdr:to>
    <xdr:sp macro="" textlink="">
      <xdr:nvSpPr>
        <xdr:cNvPr id="43" name="TextBox 42">
          <a:extLst>
            <a:ext uri="{FF2B5EF4-FFF2-40B4-BE49-F238E27FC236}">
              <a16:creationId xmlns:a16="http://schemas.microsoft.com/office/drawing/2014/main" id="{7E7732BC-6514-49DC-BC71-2173C1CA00B8}"/>
            </a:ext>
          </a:extLst>
        </xdr:cNvPr>
        <xdr:cNvSpPr txBox="1"/>
      </xdr:nvSpPr>
      <xdr:spPr>
        <a:xfrm>
          <a:off x="13612254" y="7513034"/>
          <a:ext cx="3139583" cy="456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t>📌 </a:t>
          </a:r>
          <a:r>
            <a:rPr lang="en-IN" sz="800">
              <a:solidFill>
                <a:srgbClr val="FF0000"/>
              </a:solidFill>
            </a:rPr>
            <a:t>4</a:t>
          </a:r>
          <a:r>
            <a:rPr lang="en-IN" sz="800" baseline="0">
              <a:solidFill>
                <a:srgbClr val="FF0000"/>
              </a:solidFill>
            </a:rPr>
            <a:t> members in every 10 members are leaving who has 'LOW" compensation</a:t>
          </a:r>
          <a:endParaRPr lang="en-IN" sz="800" b="1" baseline="0">
            <a:solidFill>
              <a:srgbClr val="FF3300"/>
            </a:solidFill>
          </a:endParaRPr>
        </a:p>
      </xdr:txBody>
    </xdr:sp>
    <xdr:clientData/>
  </xdr:twoCellAnchor>
  <xdr:twoCellAnchor>
    <xdr:from>
      <xdr:col>27</xdr:col>
      <xdr:colOff>402465</xdr:colOff>
      <xdr:row>33</xdr:row>
      <xdr:rowOff>156818</xdr:rowOff>
    </xdr:from>
    <xdr:to>
      <xdr:col>33</xdr:col>
      <xdr:colOff>98380</xdr:colOff>
      <xdr:row>38</xdr:row>
      <xdr:rowOff>8698</xdr:rowOff>
    </xdr:to>
    <xdr:sp macro="" textlink="">
      <xdr:nvSpPr>
        <xdr:cNvPr id="44" name="TextBox 43">
          <a:extLst>
            <a:ext uri="{FF2B5EF4-FFF2-40B4-BE49-F238E27FC236}">
              <a16:creationId xmlns:a16="http://schemas.microsoft.com/office/drawing/2014/main" id="{31AC3A52-BB0C-4AAB-8568-1441A0B9957F}"/>
            </a:ext>
          </a:extLst>
        </xdr:cNvPr>
        <xdr:cNvSpPr txBox="1"/>
      </xdr:nvSpPr>
      <xdr:spPr>
        <a:xfrm>
          <a:off x="16842876" y="6184969"/>
          <a:ext cx="3349340" cy="765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t>📌 </a:t>
          </a:r>
          <a:r>
            <a:rPr lang="en-IN" sz="1100">
              <a:solidFill>
                <a:srgbClr val="FF0000"/>
              </a:solidFill>
            </a:rPr>
            <a:t>Mostly</a:t>
          </a:r>
          <a:r>
            <a:rPr lang="en-IN" sz="1100" baseline="0">
              <a:solidFill>
                <a:srgbClr val="FF0000"/>
              </a:solidFill>
            </a:rPr>
            <a:t> Freshers are leaving company</a:t>
          </a:r>
          <a:r>
            <a:rPr lang="en-IN" sz="1100" baseline="0">
              <a:solidFill>
                <a:schemeClr val="accent6">
                  <a:lumMod val="75000"/>
                </a:schemeClr>
              </a:solidFill>
            </a:rPr>
            <a:t>, to maintain fresher employyes make a 5 year agggrement when they join the company</a:t>
          </a:r>
          <a:endParaRPr lang="en-IN" sz="1100" b="1" baseline="0">
            <a:solidFill>
              <a:schemeClr val="accent6">
                <a:lumMod val="75000"/>
              </a:schemeClr>
            </a:solidFill>
          </a:endParaRPr>
        </a:p>
      </xdr:txBody>
    </xdr:sp>
    <xdr:clientData/>
  </xdr:twoCellAnchor>
  <xdr:twoCellAnchor>
    <xdr:from>
      <xdr:col>18</xdr:col>
      <xdr:colOff>143100</xdr:colOff>
      <xdr:row>51</xdr:row>
      <xdr:rowOff>160986</xdr:rowOff>
    </xdr:from>
    <xdr:to>
      <xdr:col>22</xdr:col>
      <xdr:colOff>196762</xdr:colOff>
      <xdr:row>54</xdr:row>
      <xdr:rowOff>161344</xdr:rowOff>
    </xdr:to>
    <xdr:sp macro="" textlink="">
      <xdr:nvSpPr>
        <xdr:cNvPr id="45" name="TextBox 44">
          <a:extLst>
            <a:ext uri="{FF2B5EF4-FFF2-40B4-BE49-F238E27FC236}">
              <a16:creationId xmlns:a16="http://schemas.microsoft.com/office/drawing/2014/main" id="{24A11B52-C5B0-4ACD-A39F-2166A19187C2}"/>
            </a:ext>
          </a:extLst>
        </xdr:cNvPr>
        <xdr:cNvSpPr txBox="1"/>
      </xdr:nvSpPr>
      <xdr:spPr>
        <a:xfrm>
          <a:off x="11090142" y="9739648"/>
          <a:ext cx="2486338" cy="563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b="1" u="none"/>
            <a:t>📌 </a:t>
          </a:r>
          <a:r>
            <a:rPr lang="en-IN" sz="800" b="1" u="none">
              <a:solidFill>
                <a:srgbClr val="FF0000"/>
              </a:solidFill>
            </a:rPr>
            <a:t>Surprisingly</a:t>
          </a:r>
          <a:r>
            <a:rPr lang="en-IN" sz="800" b="1" u="none" baseline="0">
              <a:solidFill>
                <a:srgbClr val="FF0000"/>
              </a:solidFill>
            </a:rPr>
            <a:t> people with high job Satisfaction are leaving the company </a:t>
          </a:r>
        </a:p>
        <a:p>
          <a:pPr algn="l"/>
          <a:r>
            <a:rPr lang="en-IN" sz="800" b="1" u="none" baseline="0">
              <a:solidFill>
                <a:srgbClr val="FF0000"/>
              </a:solidFill>
            </a:rPr>
            <a:t>may be they are satisfied with the job but not the work</a:t>
          </a:r>
          <a:endParaRPr lang="en-IN" sz="800" b="1" u="none" baseline="0">
            <a:solidFill>
              <a:srgbClr val="FF3300"/>
            </a:solidFill>
          </a:endParaRPr>
        </a:p>
      </xdr:txBody>
    </xdr:sp>
    <xdr:clientData/>
  </xdr:twoCellAnchor>
  <xdr:twoCellAnchor>
    <xdr:from>
      <xdr:col>30</xdr:col>
      <xdr:colOff>116268</xdr:colOff>
      <xdr:row>40</xdr:row>
      <xdr:rowOff>35774</xdr:rowOff>
    </xdr:from>
    <xdr:to>
      <xdr:col>33</xdr:col>
      <xdr:colOff>44718</xdr:colOff>
      <xdr:row>47</xdr:row>
      <xdr:rowOff>17887</xdr:rowOff>
    </xdr:to>
    <xdr:sp macro="" textlink="">
      <xdr:nvSpPr>
        <xdr:cNvPr id="46" name="TextBox 45">
          <a:extLst>
            <a:ext uri="{FF2B5EF4-FFF2-40B4-BE49-F238E27FC236}">
              <a16:creationId xmlns:a16="http://schemas.microsoft.com/office/drawing/2014/main" id="{C0166742-81EC-4DE8-A281-9D41EF37480A}"/>
            </a:ext>
          </a:extLst>
        </xdr:cNvPr>
        <xdr:cNvSpPr txBox="1"/>
      </xdr:nvSpPr>
      <xdr:spPr>
        <a:xfrm>
          <a:off x="18361338" y="7548450"/>
          <a:ext cx="1752957" cy="129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solidFill>
                <a:srgbClr val="FF0000"/>
              </a:solidFill>
            </a:rPr>
            <a:t>📌 </a:t>
          </a:r>
          <a:r>
            <a:rPr lang="en-IN" sz="1000">
              <a:solidFill>
                <a:srgbClr val="334155"/>
              </a:solidFill>
            </a:rPr>
            <a:t>There</a:t>
          </a:r>
          <a:r>
            <a:rPr lang="en-IN" sz="1000" baseline="0">
              <a:solidFill>
                <a:srgbClr val="334155"/>
              </a:solidFill>
            </a:rPr>
            <a:t> is a high chance of senior emplooyeees leaving the company </a:t>
          </a:r>
        </a:p>
        <a:p>
          <a:pPr algn="l"/>
          <a:r>
            <a:rPr lang="en-IN" sz="1000" b="1" baseline="0">
              <a:solidFill>
                <a:srgbClr val="334155"/>
              </a:solidFill>
            </a:rPr>
            <a:t>As you can see a person who has worked for 30+ is getting way too less salary then fresher</a:t>
          </a:r>
        </a:p>
      </xdr:txBody>
    </xdr:sp>
    <xdr:clientData/>
  </xdr:twoCellAnchor>
  <xdr:twoCellAnchor>
    <xdr:from>
      <xdr:col>10</xdr:col>
      <xdr:colOff>35770</xdr:colOff>
      <xdr:row>24</xdr:row>
      <xdr:rowOff>66654</xdr:rowOff>
    </xdr:from>
    <xdr:to>
      <xdr:col>11</xdr:col>
      <xdr:colOff>527671</xdr:colOff>
      <xdr:row>26</xdr:row>
      <xdr:rowOff>66655</xdr:rowOff>
    </xdr:to>
    <xdr:sp macro="" textlink="">
      <xdr:nvSpPr>
        <xdr:cNvPr id="47" name="Rectangle: Rounded Corners 46">
          <a:hlinkClick xmlns:r="http://schemas.openxmlformats.org/officeDocument/2006/relationships" r:id="rId9"/>
          <a:extLst>
            <a:ext uri="{FF2B5EF4-FFF2-40B4-BE49-F238E27FC236}">
              <a16:creationId xmlns:a16="http://schemas.microsoft.com/office/drawing/2014/main" id="{6649C4AA-BDF7-4244-99DC-4D6A0D481F23}"/>
            </a:ext>
          </a:extLst>
        </xdr:cNvPr>
        <xdr:cNvSpPr/>
      </xdr:nvSpPr>
      <xdr:spPr>
        <a:xfrm>
          <a:off x="6124811" y="4450764"/>
          <a:ext cx="1100805" cy="3653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DASHBOARD</a:t>
          </a:r>
          <a:endParaRPr lang="en-IN" sz="1100"/>
        </a:p>
      </xdr:txBody>
    </xdr:sp>
    <xdr:clientData/>
  </xdr:twoCellAnchor>
  <xdr:twoCellAnchor>
    <xdr:from>
      <xdr:col>10</xdr:col>
      <xdr:colOff>34083</xdr:colOff>
      <xdr:row>27</xdr:row>
      <xdr:rowOff>66172</xdr:rowOff>
    </xdr:from>
    <xdr:to>
      <xdr:col>11</xdr:col>
      <xdr:colOff>525984</xdr:colOff>
      <xdr:row>29</xdr:row>
      <xdr:rowOff>66171</xdr:rowOff>
    </xdr:to>
    <xdr:sp macro="" textlink="">
      <xdr:nvSpPr>
        <xdr:cNvPr id="48" name="Rectangle: Rounded Corners 47">
          <a:hlinkClick xmlns:r="http://schemas.openxmlformats.org/officeDocument/2006/relationships" r:id="rId10"/>
          <a:extLst>
            <a:ext uri="{FF2B5EF4-FFF2-40B4-BE49-F238E27FC236}">
              <a16:creationId xmlns:a16="http://schemas.microsoft.com/office/drawing/2014/main" id="{D384E1F0-E2F4-44CD-8553-2599A299D1D0}"/>
            </a:ext>
          </a:extLst>
        </xdr:cNvPr>
        <xdr:cNvSpPr/>
      </xdr:nvSpPr>
      <xdr:spPr>
        <a:xfrm>
          <a:off x="6123124" y="4998295"/>
          <a:ext cx="1100805" cy="365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ANALYSIS</a:t>
          </a:r>
        </a:p>
      </xdr:txBody>
    </xdr:sp>
    <xdr:clientData/>
  </xdr:twoCellAnchor>
  <xdr:twoCellAnchor editAs="oneCell">
    <xdr:from>
      <xdr:col>9</xdr:col>
      <xdr:colOff>438240</xdr:colOff>
      <xdr:row>33</xdr:row>
      <xdr:rowOff>65193</xdr:rowOff>
    </xdr:from>
    <xdr:to>
      <xdr:col>12</xdr:col>
      <xdr:colOff>116269</xdr:colOff>
      <xdr:row>38</xdr:row>
      <xdr:rowOff>47305</xdr:rowOff>
    </xdr:to>
    <mc:AlternateContent xmlns:mc="http://schemas.openxmlformats.org/markup-compatibility/2006" xmlns:a14="http://schemas.microsoft.com/office/drawing/2010/main">
      <mc:Choice Requires="a14">
        <xdr:graphicFrame macro="">
          <xdr:nvGraphicFramePr>
            <xdr:cNvPr id="50" name="MaritalStatus 1">
              <a:extLst>
                <a:ext uri="{FF2B5EF4-FFF2-40B4-BE49-F238E27FC236}">
                  <a16:creationId xmlns:a16="http://schemas.microsoft.com/office/drawing/2014/main" id="{5F011E0B-A16C-4619-BF83-E0B39B6754F4}"/>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5936215" y="6166016"/>
              <a:ext cx="1510687" cy="90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438238</xdr:colOff>
      <xdr:row>38</xdr:row>
      <xdr:rowOff>107324</xdr:rowOff>
    </xdr:from>
    <xdr:to>
      <xdr:col>12</xdr:col>
      <xdr:colOff>152042</xdr:colOff>
      <xdr:row>43</xdr:row>
      <xdr:rowOff>62606</xdr:rowOff>
    </xdr:to>
    <mc:AlternateContent xmlns:mc="http://schemas.openxmlformats.org/markup-compatibility/2006" xmlns:a14="http://schemas.microsoft.com/office/drawing/2010/main">
      <mc:Choice Requires="a14">
        <xdr:graphicFrame macro="">
          <xdr:nvGraphicFramePr>
            <xdr:cNvPr id="51" name="Gender 1">
              <a:extLst>
                <a:ext uri="{FF2B5EF4-FFF2-40B4-BE49-F238E27FC236}">
                  <a16:creationId xmlns:a16="http://schemas.microsoft.com/office/drawing/2014/main" id="{25255B29-0381-4CD9-97F0-893D227689B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36213" y="7132514"/>
              <a:ext cx="1546462" cy="87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474014</xdr:colOff>
      <xdr:row>43</xdr:row>
      <xdr:rowOff>107326</xdr:rowOff>
    </xdr:from>
    <xdr:to>
      <xdr:col>12</xdr:col>
      <xdr:colOff>107324</xdr:colOff>
      <xdr:row>48</xdr:row>
      <xdr:rowOff>160988</xdr:rowOff>
    </xdr:to>
    <mc:AlternateContent xmlns:mc="http://schemas.openxmlformats.org/markup-compatibility/2006" xmlns:a14="http://schemas.microsoft.com/office/drawing/2010/main">
      <mc:Choice Requires="a14">
        <xdr:graphicFrame macro="">
          <xdr:nvGraphicFramePr>
            <xdr:cNvPr id="52" name="OverTime 1">
              <a:extLst>
                <a:ext uri="{FF2B5EF4-FFF2-40B4-BE49-F238E27FC236}">
                  <a16:creationId xmlns:a16="http://schemas.microsoft.com/office/drawing/2014/main" id="{CF9022A7-7F86-4D65-BBAA-FD3EE8DE36CF}"/>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5971989" y="8056883"/>
              <a:ext cx="1465968" cy="97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447184</xdr:colOff>
      <xdr:row>49</xdr:row>
      <xdr:rowOff>26830</xdr:rowOff>
    </xdr:from>
    <xdr:to>
      <xdr:col>12</xdr:col>
      <xdr:colOff>125212</xdr:colOff>
      <xdr:row>54</xdr:row>
      <xdr:rowOff>125210</xdr:rowOff>
    </xdr:to>
    <mc:AlternateContent xmlns:mc="http://schemas.openxmlformats.org/markup-compatibility/2006" xmlns:a14="http://schemas.microsoft.com/office/drawing/2010/main">
      <mc:Choice Requires="a14">
        <xdr:graphicFrame macro="">
          <xdr:nvGraphicFramePr>
            <xdr:cNvPr id="53" name="SalaryBand 1">
              <a:extLst>
                <a:ext uri="{FF2B5EF4-FFF2-40B4-BE49-F238E27FC236}">
                  <a16:creationId xmlns:a16="http://schemas.microsoft.com/office/drawing/2014/main" id="{1851C73B-D33A-43FF-AA5D-87D544503E18}"/>
                </a:ext>
              </a:extLst>
            </xdr:cNvPr>
            <xdr:cNvGraphicFramePr/>
          </xdr:nvGraphicFramePr>
          <xdr:xfrm>
            <a:off x="0" y="0"/>
            <a:ext cx="0" cy="0"/>
          </xdr:xfrm>
          <a:graphic>
            <a:graphicData uri="http://schemas.microsoft.com/office/drawing/2010/slicer">
              <sle:slicer xmlns:sle="http://schemas.microsoft.com/office/drawing/2010/slicer" name="SalaryBand 1"/>
            </a:graphicData>
          </a:graphic>
        </xdr:graphicFrame>
      </mc:Choice>
      <mc:Fallback xmlns="">
        <xdr:sp macro="" textlink="">
          <xdr:nvSpPr>
            <xdr:cNvPr id="0" name=""/>
            <xdr:cNvSpPr>
              <a:spLocks noTextEdit="1"/>
            </xdr:cNvSpPr>
          </xdr:nvSpPr>
          <xdr:spPr>
            <a:xfrm>
              <a:off x="5945159" y="9085627"/>
              <a:ext cx="1510686" cy="1022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259253</xdr:colOff>
      <xdr:row>23</xdr:row>
      <xdr:rowOff>16076</xdr:rowOff>
    </xdr:from>
    <xdr:to>
      <xdr:col>33</xdr:col>
      <xdr:colOff>200949</xdr:colOff>
      <xdr:row>26</xdr:row>
      <xdr:rowOff>144683</xdr:rowOff>
    </xdr:to>
    <xdr:sp macro="" textlink="">
      <xdr:nvSpPr>
        <xdr:cNvPr id="41" name="TextBox 40">
          <a:extLst>
            <a:ext uri="{FF2B5EF4-FFF2-40B4-BE49-F238E27FC236}">
              <a16:creationId xmlns:a16="http://schemas.microsoft.com/office/drawing/2014/main" id="{214021E9-DD98-410D-BDF1-2D4BD11999AB}"/>
            </a:ext>
          </a:extLst>
        </xdr:cNvPr>
        <xdr:cNvSpPr txBox="1"/>
      </xdr:nvSpPr>
      <xdr:spPr>
        <a:xfrm>
          <a:off x="5757228" y="4268165"/>
          <a:ext cx="14602962" cy="683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1F3A5F"/>
              </a:solidFill>
              <a:latin typeface="Segoe UI Variable Text Semibold" pitchFamily="2" charset="0"/>
            </a:rPr>
            <a:t>HR-ANALYTICS</a:t>
          </a:r>
          <a:r>
            <a:rPr lang="en-IN" sz="2800" b="1" baseline="0">
              <a:solidFill>
                <a:srgbClr val="1F3A5F"/>
              </a:solidFill>
              <a:latin typeface="Segoe UI Variable Text Semibold" pitchFamily="2" charset="0"/>
            </a:rPr>
            <a:t> DASHBOARD</a:t>
          </a:r>
          <a:endParaRPr lang="en-IN" sz="2800" b="1">
            <a:solidFill>
              <a:srgbClr val="1F3A5F"/>
            </a:solidFill>
            <a:latin typeface="Segoe UI Variable Text Semibold" pitchFamily="2" charset="0"/>
          </a:endParaRPr>
        </a:p>
      </xdr:txBody>
    </xdr:sp>
    <xdr:clientData/>
  </xdr:twoCellAnchor>
  <xdr:twoCellAnchor>
    <xdr:from>
      <xdr:col>10</xdr:col>
      <xdr:colOff>28670</xdr:colOff>
      <xdr:row>30</xdr:row>
      <xdr:rowOff>52191</xdr:rowOff>
    </xdr:from>
    <xdr:to>
      <xdr:col>11</xdr:col>
      <xdr:colOff>520571</xdr:colOff>
      <xdr:row>32</xdr:row>
      <xdr:rowOff>52191</xdr:rowOff>
    </xdr:to>
    <xdr:sp macro="" textlink="">
      <xdr:nvSpPr>
        <xdr:cNvPr id="49" name="Rectangle: Rounded Corners 48">
          <a:hlinkClick xmlns:r="http://schemas.openxmlformats.org/officeDocument/2006/relationships" r:id="rId10"/>
          <a:extLst>
            <a:ext uri="{FF2B5EF4-FFF2-40B4-BE49-F238E27FC236}">
              <a16:creationId xmlns:a16="http://schemas.microsoft.com/office/drawing/2014/main" id="{7D0B272B-D9A4-4D29-8438-E9D799131CB0}"/>
            </a:ext>
          </a:extLst>
        </xdr:cNvPr>
        <xdr:cNvSpPr/>
      </xdr:nvSpPr>
      <xdr:spPr>
        <a:xfrm>
          <a:off x="6117711" y="5532328"/>
          <a:ext cx="1100805" cy="365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DATA</a:t>
          </a:r>
        </a:p>
        <a:p>
          <a:pPr algn="ct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8.625264120368" createdVersion="8" refreshedVersion="8" minRefreshableVersion="3" recordCount="1470" xr:uid="{1A69A435-CF32-4AE4-B6A1-36F9DDB3F702}">
  <cacheSource type="worksheet">
    <worksheetSource name="Table3"/>
  </cacheSource>
  <cacheFields count="34">
    <cacheField name="index" numFmtId="0">
      <sharedItems containsSemiMixedTypes="0" containsString="0" containsNumber="1" containsInteger="1" minValue="1" maxValue="1470"/>
    </cacheField>
    <cacheField name="Age" numFmtId="0">
      <sharedItems containsSemiMixedTypes="0" containsString="0" containsNumber="1" containsInteger="1" minValue="18" maxValue="60"/>
    </cacheField>
    <cacheField name="Age Groups" numFmtId="0">
      <sharedItems/>
    </cacheField>
    <cacheField name="Attrition" numFmtId="0">
      <sharedItems count="2">
        <s v="Yes"/>
        <s v="No"/>
      </sharedItems>
    </cacheField>
    <cacheField name="BusinessTravel" numFmtId="0">
      <sharedItems/>
    </cacheField>
    <cacheField name="DailyRate" numFmtId="166">
      <sharedItems containsSemiMixedTypes="0" containsString="0" containsNumber="1" containsInteger="1" minValue="103" maxValue="1392"/>
    </cacheField>
    <cacheField name="Department" numFmtId="0">
      <sharedItems count="3">
        <s v="Sales"/>
        <s v="Research &amp; Development"/>
        <s v="Human Resources"/>
      </sharedItems>
    </cacheField>
    <cacheField name="DistanceFromHome" numFmtId="164">
      <sharedItems containsSemiMixedTypes="0" containsString="0" containsNumber="1" containsInteger="1" minValue="1" maxValue="29"/>
    </cacheField>
    <cacheField name="Education" numFmtId="0">
      <sharedItems/>
    </cacheField>
    <cacheField name="EducationField" numFmtId="0">
      <sharedItems/>
    </cacheField>
    <cacheField name="EnvironmentSatisfaction" numFmtId="0">
      <sharedItems/>
    </cacheField>
    <cacheField name="Gender" numFmtId="0">
      <sharedItems/>
    </cacheField>
    <cacheField name="HourlyRate" numFmtId="166">
      <sharedItems containsSemiMixedTypes="0" containsString="0" containsNumber="1" containsInteger="1" minValue="30" maxValue="100"/>
    </cacheField>
    <cacheField name="JobInvolvement" numFmtId="0">
      <sharedItems/>
    </cacheField>
    <cacheField name="JobLevel" numFmtId="0">
      <sharedItems/>
    </cacheField>
    <cacheField name="JobRole" numFmtId="0">
      <sharedItems/>
    </cacheField>
    <cacheField name="JobSatisfaction" numFmtId="0">
      <sharedItems/>
    </cacheField>
    <cacheField name="MaritalStatus" numFmtId="0">
      <sharedItems/>
    </cacheField>
    <cacheField name="MonthlyIncome" numFmtId="166">
      <sharedItems containsSemiMixedTypes="0" containsString="0" containsNumber="1" containsInteger="1" minValue="1009" maxValue="19999"/>
    </cacheField>
    <cacheField name="MonthlyRate" numFmtId="166">
      <sharedItems containsSemiMixedTypes="0" containsString="0" containsNumber="1" containsInteger="1" minValue="2094" maxValue="26999"/>
    </cacheField>
    <cacheField name="SalaryBand" numFmtId="166">
      <sharedItems/>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165">
      <sharedItems containsSemiMixedTypes="0" containsString="0" containsNumber="1" containsInteger="1" minValue="11" maxValue="25"/>
    </cacheField>
    <cacheField name="PerformanceRating" numFmtId="0">
      <sharedItems/>
    </cacheField>
    <cacheField name="RelationshipSatisfaction" numFmtId="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435927662038" backgroundQuery="1" createdVersion="8" refreshedVersion="8" minRefreshableVersion="3" recordCount="0" supportSubquery="1" supportAdvancedDrill="1" xr:uid="{8ABE7562-2216-4593-93C8-405F86D74B06}">
  <cacheSource type="external" connectionId="1"/>
  <cacheFields count="4">
    <cacheField name="[Table3].[Tenture].[Tenture]" caption="Tenture" numFmtId="0" hierarchy="34" level="1">
      <sharedItems count="4">
        <s v="0-2 Years"/>
        <s v="10+ Years"/>
        <s v="3-5 Years"/>
        <s v="6-10 Years"/>
      </sharedItems>
    </cacheField>
    <cacheField name="[Table3].[Attrition].[Attrition]" caption="Attrition" numFmtId="0" hierarchy="3" level="1">
      <sharedItems count="2">
        <s v="No"/>
        <s v="Yes"/>
      </sharedItems>
    </cacheField>
    <cacheField name="[Measures].[Count of index]" caption="Count of index" numFmtId="0" hierarchy="38" level="32767"/>
    <cacheField name="[Table3].[Gender].[Gender]" caption="Gender" numFmtId="0" hierarchy="11" level="1">
      <sharedItems containsSemiMixedTypes="0" containsNonDate="0" containsString="0"/>
    </cacheField>
  </cacheFields>
  <cacheHierarchies count="40">
    <cacheHierarchy uniqueName="[Table3].[index]" caption="index" attribute="1" defaultMemberUniqueName="[Table3].[index].[All]" allUniqueName="[Table3].[index].[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ge Groups]" caption="Age Groups" attribute="1" defaultMemberUniqueName="[Table3].[Age Groups].[All]" allUniqueName="[Table3].[Age Groups].[All]" dimensionUniqueName="[Table3]" displayFolder="" count="0" memberValueDatatype="130" unbalanced="0"/>
    <cacheHierarchy uniqueName="[Table3].[Attrition]" caption="Attrition" attribute="1" defaultMemberUniqueName="[Table3].[Attrition].[All]" allUniqueName="[Table3].[Attrition].[All]" dimensionUniqueName="[Table3]" displayFolder="" count="2" memberValueDatatype="130" unbalanced="0">
      <fieldsUsage count="2">
        <fieldUsage x="-1"/>
        <fieldUsage x="1"/>
      </fieldsUsage>
    </cacheHierarchy>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nvironmentSatisfaction]" caption="EnvironmentSatisfaction" attribute="1" defaultMemberUniqueName="[Table3].[EnvironmentSatisfaction].[All]" allUniqueName="[Table3].[EnvironmentSatisfaction].[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3"/>
      </fieldsUsage>
    </cacheHierarchy>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130" unbalanced="0"/>
    <cacheHierarchy uniqueName="[Table3].[JobLevel]" caption="JobLevel" attribute="1" defaultMemberUniqueName="[Table3].[JobLevel].[All]" allUniqueName="[Table3].[JobLevel].[All]" dimensionUniqueName="[Table3]" displayFolder="" count="0" memberValueDatatype="13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130" unbalanced="0"/>
    <cacheHierarchy uniqueName="[Table3].[MaritalStatus]" caption="MaritalStatus" attribute="1" defaultMemberUniqueName="[Table3].[MaritalStatus].[All]" allUniqueName="[Table3].[MaritalStatus].[All]" dimensionUniqueName="[Table3]" displayFolder="" count="2"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SalaryBand]" caption="SalaryBand" attribute="1" defaultMemberUniqueName="[Table3].[SalaryBand].[All]" allUniqueName="[Table3].[SalaryBand].[All]" dimensionUniqueName="[Table3]" displayFolder="" count="2" memberValueDatatype="13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Time]" caption="OverTime" attribute="1" defaultMemberUniqueName="[Table3].[OverTime].[All]" allUniqueName="[Table3].[OverTime].[All]" dimensionUniqueName="[Table3]" displayFolder="" count="2"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13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13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Table3].[Tenture]" caption="Tenture" attribute="1" defaultMemberUniqueName="[Table3].[Tenture].[All]" allUniqueName="[Table3].[Tenture].[All]" dimensionUniqueName="[Table3]" displayFolder="" count="2" memberValueDatatype="130" unbalanced="0">
      <fieldsUsage count="2">
        <fieldUsage x="-1"/>
        <fieldUsage x="0"/>
      </fieldsUsage>
    </cacheHierarchy>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index]" caption="Sum of index" measure="1" displayFolder="" measureGroup="Table3" count="0" hidden="1">
      <extLst>
        <ext xmlns:x15="http://schemas.microsoft.com/office/spreadsheetml/2010/11/main" uri="{B97F6D7D-B522-45F9-BDA1-12C45D357490}">
          <x15:cacheHierarchy aggregatedColumn="0"/>
        </ext>
      </extLst>
    </cacheHierarchy>
    <cacheHierarchy uniqueName="[Measures].[Count of index]" caption="Count of index" measure="1" displayFolder="" measureGroup="Table3"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435928819446" backgroundQuery="1" createdVersion="8" refreshedVersion="8" minRefreshableVersion="3" recordCount="0" supportSubquery="1" supportAdvancedDrill="1" xr:uid="{5E298C4A-6154-4B0C-BCF3-B17D7CBBDADA}">
  <cacheSource type="external" connectionId="1"/>
  <cacheFields count="4">
    <cacheField name="[Table3].[Attrition].[Attrition]" caption="Attrition" numFmtId="0" hierarchy="3" level="1">
      <sharedItems count="2">
        <s v="No"/>
        <s v="Yes"/>
      </sharedItems>
    </cacheField>
    <cacheField name="[Measures].[Count of index]" caption="Count of index" numFmtId="0" hierarchy="38" level="32767"/>
    <cacheField name="[Table3].[SalaryBand].[SalaryBand]" caption="SalaryBand" numFmtId="0" hierarchy="20" level="1">
      <sharedItems count="3">
        <s v="High"/>
        <s v="Low"/>
        <s v="Medium"/>
      </sharedItems>
    </cacheField>
    <cacheField name="[Table3].[Gender].[Gender]" caption="Gender" numFmtId="0" hierarchy="11" level="1">
      <sharedItems containsSemiMixedTypes="0" containsNonDate="0" containsString="0"/>
    </cacheField>
  </cacheFields>
  <cacheHierarchies count="40">
    <cacheHierarchy uniqueName="[Table3].[index]" caption="index" attribute="1" defaultMemberUniqueName="[Table3].[index].[All]" allUniqueName="[Table3].[index].[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ge Groups]" caption="Age Groups" attribute="1" defaultMemberUniqueName="[Table3].[Age Groups].[All]" allUniqueName="[Table3].[Age Groups].[All]" dimensionUniqueName="[Table3]" displayFolder="" count="0" memberValueDatatype="130" unbalanced="0"/>
    <cacheHierarchy uniqueName="[Table3].[Attrition]" caption="Attrition" attribute="1" defaultMemberUniqueName="[Table3].[Attrition].[All]" allUniqueName="[Table3].[Attrition].[All]" dimensionUniqueName="[Table3]" displayFolder="" count="2" memberValueDatatype="130" unbalanced="0">
      <fieldsUsage count="2">
        <fieldUsage x="-1"/>
        <fieldUsage x="0"/>
      </fieldsUsage>
    </cacheHierarchy>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nvironmentSatisfaction]" caption="EnvironmentSatisfaction" attribute="1" defaultMemberUniqueName="[Table3].[EnvironmentSatisfaction].[All]" allUniqueName="[Table3].[EnvironmentSatisfaction].[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3"/>
      </fieldsUsage>
    </cacheHierarchy>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130" unbalanced="0"/>
    <cacheHierarchy uniqueName="[Table3].[JobLevel]" caption="JobLevel" attribute="1" defaultMemberUniqueName="[Table3].[JobLevel].[All]" allUniqueName="[Table3].[JobLevel].[All]" dimensionUniqueName="[Table3]" displayFolder="" count="0" memberValueDatatype="13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130" unbalanced="0"/>
    <cacheHierarchy uniqueName="[Table3].[MaritalStatus]" caption="MaritalStatus" attribute="1" defaultMemberUniqueName="[Table3].[MaritalStatus].[All]" allUniqueName="[Table3].[MaritalStatus].[All]" dimensionUniqueName="[Table3]" displayFolder="" count="2"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SalaryBand]" caption="SalaryBand" attribute="1" defaultMemberUniqueName="[Table3].[SalaryBand].[All]" allUniqueName="[Table3].[SalaryBand].[All]" dimensionUniqueName="[Table3]" displayFolder="" count="2" memberValueDatatype="130" unbalanced="0">
      <fieldsUsage count="2">
        <fieldUsage x="-1"/>
        <fieldUsage x="2"/>
      </fieldsUsage>
    </cacheHierarchy>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Time]" caption="OverTime" attribute="1" defaultMemberUniqueName="[Table3].[OverTime].[All]" allUniqueName="[Table3].[OverTime].[All]" dimensionUniqueName="[Table3]" displayFolder="" count="2"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13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13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Table3].[Tenture]" caption="Tenture" attribute="1" defaultMemberUniqueName="[Table3].[Tenture].[All]" allUniqueName="[Table3].[Tenture].[All]" dimensionUniqueName="[Table3]" displayFolder="" count="0"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index]" caption="Sum of index" measure="1" displayFolder="" measureGroup="Table3" count="0" hidden="1">
      <extLst>
        <ext xmlns:x15="http://schemas.microsoft.com/office/spreadsheetml/2010/11/main" uri="{B97F6D7D-B522-45F9-BDA1-12C45D357490}">
          <x15:cacheHierarchy aggregatedColumn="0"/>
        </ext>
      </extLst>
    </cacheHierarchy>
    <cacheHierarchy uniqueName="[Measures].[Count of index]" caption="Count of index" measure="1" displayFolder="" measureGroup="Table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435929513886" backgroundQuery="1" createdVersion="8" refreshedVersion="8" minRefreshableVersion="3" recordCount="0" supportSubquery="1" supportAdvancedDrill="1" xr:uid="{3466295E-9C24-4790-8768-A3C7F8942881}">
  <cacheSource type="external" connectionId="1"/>
  <cacheFields count="4">
    <cacheField name="[Table3].[Attrition].[Attrition]" caption="Attrition" numFmtId="0" hierarchy="3" level="1">
      <sharedItems count="2">
        <s v="No"/>
        <s v="Yes"/>
      </sharedItems>
    </cacheField>
    <cacheField name="[Measures].[Count of index]" caption="Count of index" numFmtId="0" hierarchy="38" level="32767"/>
    <cacheField name="[Table3].[JobSatisfaction].[JobSatisfaction]" caption="JobSatisfaction" numFmtId="0" hierarchy="16" level="1">
      <sharedItems count="4">
        <s v="Excellent"/>
        <s v="High"/>
        <s v="Low"/>
        <s v="Medium"/>
      </sharedItems>
    </cacheField>
    <cacheField name="[Table3].[Gender].[Gender]" caption="Gender" numFmtId="0" hierarchy="11" level="1">
      <sharedItems containsSemiMixedTypes="0" containsNonDate="0" containsString="0"/>
    </cacheField>
  </cacheFields>
  <cacheHierarchies count="40">
    <cacheHierarchy uniqueName="[Table3].[index]" caption="index" attribute="1" defaultMemberUniqueName="[Table3].[index].[All]" allUniqueName="[Table3].[index].[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ge Groups]" caption="Age Groups" attribute="1" defaultMemberUniqueName="[Table3].[Age Groups].[All]" allUniqueName="[Table3].[Age Groups].[All]" dimensionUniqueName="[Table3]" displayFolder="" count="0" memberValueDatatype="130" unbalanced="0"/>
    <cacheHierarchy uniqueName="[Table3].[Attrition]" caption="Attrition" attribute="1" defaultMemberUniqueName="[Table3].[Attrition].[All]" allUniqueName="[Table3].[Attrition].[All]" dimensionUniqueName="[Table3]" displayFolder="" count="2" memberValueDatatype="130" unbalanced="0">
      <fieldsUsage count="2">
        <fieldUsage x="-1"/>
        <fieldUsage x="0"/>
      </fieldsUsage>
    </cacheHierarchy>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nvironmentSatisfaction]" caption="EnvironmentSatisfaction" attribute="1" defaultMemberUniqueName="[Table3].[EnvironmentSatisfaction].[All]" allUniqueName="[Table3].[EnvironmentSatisfaction].[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3"/>
      </fieldsUsage>
    </cacheHierarchy>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130" unbalanced="0"/>
    <cacheHierarchy uniqueName="[Table3].[JobLevel]" caption="JobLevel" attribute="1" defaultMemberUniqueName="[Table3].[JobLevel].[All]" allUniqueName="[Table3].[JobLevel].[All]" dimensionUniqueName="[Table3]" displayFolder="" count="0" memberValueDatatype="13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2" memberValueDatatype="130" unbalanced="0">
      <fieldsUsage count="2">
        <fieldUsage x="-1"/>
        <fieldUsage x="2"/>
      </fieldsUsage>
    </cacheHierarchy>
    <cacheHierarchy uniqueName="[Table3].[MaritalStatus]" caption="MaritalStatus" attribute="1" defaultMemberUniqueName="[Table3].[MaritalStatus].[All]" allUniqueName="[Table3].[MaritalStatus].[All]" dimensionUniqueName="[Table3]" displayFolder="" count="2"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SalaryBand]" caption="SalaryBand" attribute="1" defaultMemberUniqueName="[Table3].[SalaryBand].[All]" allUniqueName="[Table3].[SalaryBand].[All]" dimensionUniqueName="[Table3]" displayFolder="" count="2" memberValueDatatype="13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Time]" caption="OverTime" attribute="1" defaultMemberUniqueName="[Table3].[OverTime].[All]" allUniqueName="[Table3].[OverTime].[All]" dimensionUniqueName="[Table3]" displayFolder="" count="2"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13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13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Table3].[Tenture]" caption="Tenture" attribute="1" defaultMemberUniqueName="[Table3].[Tenture].[All]" allUniqueName="[Table3].[Tenture].[All]" dimensionUniqueName="[Table3]" displayFolder="" count="0"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index]" caption="Sum of index" measure="1" displayFolder="" measureGroup="Table3" count="0" hidden="1">
      <extLst>
        <ext xmlns:x15="http://schemas.microsoft.com/office/spreadsheetml/2010/11/main" uri="{B97F6D7D-B522-45F9-BDA1-12C45D357490}">
          <x15:cacheHierarchy aggregatedColumn="0"/>
        </ext>
      </extLst>
    </cacheHierarchy>
    <cacheHierarchy uniqueName="[Measures].[Count of index]" caption="Count of index" measure="1" displayFolder="" measureGroup="Table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435930092593" backgroundQuery="1" createdVersion="8" refreshedVersion="8" minRefreshableVersion="3" recordCount="0" supportSubquery="1" supportAdvancedDrill="1" xr:uid="{15DEDDBF-8B83-4807-A1BC-475515D57C2E}">
  <cacheSource type="external" connectionId="1"/>
  <cacheFields count="4">
    <cacheField name="[Table3].[Attrition].[Attrition]" caption="Attrition" numFmtId="0" hierarchy="3" level="1">
      <sharedItems count="2">
        <s v="No"/>
        <s v="Yes"/>
      </sharedItems>
    </cacheField>
    <cacheField name="[Measures].[Count of index]" caption="Count of index" numFmtId="0" hierarchy="38" level="32767"/>
    <cacheField name="[Table3].[WorkLifeBalance].[WorkLifeBalance]" caption="WorkLifeBalance" numFmtId="0" hierarchy="2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3].[WorkLifeBalance].&amp;[1]"/>
            <x15:cachedUniqueName index="1" name="[Table3].[WorkLifeBalance].&amp;[2]"/>
            <x15:cachedUniqueName index="2" name="[Table3].[WorkLifeBalance].&amp;[3]"/>
            <x15:cachedUniqueName index="3" name="[Table3].[WorkLifeBalance].&amp;[4]"/>
          </x15:cachedUniqueNames>
        </ext>
      </extLst>
    </cacheField>
    <cacheField name="[Table3].[Gender].[Gender]" caption="Gender" numFmtId="0" hierarchy="11" level="1">
      <sharedItems containsSemiMixedTypes="0" containsNonDate="0" containsString="0"/>
    </cacheField>
  </cacheFields>
  <cacheHierarchies count="40">
    <cacheHierarchy uniqueName="[Table3].[index]" caption="index" attribute="1" defaultMemberUniqueName="[Table3].[index].[All]" allUniqueName="[Table3].[index].[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ge Groups]" caption="Age Groups" attribute="1" defaultMemberUniqueName="[Table3].[Age Groups].[All]" allUniqueName="[Table3].[Age Groups].[All]" dimensionUniqueName="[Table3]" displayFolder="" count="0" memberValueDatatype="130" unbalanced="0"/>
    <cacheHierarchy uniqueName="[Table3].[Attrition]" caption="Attrition" attribute="1" defaultMemberUniqueName="[Table3].[Attrition].[All]" allUniqueName="[Table3].[Attrition].[All]" dimensionUniqueName="[Table3]" displayFolder="" count="2" memberValueDatatype="130" unbalanced="0">
      <fieldsUsage count="2">
        <fieldUsage x="-1"/>
        <fieldUsage x="0"/>
      </fieldsUsage>
    </cacheHierarchy>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nvironmentSatisfaction]" caption="EnvironmentSatisfaction" attribute="1" defaultMemberUniqueName="[Table3].[EnvironmentSatisfaction].[All]" allUniqueName="[Table3].[EnvironmentSatisfaction].[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3"/>
      </fieldsUsage>
    </cacheHierarchy>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130" unbalanced="0"/>
    <cacheHierarchy uniqueName="[Table3].[JobLevel]" caption="JobLevel" attribute="1" defaultMemberUniqueName="[Table3].[JobLevel].[All]" allUniqueName="[Table3].[JobLevel].[All]" dimensionUniqueName="[Table3]" displayFolder="" count="0" memberValueDatatype="13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130" unbalanced="0"/>
    <cacheHierarchy uniqueName="[Table3].[MaritalStatus]" caption="MaritalStatus" attribute="1" defaultMemberUniqueName="[Table3].[MaritalStatus].[All]" allUniqueName="[Table3].[MaritalStatus].[All]" dimensionUniqueName="[Table3]" displayFolder="" count="2"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SalaryBand]" caption="SalaryBand" attribute="1" defaultMemberUniqueName="[Table3].[SalaryBand].[All]" allUniqueName="[Table3].[SalaryBand].[All]" dimensionUniqueName="[Table3]" displayFolder="" count="2" memberValueDatatype="13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Time]" caption="OverTime" attribute="1" defaultMemberUniqueName="[Table3].[OverTime].[All]" allUniqueName="[Table3].[OverTime].[All]" dimensionUniqueName="[Table3]" displayFolder="" count="2"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13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13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2" memberValueDatatype="20" unbalanced="0">
      <fieldsUsage count="2">
        <fieldUsage x="-1"/>
        <fieldUsage x="2"/>
      </fieldsUsage>
    </cacheHierarchy>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Table3].[Tenture]" caption="Tenture" attribute="1" defaultMemberUniqueName="[Table3].[Tenture].[All]" allUniqueName="[Table3].[Tenture].[All]" dimensionUniqueName="[Table3]" displayFolder="" count="0"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index]" caption="Sum of index" measure="1" displayFolder="" measureGroup="Table3" count="0" hidden="1">
      <extLst>
        <ext xmlns:x15="http://schemas.microsoft.com/office/spreadsheetml/2010/11/main" uri="{B97F6D7D-B522-45F9-BDA1-12C45D357490}">
          <x15:cacheHierarchy aggregatedColumn="0"/>
        </ext>
      </extLst>
    </cacheHierarchy>
    <cacheHierarchy uniqueName="[Measures].[Count of index]" caption="Count of index" measure="1" displayFolder="" measureGroup="Table3"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412809490743" backgroundQuery="1" createdVersion="3" refreshedVersion="8" minRefreshableVersion="3" recordCount="0" supportSubquery="1" supportAdvancedDrill="1" xr:uid="{C6C75758-5FFE-466F-B33D-D5F152954604}">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ble3].[index]" caption="index" attribute="1" defaultMemberUniqueName="[Table3].[index].[All]" allUniqueName="[Table3].[index].[All]" dimensionUniqueName="[Table3]" displayFolder="" count="0" memberValueDatatype="20" unbalanced="0"/>
    <cacheHierarchy uniqueName="[Table3].[Age]" caption="Age" attribute="1" defaultMemberUniqueName="[Table3].[Age].[All]" allUniqueName="[Table3].[Age].[All]" dimensionUniqueName="[Table3]" displayFolder="" count="0" memberValueDatatype="20" unbalanced="0"/>
    <cacheHierarchy uniqueName="[Table3].[Age Groups]" caption="Age Groups" attribute="1" defaultMemberUniqueName="[Table3].[Age Groups].[All]" allUniqueName="[Table3].[Age Groups].[All]" dimensionUniqueName="[Table3]" displayFolder="" count="0" memberValueDatatype="130" unbalanced="0"/>
    <cacheHierarchy uniqueName="[Table3].[Attrition]" caption="Attrition" attribute="1" defaultMemberUniqueName="[Table3].[Attrition].[All]" allUniqueName="[Table3].[Attrition].[All]" dimensionUniqueName="[Table3]" displayFolder="" count="0" memberValueDatatype="130" unbalanced="0"/>
    <cacheHierarchy uniqueName="[Table3].[BusinessTravel]" caption="BusinessTravel" attribute="1" defaultMemberUniqueName="[Table3].[BusinessTravel].[All]" allUniqueName="[Table3].[BusinessTravel].[All]" dimensionUniqueName="[Table3]" displayFolder="" count="0" memberValueDatatype="130" unbalanced="0"/>
    <cacheHierarchy uniqueName="[Table3].[DailyRate]" caption="DailyRate" attribute="1" defaultMemberUniqueName="[Table3].[DailyRate].[All]" allUniqueName="[Table3].[DailyRate].[All]" dimensionUniqueName="[Table3]" displayFolder="" count="0" memberValueDatatype="20" unbalanced="0"/>
    <cacheHierarchy uniqueName="[Table3].[Department]" caption="Department" attribute="1" defaultMemberUniqueName="[Table3].[Department].[All]" allUniqueName="[Table3].[Department].[All]" dimensionUniqueName="[Table3]" displayFolder="" count="0" memberValueDatatype="130" unbalanced="0"/>
    <cacheHierarchy uniqueName="[Table3].[DistanceFromHome]" caption="DistanceFromHome" attribute="1" defaultMemberUniqueName="[Table3].[DistanceFromHome].[All]" allUniqueName="[Table3].[DistanceFromHome].[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EducationField]" caption="EducationField" attribute="1" defaultMemberUniqueName="[Table3].[EducationField].[All]" allUniqueName="[Table3].[EducationField].[All]" dimensionUniqueName="[Table3]" displayFolder="" count="0" memberValueDatatype="130" unbalanced="0"/>
    <cacheHierarchy uniqueName="[Table3].[EnvironmentSatisfaction]" caption="EnvironmentSatisfaction" attribute="1" defaultMemberUniqueName="[Table3].[EnvironmentSatisfaction].[All]" allUniqueName="[Table3].[EnvironmentSatisfaction].[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HourlyRate]" caption="HourlyRate" attribute="1" defaultMemberUniqueName="[Table3].[HourlyRate].[All]" allUniqueName="[Table3].[HourlyRate].[All]" dimensionUniqueName="[Table3]" displayFolder="" count="0" memberValueDatatype="20" unbalanced="0"/>
    <cacheHierarchy uniqueName="[Table3].[JobInvolvement]" caption="JobInvolvement" attribute="1" defaultMemberUniqueName="[Table3].[JobInvolvement].[All]" allUniqueName="[Table3].[JobInvolvement].[All]" dimensionUniqueName="[Table3]" displayFolder="" count="0" memberValueDatatype="130" unbalanced="0"/>
    <cacheHierarchy uniqueName="[Table3].[JobLevel]" caption="JobLevel" attribute="1" defaultMemberUniqueName="[Table3].[JobLevel].[All]" allUniqueName="[Table3].[JobLevel].[All]" dimensionUniqueName="[Table3]" displayFolder="" count="0" memberValueDatatype="130" unbalanced="0"/>
    <cacheHierarchy uniqueName="[Table3].[JobRole]" caption="JobRole" attribute="1" defaultMemberUniqueName="[Table3].[JobRole].[All]" allUniqueName="[Table3].[JobRole].[All]" dimensionUniqueName="[Table3]" displayFolder="" count="0" memberValueDatatype="130" unbalanced="0"/>
    <cacheHierarchy uniqueName="[Table3].[JobSatisfaction]" caption="JobSatisfaction" attribute="1" defaultMemberUniqueName="[Table3].[JobSatisfaction].[All]" allUniqueName="[Table3].[JobSatisfaction].[All]" dimensionUniqueName="[Table3]" displayFolder="" count="0" memberValueDatatype="130" unbalanced="0"/>
    <cacheHierarchy uniqueName="[Table3].[MaritalStatus]" caption="MaritalStatus" attribute="1" defaultMemberUniqueName="[Table3].[MaritalStatus].[All]" allUniqueName="[Table3].[MaritalStatus].[All]" dimensionUniqueName="[Table3]" displayFolder="" count="2" memberValueDatatype="130" unbalanced="0"/>
    <cacheHierarchy uniqueName="[Table3].[MonthlyIncome]" caption="MonthlyIncome" attribute="1" defaultMemberUniqueName="[Table3].[MonthlyIncome].[All]" allUniqueName="[Table3].[MonthlyIncome].[All]" dimensionUniqueName="[Table3]" displayFolder="" count="0" memberValueDatatype="20" unbalanced="0"/>
    <cacheHierarchy uniqueName="[Table3].[MonthlyRate]" caption="MonthlyRate" attribute="1" defaultMemberUniqueName="[Table3].[MonthlyRate].[All]" allUniqueName="[Table3].[MonthlyRate].[All]" dimensionUniqueName="[Table3]" displayFolder="" count="0" memberValueDatatype="20" unbalanced="0"/>
    <cacheHierarchy uniqueName="[Table3].[SalaryBand]" caption="SalaryBand" attribute="1" defaultMemberUniqueName="[Table3].[SalaryBand].[All]" allUniqueName="[Table3].[SalaryBand].[All]" dimensionUniqueName="[Table3]" displayFolder="" count="2" memberValueDatatype="130" unbalanced="0"/>
    <cacheHierarchy uniqueName="[Table3].[NumCompaniesWorked]" caption="NumCompaniesWorked" attribute="1" defaultMemberUniqueName="[Table3].[NumCompaniesWorked].[All]" allUniqueName="[Table3].[NumCompaniesWorked].[All]" dimensionUniqueName="[Table3]" displayFolder="" count="0" memberValueDatatype="20" unbalanced="0"/>
    <cacheHierarchy uniqueName="[Table3].[OverTime]" caption="OverTime" attribute="1" defaultMemberUniqueName="[Table3].[OverTime].[All]" allUniqueName="[Table3].[OverTime].[All]" dimensionUniqueName="[Table3]" displayFolder="" count="2" memberValueDatatype="130" unbalanced="0"/>
    <cacheHierarchy uniqueName="[Table3].[PercentSalaryHike]" caption="PercentSalaryHike" attribute="1" defaultMemberUniqueName="[Table3].[PercentSalaryHike].[All]" allUniqueName="[Table3].[PercentSalaryHike].[All]" dimensionUniqueName="[Table3]" displayFolder="" count="0" memberValueDatatype="20" unbalanced="0"/>
    <cacheHierarchy uniqueName="[Table3].[PerformanceRating]" caption="PerformanceRating" attribute="1" defaultMemberUniqueName="[Table3].[PerformanceRating].[All]" allUniqueName="[Table3].[PerformanceRating].[All]" dimensionUniqueName="[Table3]" displayFolder="" count="0" memberValueDatatype="130" unbalanced="0"/>
    <cacheHierarchy uniqueName="[Table3].[RelationshipSatisfaction]" caption="RelationshipSatisfaction" attribute="1" defaultMemberUniqueName="[Table3].[RelationshipSatisfaction].[All]" allUniqueName="[Table3].[RelationshipSatisfaction].[All]" dimensionUniqueName="[Table3]" displayFolder="" count="0" memberValueDatatype="130" unbalanced="0"/>
    <cacheHierarchy uniqueName="[Table3].[StockOptionLevel]" caption="StockOptionLevel" attribute="1" defaultMemberUniqueName="[Table3].[StockOptionLevel].[All]" allUniqueName="[Table3].[StockOptionLevel].[All]" dimensionUniqueName="[Table3]" displayFolder="" count="0" memberValueDatatype="20" unbalanced="0"/>
    <cacheHierarchy uniqueName="[Table3].[TotalWorkingYears]" caption="TotalWorkingYears" attribute="1" defaultMemberUniqueName="[Table3].[TotalWorkingYears].[All]" allUniqueName="[Table3].[TotalWorkingYears].[All]" dimensionUniqueName="[Table3]" displayFolder="" count="0" memberValueDatatype="20" unbalanced="0"/>
    <cacheHierarchy uniqueName="[Table3].[TrainingTimesLastYear]" caption="TrainingTimesLastYear" attribute="1" defaultMemberUniqueName="[Table3].[TrainingTimesLastYear].[All]" allUniqueName="[Table3].[TrainingTimesLastYear].[All]" dimensionUniqueName="[Table3]" displayFolder="" count="0" memberValueDatatype="20" unbalanced="0"/>
    <cacheHierarchy uniqueName="[Table3].[WorkLifeBalance]" caption="WorkLifeBalance" attribute="1" defaultMemberUniqueName="[Table3].[WorkLifeBalance].[All]" allUniqueName="[Table3].[WorkLifeBalance].[All]" dimensionUniqueName="[Table3]" displayFolder="" count="0" memberValueDatatype="20" unbalanced="0"/>
    <cacheHierarchy uniqueName="[Table3].[YearsAtCompany]" caption="YearsAtCompany" attribute="1" defaultMemberUniqueName="[Table3].[YearsAtCompany].[All]" allUniqueName="[Table3].[YearsAtCompany].[All]" dimensionUniqueName="[Table3]" displayFolder="" count="0" memberValueDatatype="20" unbalanced="0"/>
    <cacheHierarchy uniqueName="[Table3].[YearsInCurrentRole]" caption="YearsInCurrentRole" attribute="1" defaultMemberUniqueName="[Table3].[YearsInCurrentRole].[All]" allUniqueName="[Table3].[YearsInCurrentRole].[All]" dimensionUniqueName="[Table3]" displayFolder="" count="0" memberValueDatatype="20" unbalanced="0"/>
    <cacheHierarchy uniqueName="[Table3].[YearsSinceLastPromotion]" caption="YearsSinceLastPromotion" attribute="1" defaultMemberUniqueName="[Table3].[YearsSinceLastPromotion].[All]" allUniqueName="[Table3].[YearsSinceLastPromotion].[All]" dimensionUniqueName="[Table3]" displayFolder="" count="0" memberValueDatatype="20" unbalanced="0"/>
    <cacheHierarchy uniqueName="[Table3].[YearsWithCurrManager]" caption="YearsWithCurrManager" attribute="1" defaultMemberUniqueName="[Table3].[YearsWithCurrManager].[All]" allUniqueName="[Table3].[YearsWithCurrManager].[All]" dimensionUniqueName="[Table3]" displayFolder="" count="0" memberValueDatatype="20" unbalanced="0"/>
    <cacheHierarchy uniqueName="[Table3].[Tenture]" caption="Tenture" attribute="1" defaultMemberUniqueName="[Table3].[Tenture].[All]" allUniqueName="[Table3].[Tenture].[All]" dimensionUniqueName="[Table3]" displayFolder="" count="0"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index]" caption="Sum of index" measure="1" displayFolder="" measureGroup="Table3" count="0" hidden="1">
      <extLst>
        <ext xmlns:x15="http://schemas.microsoft.com/office/spreadsheetml/2010/11/main" uri="{B97F6D7D-B522-45F9-BDA1-12C45D357490}">
          <x15:cacheHierarchy aggregatedColumn="0"/>
        </ext>
      </extLst>
    </cacheHierarchy>
    <cacheHierarchy uniqueName="[Measures].[Count of index]" caption="Count of index" measure="1" displayFolder="" measureGroup="Table3" count="0" hidden="1">
      <extLst>
        <ext xmlns:x15="http://schemas.microsoft.com/office/spreadsheetml/2010/11/main" uri="{B97F6D7D-B522-45F9-BDA1-12C45D357490}">
          <x15:cacheHierarchy aggregatedColumn="0"/>
        </ext>
      </extLst>
    </cacheHierarchy>
    <cacheHierarchy uniqueName="[Measures].[Sum of MonthlyIncome]" caption="Sum of MonthlyIncome" measure="1" displayFolder="" measureGroup="Table3"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87816370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s v="36-45"/>
    <x v="0"/>
    <s v="Travel_Rarely"/>
    <n v="1102"/>
    <x v="0"/>
    <n v="1"/>
    <s v="Good"/>
    <s v="Life Sciences"/>
    <s v="Medium"/>
    <s v="Female"/>
    <n v="94"/>
    <s v="High"/>
    <s v="Medium"/>
    <s v="Sales Executive"/>
    <s v="Excellent"/>
    <s v="Single"/>
    <n v="5993"/>
    <n v="19479"/>
    <s v="Medium"/>
    <n v="8"/>
    <x v="0"/>
    <n v="11"/>
    <s v="High"/>
    <s v="Low"/>
    <n v="0"/>
    <n v="8"/>
    <n v="0"/>
    <n v="1"/>
    <n v="6"/>
    <n v="4"/>
    <n v="0"/>
    <n v="5"/>
  </r>
  <r>
    <n v="2"/>
    <n v="49"/>
    <s v="46-55"/>
    <x v="1"/>
    <s v="Travel_Frequently"/>
    <n v="279"/>
    <x v="1"/>
    <n v="8"/>
    <s v="Low"/>
    <s v="Life Sciences"/>
    <s v="High"/>
    <s v="Male"/>
    <n v="61"/>
    <s v="Medium"/>
    <s v="Medium"/>
    <s v="Research Scientist"/>
    <s v="Medium"/>
    <s v="Married"/>
    <n v="5130"/>
    <n v="24907"/>
    <s v="Medium"/>
    <n v="1"/>
    <x v="1"/>
    <n v="23"/>
    <s v="Excellent"/>
    <s v="Excellent"/>
    <n v="1"/>
    <n v="10"/>
    <n v="3"/>
    <n v="3"/>
    <n v="10"/>
    <n v="7"/>
    <n v="1"/>
    <n v="7"/>
  </r>
  <r>
    <n v="3"/>
    <n v="37"/>
    <s v="36-45"/>
    <x v="0"/>
    <s v="Travel_Rarely"/>
    <n v="1373"/>
    <x v="1"/>
    <n v="2"/>
    <s v="Good"/>
    <s v="Other"/>
    <s v="Excellent"/>
    <s v="Male"/>
    <n v="92"/>
    <s v="Medium"/>
    <s v="Low"/>
    <s v="Laboratory Technician"/>
    <s v="High"/>
    <s v="Single"/>
    <n v="2090"/>
    <n v="2396"/>
    <s v="Low"/>
    <n v="6"/>
    <x v="0"/>
    <n v="15"/>
    <s v="High"/>
    <s v="Medium"/>
    <n v="0"/>
    <n v="7"/>
    <n v="3"/>
    <n v="3"/>
    <n v="0"/>
    <n v="0"/>
    <n v="0"/>
    <n v="0"/>
  </r>
  <r>
    <n v="4"/>
    <n v="33"/>
    <s v="26-35"/>
    <x v="1"/>
    <s v="Travel_Frequently"/>
    <n v="1392"/>
    <x v="1"/>
    <n v="3"/>
    <s v="High"/>
    <s v="Life Sciences"/>
    <s v="Excellent"/>
    <s v="Female"/>
    <n v="56"/>
    <s v="High"/>
    <s v="Low"/>
    <s v="Research Scientist"/>
    <s v="High"/>
    <s v="Married"/>
    <n v="2909"/>
    <n v="23159"/>
    <s v="Low"/>
    <n v="1"/>
    <x v="0"/>
    <n v="11"/>
    <s v="High"/>
    <s v="High"/>
    <n v="0"/>
    <n v="8"/>
    <n v="3"/>
    <n v="3"/>
    <n v="8"/>
    <n v="7"/>
    <n v="3"/>
    <n v="0"/>
  </r>
  <r>
    <n v="5"/>
    <n v="27"/>
    <s v="26-35"/>
    <x v="1"/>
    <s v="Travel_Rarely"/>
    <n v="591"/>
    <x v="1"/>
    <n v="2"/>
    <s v="Low"/>
    <s v="Medical"/>
    <s v="Low"/>
    <s v="Male"/>
    <n v="40"/>
    <s v="High"/>
    <s v="Low"/>
    <s v="Laboratory Technician"/>
    <s v="Medium"/>
    <s v="Married"/>
    <n v="3468"/>
    <n v="16632"/>
    <s v="Low"/>
    <n v="9"/>
    <x v="1"/>
    <n v="12"/>
    <s v="High"/>
    <s v="Excellent"/>
    <n v="1"/>
    <n v="6"/>
    <n v="3"/>
    <n v="3"/>
    <n v="2"/>
    <n v="2"/>
    <n v="2"/>
    <n v="2"/>
  </r>
  <r>
    <n v="6"/>
    <n v="32"/>
    <s v="26-35"/>
    <x v="1"/>
    <s v="Travel_Frequently"/>
    <n v="1005"/>
    <x v="1"/>
    <n v="2"/>
    <s v="Good"/>
    <s v="Life Sciences"/>
    <s v="Excellent"/>
    <s v="Male"/>
    <n v="79"/>
    <s v="High"/>
    <s v="Low"/>
    <s v="Laboratory Technician"/>
    <s v="Excellent"/>
    <s v="Single"/>
    <n v="3068"/>
    <n v="11864"/>
    <s v="Low"/>
    <n v="0"/>
    <x v="1"/>
    <n v="13"/>
    <s v="High"/>
    <s v="High"/>
    <n v="0"/>
    <n v="8"/>
    <n v="2"/>
    <n v="2"/>
    <n v="7"/>
    <n v="7"/>
    <n v="3"/>
    <n v="6"/>
  </r>
  <r>
    <n v="7"/>
    <n v="59"/>
    <s v="55+"/>
    <x v="1"/>
    <s v="Travel_Rarely"/>
    <n v="1324"/>
    <x v="1"/>
    <n v="3"/>
    <s v="Medium"/>
    <s v="Medical"/>
    <s v="High"/>
    <s v="Female"/>
    <n v="81"/>
    <s v="Excellent"/>
    <s v="Low"/>
    <s v="Laboratory Technician"/>
    <s v="Low"/>
    <s v="Married"/>
    <n v="2670"/>
    <n v="9964"/>
    <s v="Low"/>
    <n v="4"/>
    <x v="0"/>
    <n v="20"/>
    <s v="Excellent"/>
    <s v="Low"/>
    <n v="3"/>
    <n v="12"/>
    <n v="3"/>
    <n v="2"/>
    <n v="1"/>
    <n v="0"/>
    <n v="0"/>
    <n v="0"/>
  </r>
  <r>
    <n v="8"/>
    <n v="30"/>
    <s v="26-35"/>
    <x v="1"/>
    <s v="Travel_Rarely"/>
    <n v="1358"/>
    <x v="1"/>
    <n v="24"/>
    <s v="Low"/>
    <s v="Life Sciences"/>
    <s v="Excellent"/>
    <s v="Male"/>
    <n v="67"/>
    <s v="High"/>
    <s v="Low"/>
    <s v="Laboratory Technician"/>
    <s v="High"/>
    <s v="Divorced"/>
    <n v="2693"/>
    <n v="13335"/>
    <s v="Low"/>
    <n v="1"/>
    <x v="1"/>
    <n v="22"/>
    <s v="Excellent"/>
    <s v="Medium"/>
    <n v="1"/>
    <n v="1"/>
    <n v="2"/>
    <n v="3"/>
    <n v="1"/>
    <n v="0"/>
    <n v="0"/>
    <n v="0"/>
  </r>
  <r>
    <n v="9"/>
    <n v="38"/>
    <s v="36-45"/>
    <x v="1"/>
    <s v="Travel_Frequently"/>
    <n v="216"/>
    <x v="1"/>
    <n v="23"/>
    <s v="Medium"/>
    <s v="Life Sciences"/>
    <s v="Excellent"/>
    <s v="Male"/>
    <n v="44"/>
    <s v="Medium"/>
    <s v="High"/>
    <s v="Manufacturing Director"/>
    <s v="High"/>
    <s v="Single"/>
    <n v="9526"/>
    <n v="8787"/>
    <s v="Medium"/>
    <n v="0"/>
    <x v="1"/>
    <n v="21"/>
    <s v="Excellent"/>
    <s v="Medium"/>
    <n v="0"/>
    <n v="10"/>
    <n v="2"/>
    <n v="3"/>
    <n v="9"/>
    <n v="7"/>
    <n v="1"/>
    <n v="8"/>
  </r>
  <r>
    <n v="10"/>
    <n v="36"/>
    <s v="36-45"/>
    <x v="1"/>
    <s v="Travel_Rarely"/>
    <n v="1299"/>
    <x v="1"/>
    <n v="27"/>
    <s v="Medium"/>
    <s v="Medical"/>
    <s v="High"/>
    <s v="Male"/>
    <n v="94"/>
    <s v="High"/>
    <s v="Medium"/>
    <s v="Healthcare Representative"/>
    <s v="High"/>
    <s v="Married"/>
    <n v="5237"/>
    <n v="16577"/>
    <s v="Medium"/>
    <n v="6"/>
    <x v="1"/>
    <n v="13"/>
    <s v="High"/>
    <s v="Medium"/>
    <n v="2"/>
    <n v="17"/>
    <n v="3"/>
    <n v="2"/>
    <n v="7"/>
    <n v="7"/>
    <n v="7"/>
    <n v="7"/>
  </r>
  <r>
    <n v="11"/>
    <n v="35"/>
    <s v="26-35"/>
    <x v="1"/>
    <s v="Travel_Rarely"/>
    <n v="809"/>
    <x v="1"/>
    <n v="16"/>
    <s v="Medium"/>
    <s v="Medical"/>
    <s v="Low"/>
    <s v="Male"/>
    <n v="84"/>
    <s v="Excellent"/>
    <s v="Low"/>
    <s v="Laboratory Technician"/>
    <s v="Medium"/>
    <s v="Married"/>
    <n v="2426"/>
    <n v="16479"/>
    <s v="Low"/>
    <n v="0"/>
    <x v="1"/>
    <n v="13"/>
    <s v="High"/>
    <s v="High"/>
    <n v="1"/>
    <n v="6"/>
    <n v="5"/>
    <n v="3"/>
    <n v="5"/>
    <n v="4"/>
    <n v="0"/>
    <n v="3"/>
  </r>
  <r>
    <n v="12"/>
    <n v="29"/>
    <s v="26-35"/>
    <x v="1"/>
    <s v="Travel_Rarely"/>
    <n v="153"/>
    <x v="1"/>
    <n v="15"/>
    <s v="Good"/>
    <s v="Life Sciences"/>
    <s v="Excellent"/>
    <s v="Female"/>
    <n v="49"/>
    <s v="Medium"/>
    <s v="Medium"/>
    <s v="Laboratory Technician"/>
    <s v="High"/>
    <s v="Single"/>
    <n v="4193"/>
    <n v="12682"/>
    <s v="Low"/>
    <n v="0"/>
    <x v="0"/>
    <n v="12"/>
    <s v="High"/>
    <s v="Excellent"/>
    <n v="0"/>
    <n v="10"/>
    <n v="3"/>
    <n v="3"/>
    <n v="9"/>
    <n v="5"/>
    <n v="0"/>
    <n v="8"/>
  </r>
  <r>
    <n v="13"/>
    <n v="31"/>
    <s v="26-35"/>
    <x v="1"/>
    <s v="Travel_Rarely"/>
    <n v="670"/>
    <x v="1"/>
    <n v="26"/>
    <s v="Low"/>
    <s v="Life Sciences"/>
    <s v="Low"/>
    <s v="Male"/>
    <n v="31"/>
    <s v="High"/>
    <s v="Low"/>
    <s v="Research Scientist"/>
    <s v="High"/>
    <s v="Divorced"/>
    <n v="2911"/>
    <n v="15170"/>
    <s v="Low"/>
    <n v="1"/>
    <x v="1"/>
    <n v="17"/>
    <s v="High"/>
    <s v="Excellent"/>
    <n v="1"/>
    <n v="5"/>
    <n v="1"/>
    <n v="2"/>
    <n v="5"/>
    <n v="2"/>
    <n v="4"/>
    <n v="3"/>
  </r>
  <r>
    <n v="14"/>
    <n v="34"/>
    <s v="26-35"/>
    <x v="1"/>
    <s v="Travel_Rarely"/>
    <n v="1346"/>
    <x v="1"/>
    <n v="19"/>
    <s v="Good"/>
    <s v="Medical"/>
    <s v="Medium"/>
    <s v="Male"/>
    <n v="93"/>
    <s v="High"/>
    <s v="Low"/>
    <s v="Laboratory Technician"/>
    <s v="Excellent"/>
    <s v="Divorced"/>
    <n v="2661"/>
    <n v="8758"/>
    <s v="Low"/>
    <n v="0"/>
    <x v="1"/>
    <n v="11"/>
    <s v="High"/>
    <s v="High"/>
    <n v="1"/>
    <n v="3"/>
    <n v="2"/>
    <n v="3"/>
    <n v="2"/>
    <n v="2"/>
    <n v="1"/>
    <n v="2"/>
  </r>
  <r>
    <n v="15"/>
    <n v="28"/>
    <s v="26-35"/>
    <x v="0"/>
    <s v="Travel_Rarely"/>
    <n v="103"/>
    <x v="1"/>
    <n v="24"/>
    <s v="Medium"/>
    <s v="Life Sciences"/>
    <s v="High"/>
    <s v="Male"/>
    <n v="50"/>
    <s v="Medium"/>
    <s v="Low"/>
    <s v="Laboratory Technician"/>
    <s v="High"/>
    <s v="Single"/>
    <n v="2028"/>
    <n v="12947"/>
    <s v="Low"/>
    <n v="5"/>
    <x v="0"/>
    <n v="14"/>
    <s v="High"/>
    <s v="Medium"/>
    <n v="0"/>
    <n v="6"/>
    <n v="4"/>
    <n v="3"/>
    <n v="4"/>
    <n v="2"/>
    <n v="0"/>
    <n v="3"/>
  </r>
  <r>
    <n v="16"/>
    <n v="29"/>
    <s v="26-35"/>
    <x v="1"/>
    <s v="Travel_Rarely"/>
    <n v="1389"/>
    <x v="1"/>
    <n v="21"/>
    <s v="High"/>
    <s v="Life Sciences"/>
    <s v="Medium"/>
    <s v="Female"/>
    <n v="51"/>
    <s v="Excellent"/>
    <s v="High"/>
    <s v="Manufacturing Director"/>
    <s v="Low"/>
    <s v="Divorced"/>
    <n v="9980"/>
    <n v="10195"/>
    <s v="Medium"/>
    <n v="1"/>
    <x v="1"/>
    <n v="11"/>
    <s v="High"/>
    <s v="High"/>
    <n v="1"/>
    <n v="10"/>
    <n v="1"/>
    <n v="3"/>
    <n v="10"/>
    <n v="9"/>
    <n v="8"/>
    <n v="8"/>
  </r>
  <r>
    <n v="17"/>
    <n v="32"/>
    <s v="26-35"/>
    <x v="1"/>
    <s v="Travel_Rarely"/>
    <n v="1389"/>
    <x v="1"/>
    <n v="5"/>
    <s v="Good"/>
    <s v="Life Sciences"/>
    <s v="Low"/>
    <s v="Male"/>
    <n v="80"/>
    <s v="Excellent"/>
    <s v="Low"/>
    <s v="Research Scientist"/>
    <s v="Medium"/>
    <s v="Divorced"/>
    <n v="3298"/>
    <n v="15053"/>
    <s v="Low"/>
    <n v="0"/>
    <x v="0"/>
    <n v="12"/>
    <s v="High"/>
    <s v="Excellent"/>
    <n v="2"/>
    <n v="7"/>
    <n v="5"/>
    <n v="2"/>
    <n v="6"/>
    <n v="2"/>
    <n v="0"/>
    <n v="5"/>
  </r>
  <r>
    <n v="18"/>
    <n v="22"/>
    <s v="18-25"/>
    <x v="1"/>
    <s v="Non-Travel"/>
    <n v="1389"/>
    <x v="1"/>
    <n v="16"/>
    <s v="Good"/>
    <s v="Medical"/>
    <s v="Excellent"/>
    <s v="Male"/>
    <n v="96"/>
    <s v="Excellent"/>
    <s v="Low"/>
    <s v="Laboratory Technician"/>
    <s v="Excellent"/>
    <s v="Divorced"/>
    <n v="2935"/>
    <n v="7324"/>
    <s v="Low"/>
    <n v="1"/>
    <x v="0"/>
    <n v="13"/>
    <s v="High"/>
    <s v="Medium"/>
    <n v="2"/>
    <n v="1"/>
    <n v="2"/>
    <n v="2"/>
    <n v="1"/>
    <n v="0"/>
    <n v="0"/>
    <n v="0"/>
  </r>
  <r>
    <n v="19"/>
    <n v="53"/>
    <s v="46-55"/>
    <x v="1"/>
    <s v="Travel_Rarely"/>
    <n v="1389"/>
    <x v="0"/>
    <n v="2"/>
    <s v="High"/>
    <s v="Life Sciences"/>
    <s v="Low"/>
    <s v="Female"/>
    <n v="78"/>
    <s v="Medium"/>
    <s v="Excellent"/>
    <s v="Manager"/>
    <s v="Excellent"/>
    <s v="Married"/>
    <n v="15427"/>
    <n v="22021"/>
    <s v="High"/>
    <n v="2"/>
    <x v="1"/>
    <n v="16"/>
    <s v="High"/>
    <s v="High"/>
    <n v="0"/>
    <n v="31"/>
    <n v="3"/>
    <n v="3"/>
    <n v="25"/>
    <n v="8"/>
    <n v="3"/>
    <n v="7"/>
  </r>
  <r>
    <n v="20"/>
    <n v="38"/>
    <s v="36-45"/>
    <x v="1"/>
    <s v="Travel_Rarely"/>
    <n v="1389"/>
    <x v="1"/>
    <n v="2"/>
    <s v="Medium"/>
    <s v="Life Sciences"/>
    <s v="Excellent"/>
    <s v="Male"/>
    <n v="45"/>
    <s v="High"/>
    <s v="Low"/>
    <s v="Research Scientist"/>
    <s v="Excellent"/>
    <s v="Single"/>
    <n v="3944"/>
    <n v="4306"/>
    <s v="Low"/>
    <n v="5"/>
    <x v="0"/>
    <n v="11"/>
    <s v="High"/>
    <s v="High"/>
    <n v="0"/>
    <n v="6"/>
    <n v="3"/>
    <n v="3"/>
    <n v="3"/>
    <n v="2"/>
    <n v="1"/>
    <n v="2"/>
  </r>
  <r>
    <n v="21"/>
    <n v="24"/>
    <s v="18-25"/>
    <x v="1"/>
    <s v="Non-Travel"/>
    <n v="1389"/>
    <x v="1"/>
    <n v="11"/>
    <s v="Good"/>
    <s v="Other"/>
    <s v="Low"/>
    <s v="Female"/>
    <n v="96"/>
    <s v="Excellent"/>
    <s v="Medium"/>
    <s v="Manufacturing Director"/>
    <s v="High"/>
    <s v="Divorced"/>
    <n v="4011"/>
    <n v="8232"/>
    <s v="Low"/>
    <n v="0"/>
    <x v="1"/>
    <n v="18"/>
    <s v="High"/>
    <s v="Excellent"/>
    <n v="1"/>
    <n v="5"/>
    <n v="5"/>
    <n v="2"/>
    <n v="4"/>
    <n v="2"/>
    <n v="1"/>
    <n v="3"/>
  </r>
  <r>
    <n v="22"/>
    <n v="36"/>
    <s v="36-45"/>
    <x v="0"/>
    <s v="Travel_Rarely"/>
    <n v="1389"/>
    <x v="0"/>
    <n v="9"/>
    <s v="High"/>
    <s v="Life Sciences"/>
    <s v="High"/>
    <s v="Male"/>
    <n v="82"/>
    <s v="Medium"/>
    <s v="Low"/>
    <s v="Sales Representative"/>
    <s v="Low"/>
    <s v="Single"/>
    <n v="3407"/>
    <n v="6986"/>
    <s v="Low"/>
    <n v="7"/>
    <x v="1"/>
    <n v="23"/>
    <s v="Excellent"/>
    <s v="Medium"/>
    <n v="0"/>
    <n v="10"/>
    <n v="4"/>
    <n v="3"/>
    <n v="5"/>
    <n v="3"/>
    <n v="0"/>
    <n v="3"/>
  </r>
  <r>
    <n v="23"/>
    <n v="34"/>
    <s v="26-35"/>
    <x v="1"/>
    <s v="Travel_Rarely"/>
    <n v="1389"/>
    <x v="1"/>
    <n v="7"/>
    <s v="High"/>
    <s v="Life Sciences"/>
    <s v="Low"/>
    <s v="Female"/>
    <n v="53"/>
    <s v="High"/>
    <s v="High"/>
    <s v="Research Director"/>
    <s v="Medium"/>
    <s v="Single"/>
    <n v="11994"/>
    <n v="21293"/>
    <s v="High"/>
    <n v="0"/>
    <x v="1"/>
    <n v="11"/>
    <s v="High"/>
    <s v="High"/>
    <n v="0"/>
    <n v="13"/>
    <n v="4"/>
    <n v="3"/>
    <n v="12"/>
    <n v="6"/>
    <n v="2"/>
    <n v="11"/>
  </r>
  <r>
    <n v="24"/>
    <n v="21"/>
    <s v="18-25"/>
    <x v="1"/>
    <s v="Travel_Rarely"/>
    <n v="1389"/>
    <x v="1"/>
    <n v="15"/>
    <s v="Good"/>
    <s v="Life Sciences"/>
    <s v="High"/>
    <s v="Male"/>
    <n v="96"/>
    <s v="High"/>
    <s v="Low"/>
    <s v="Research Scientist"/>
    <s v="Excellent"/>
    <s v="Single"/>
    <n v="1232"/>
    <n v="19281"/>
    <s v="Low"/>
    <n v="1"/>
    <x v="1"/>
    <n v="14"/>
    <s v="High"/>
    <s v="Excellent"/>
    <n v="0"/>
    <n v="0"/>
    <n v="6"/>
    <n v="3"/>
    <n v="0"/>
    <n v="0"/>
    <n v="0"/>
    <n v="0"/>
  </r>
  <r>
    <n v="25"/>
    <n v="34"/>
    <s v="26-35"/>
    <x v="0"/>
    <s v="Travel_Rarely"/>
    <n v="1389"/>
    <x v="1"/>
    <n v="6"/>
    <s v="Low"/>
    <s v="Medical"/>
    <s v="Medium"/>
    <s v="Male"/>
    <n v="83"/>
    <s v="High"/>
    <s v="Low"/>
    <s v="Research Scientist"/>
    <s v="Low"/>
    <s v="Single"/>
    <n v="2960"/>
    <n v="17102"/>
    <s v="Low"/>
    <n v="2"/>
    <x v="1"/>
    <n v="11"/>
    <s v="High"/>
    <s v="High"/>
    <n v="0"/>
    <n v="8"/>
    <n v="2"/>
    <n v="3"/>
    <n v="4"/>
    <n v="2"/>
    <n v="1"/>
    <n v="3"/>
  </r>
  <r>
    <n v="26"/>
    <n v="53"/>
    <s v="46-55"/>
    <x v="1"/>
    <s v="Travel_Rarely"/>
    <n v="1389"/>
    <x v="1"/>
    <n v="5"/>
    <s v="Medium"/>
    <s v="Other"/>
    <s v="High"/>
    <s v="Female"/>
    <n v="58"/>
    <s v="High"/>
    <e v="#N/A"/>
    <s v="Manager"/>
    <s v="High"/>
    <s v="Divorced"/>
    <n v="19094"/>
    <n v="10735"/>
    <s v="High"/>
    <n v="4"/>
    <x v="1"/>
    <n v="11"/>
    <s v="High"/>
    <s v="Excellent"/>
    <n v="1"/>
    <n v="26"/>
    <n v="3"/>
    <n v="2"/>
    <n v="14"/>
    <n v="13"/>
    <n v="4"/>
    <n v="8"/>
  </r>
  <r>
    <n v="27"/>
    <n v="32"/>
    <s v="26-35"/>
    <x v="0"/>
    <s v="Travel_Frequently"/>
    <n v="1389"/>
    <x v="1"/>
    <n v="16"/>
    <s v="Low"/>
    <s v="Life Sciences"/>
    <s v="Medium"/>
    <s v="Female"/>
    <n v="72"/>
    <s v="Low"/>
    <s v="Low"/>
    <s v="Research Scientist"/>
    <s v="Low"/>
    <s v="Single"/>
    <n v="3919"/>
    <n v="4681"/>
    <s v="Low"/>
    <n v="1"/>
    <x v="0"/>
    <n v="22"/>
    <s v="Excellent"/>
    <s v="Medium"/>
    <n v="0"/>
    <n v="10"/>
    <n v="5"/>
    <n v="3"/>
    <n v="10"/>
    <n v="2"/>
    <n v="6"/>
    <n v="7"/>
  </r>
  <r>
    <n v="28"/>
    <n v="42"/>
    <s v="36-45"/>
    <x v="1"/>
    <s v="Travel_Rarely"/>
    <n v="1389"/>
    <x v="0"/>
    <n v="8"/>
    <s v="High"/>
    <s v="Marketing"/>
    <s v="High"/>
    <s v="Male"/>
    <n v="48"/>
    <s v="High"/>
    <s v="Medium"/>
    <s v="Sales Executive"/>
    <s v="Medium"/>
    <s v="Married"/>
    <n v="6825"/>
    <n v="21173"/>
    <s v="Medium"/>
    <n v="0"/>
    <x v="1"/>
    <n v="11"/>
    <s v="High"/>
    <s v="Excellent"/>
    <n v="1"/>
    <n v="10"/>
    <n v="2"/>
    <n v="3"/>
    <n v="9"/>
    <n v="7"/>
    <n v="4"/>
    <n v="2"/>
  </r>
  <r>
    <n v="29"/>
    <n v="44"/>
    <s v="36-45"/>
    <x v="1"/>
    <s v="Travel_Rarely"/>
    <n v="1389"/>
    <x v="1"/>
    <n v="7"/>
    <s v="High"/>
    <s v="Medical"/>
    <s v="Low"/>
    <s v="Female"/>
    <n v="42"/>
    <s v="Medium"/>
    <s v="High"/>
    <s v="Healthcare Representative"/>
    <s v="Excellent"/>
    <s v="Married"/>
    <n v="10248"/>
    <n v="2094"/>
    <s v="High"/>
    <n v="3"/>
    <x v="1"/>
    <n v="14"/>
    <s v="High"/>
    <s v="Excellent"/>
    <n v="1"/>
    <n v="24"/>
    <n v="4"/>
    <n v="3"/>
    <n v="22"/>
    <n v="6"/>
    <n v="5"/>
    <n v="17"/>
  </r>
  <r>
    <n v="30"/>
    <n v="46"/>
    <s v="46-55"/>
    <x v="1"/>
    <s v="Travel_Rarely"/>
    <n v="1389"/>
    <x v="0"/>
    <n v="2"/>
    <s v="High"/>
    <s v="Marketing"/>
    <s v="Medium"/>
    <s v="Female"/>
    <n v="83"/>
    <s v="High"/>
    <e v="#N/A"/>
    <s v="Manager"/>
    <s v="Low"/>
    <s v="Single"/>
    <n v="18947"/>
    <n v="22822"/>
    <s v="High"/>
    <n v="3"/>
    <x v="1"/>
    <n v="12"/>
    <s v="High"/>
    <s v="Excellent"/>
    <n v="0"/>
    <n v="22"/>
    <n v="2"/>
    <n v="2"/>
    <n v="2"/>
    <n v="2"/>
    <n v="2"/>
    <n v="1"/>
  </r>
  <r>
    <n v="31"/>
    <n v="33"/>
    <s v="26-35"/>
    <x v="1"/>
    <s v="Travel_Rarely"/>
    <n v="1389"/>
    <x v="1"/>
    <n v="2"/>
    <s v="Medium"/>
    <s v="Medical"/>
    <s v="High"/>
    <s v="Male"/>
    <n v="78"/>
    <s v="High"/>
    <s v="Low"/>
    <s v="Laboratory Technician"/>
    <s v="Excellent"/>
    <s v="Single"/>
    <n v="2496"/>
    <n v="6670"/>
    <s v="Low"/>
    <n v="4"/>
    <x v="1"/>
    <n v="11"/>
    <s v="High"/>
    <s v="Excellent"/>
    <n v="0"/>
    <n v="7"/>
    <n v="3"/>
    <n v="3"/>
    <n v="1"/>
    <n v="1"/>
    <n v="0"/>
    <n v="0"/>
  </r>
  <r>
    <n v="32"/>
    <n v="44"/>
    <s v="36-45"/>
    <x v="1"/>
    <s v="Travel_Rarely"/>
    <n v="1389"/>
    <x v="1"/>
    <n v="10"/>
    <s v="High"/>
    <s v="Other"/>
    <s v="Excellent"/>
    <s v="Male"/>
    <n v="41"/>
    <s v="High"/>
    <s v="Medium"/>
    <s v="Healthcare Representative"/>
    <s v="Excellent"/>
    <s v="Married"/>
    <n v="6465"/>
    <n v="19121"/>
    <s v="Medium"/>
    <n v="2"/>
    <x v="0"/>
    <n v="13"/>
    <s v="High"/>
    <s v="Excellent"/>
    <n v="0"/>
    <n v="9"/>
    <n v="5"/>
    <n v="4"/>
    <n v="4"/>
    <n v="2"/>
    <n v="1"/>
    <n v="3"/>
  </r>
  <r>
    <n v="33"/>
    <n v="30"/>
    <s v="26-35"/>
    <x v="1"/>
    <s v="Travel_Rarely"/>
    <n v="1389"/>
    <x v="1"/>
    <n v="9"/>
    <s v="Good"/>
    <s v="Medical"/>
    <s v="Excellent"/>
    <s v="Male"/>
    <n v="83"/>
    <s v="Medium"/>
    <s v="Low"/>
    <s v="Laboratory Technician"/>
    <s v="High"/>
    <s v="Single"/>
    <n v="2206"/>
    <n v="16117"/>
    <s v="Low"/>
    <n v="1"/>
    <x v="1"/>
    <n v="13"/>
    <s v="High"/>
    <s v="Low"/>
    <n v="0"/>
    <n v="10"/>
    <n v="5"/>
    <n v="3"/>
    <n v="10"/>
    <n v="0"/>
    <n v="1"/>
    <n v="8"/>
  </r>
  <r>
    <n v="34"/>
    <n v="39"/>
    <s v="36-45"/>
    <x v="0"/>
    <s v="Travel_Rarely"/>
    <n v="1389"/>
    <x v="0"/>
    <n v="5"/>
    <s v="Medium"/>
    <s v="Technical Degree"/>
    <s v="Excellent"/>
    <s v="Male"/>
    <n v="56"/>
    <s v="High"/>
    <s v="Medium"/>
    <s v="Sales Representative"/>
    <s v="Excellent"/>
    <s v="Married"/>
    <n v="2086"/>
    <n v="3335"/>
    <s v="Low"/>
    <n v="3"/>
    <x v="1"/>
    <n v="14"/>
    <s v="High"/>
    <s v="High"/>
    <n v="1"/>
    <n v="19"/>
    <n v="6"/>
    <n v="4"/>
    <n v="1"/>
    <n v="0"/>
    <n v="0"/>
    <n v="0"/>
  </r>
  <r>
    <n v="35"/>
    <n v="24"/>
    <s v="18-25"/>
    <x v="0"/>
    <s v="Travel_Rarely"/>
    <n v="1389"/>
    <x v="1"/>
    <n v="1"/>
    <s v="Medium"/>
    <s v="Medical"/>
    <s v="Medium"/>
    <s v="Male"/>
    <n v="61"/>
    <s v="High"/>
    <s v="Low"/>
    <s v="Research Scientist"/>
    <s v="Excellent"/>
    <s v="Married"/>
    <n v="2293"/>
    <n v="3020"/>
    <s v="Low"/>
    <n v="2"/>
    <x v="0"/>
    <n v="16"/>
    <s v="High"/>
    <s v="Low"/>
    <n v="1"/>
    <n v="6"/>
    <n v="2"/>
    <n v="2"/>
    <n v="2"/>
    <n v="0"/>
    <n v="2"/>
    <n v="0"/>
  </r>
  <r>
    <n v="36"/>
    <n v="43"/>
    <s v="36-45"/>
    <x v="1"/>
    <s v="Travel_Rarely"/>
    <n v="1389"/>
    <x v="1"/>
    <n v="2"/>
    <s v="Good"/>
    <s v="Medical"/>
    <s v="Excellent"/>
    <s v="Female"/>
    <n v="72"/>
    <s v="Excellent"/>
    <s v="Low"/>
    <s v="Research Scientist"/>
    <s v="High"/>
    <s v="Divorced"/>
    <n v="2645"/>
    <n v="21923"/>
    <s v="Low"/>
    <n v="1"/>
    <x v="1"/>
    <n v="12"/>
    <s v="High"/>
    <s v="Excellent"/>
    <n v="2"/>
    <n v="6"/>
    <n v="3"/>
    <n v="2"/>
    <n v="5"/>
    <n v="3"/>
    <n v="1"/>
    <n v="4"/>
  </r>
  <r>
    <n v="37"/>
    <n v="50"/>
    <s v="46-55"/>
    <x v="0"/>
    <s v="Travel_Rarely"/>
    <n v="1389"/>
    <x v="0"/>
    <n v="3"/>
    <s v="Good"/>
    <s v="Marketing"/>
    <s v="Low"/>
    <s v="Male"/>
    <n v="86"/>
    <s v="Medium"/>
    <s v="Low"/>
    <s v="Sales Representative"/>
    <s v="High"/>
    <s v="Married"/>
    <n v="2683"/>
    <n v="3810"/>
    <s v="Low"/>
    <n v="1"/>
    <x v="0"/>
    <n v="14"/>
    <s v="High"/>
    <s v="High"/>
    <n v="0"/>
    <n v="3"/>
    <n v="2"/>
    <n v="3"/>
    <n v="3"/>
    <n v="2"/>
    <n v="0"/>
    <n v="2"/>
  </r>
  <r>
    <n v="38"/>
    <n v="35"/>
    <s v="26-35"/>
    <x v="1"/>
    <s v="Travel_Rarely"/>
    <n v="1389"/>
    <x v="0"/>
    <n v="2"/>
    <s v="Medium"/>
    <s v="Marketing"/>
    <s v="Excellent"/>
    <s v="Female"/>
    <n v="97"/>
    <s v="High"/>
    <s v="Low"/>
    <s v="Sales Representative"/>
    <s v="Excellent"/>
    <s v="Married"/>
    <n v="2014"/>
    <n v="9687"/>
    <s v="Low"/>
    <n v="1"/>
    <x v="1"/>
    <n v="13"/>
    <s v="High"/>
    <s v="Low"/>
    <n v="0"/>
    <n v="2"/>
    <n v="3"/>
    <n v="3"/>
    <n v="2"/>
    <n v="2"/>
    <n v="2"/>
    <n v="2"/>
  </r>
  <r>
    <n v="39"/>
    <n v="36"/>
    <s v="36-45"/>
    <x v="1"/>
    <s v="Travel_Rarely"/>
    <n v="1389"/>
    <x v="1"/>
    <n v="5"/>
    <s v="High"/>
    <s v="Life Sciences"/>
    <s v="Medium"/>
    <s v="Female"/>
    <n v="82"/>
    <s v="Medium"/>
    <s v="Low"/>
    <s v="Research Scientist"/>
    <s v="Low"/>
    <s v="Married"/>
    <n v="3419"/>
    <n v="13072"/>
    <s v="Low"/>
    <n v="9"/>
    <x v="0"/>
    <n v="14"/>
    <s v="High"/>
    <s v="Excellent"/>
    <n v="1"/>
    <n v="6"/>
    <n v="3"/>
    <n v="4"/>
    <n v="1"/>
    <n v="1"/>
    <n v="0"/>
    <n v="0"/>
  </r>
  <r>
    <n v="40"/>
    <n v="33"/>
    <s v="26-35"/>
    <x v="1"/>
    <s v="Travel_Frequently"/>
    <n v="1389"/>
    <x v="0"/>
    <n v="1"/>
    <s v="Medium"/>
    <s v="Life Sciences"/>
    <s v="High"/>
    <s v="Female"/>
    <n v="42"/>
    <s v="Excellent"/>
    <s v="Medium"/>
    <s v="Sales Executive"/>
    <s v="Low"/>
    <s v="Married"/>
    <n v="5376"/>
    <n v="3193"/>
    <s v="Medium"/>
    <n v="2"/>
    <x v="1"/>
    <n v="19"/>
    <s v="High"/>
    <s v="Low"/>
    <n v="2"/>
    <n v="10"/>
    <n v="3"/>
    <n v="3"/>
    <n v="5"/>
    <n v="3"/>
    <n v="1"/>
    <n v="3"/>
  </r>
  <r>
    <n v="41"/>
    <n v="35"/>
    <s v="26-35"/>
    <x v="1"/>
    <s v="Travel_Rarely"/>
    <n v="1389"/>
    <x v="1"/>
    <n v="4"/>
    <s v="Good"/>
    <s v="Other"/>
    <s v="High"/>
    <s v="Male"/>
    <n v="75"/>
    <s v="High"/>
    <s v="Low"/>
    <s v="Laboratory Technician"/>
    <s v="Excellent"/>
    <s v="Divorced"/>
    <n v="1951"/>
    <n v="10910"/>
    <s v="Low"/>
    <n v="1"/>
    <x v="1"/>
    <n v="12"/>
    <s v="High"/>
    <s v="High"/>
    <n v="1"/>
    <n v="1"/>
    <n v="3"/>
    <n v="3"/>
    <n v="1"/>
    <n v="0"/>
    <n v="0"/>
    <n v="0"/>
  </r>
  <r>
    <n v="42"/>
    <n v="27"/>
    <s v="26-35"/>
    <x v="1"/>
    <s v="Travel_Rarely"/>
    <n v="1389"/>
    <x v="1"/>
    <n v="2"/>
    <s v="High"/>
    <s v="Life Sciences"/>
    <s v="Excellent"/>
    <s v="Female"/>
    <n v="33"/>
    <s v="High"/>
    <s v="Low"/>
    <s v="Laboratory Technician"/>
    <s v="Low"/>
    <s v="Divorced"/>
    <n v="2341"/>
    <n v="19715"/>
    <s v="Low"/>
    <n v="1"/>
    <x v="1"/>
    <n v="13"/>
    <s v="High"/>
    <s v="Excellent"/>
    <n v="1"/>
    <n v="1"/>
    <n v="6"/>
    <n v="3"/>
    <n v="1"/>
    <n v="0"/>
    <n v="0"/>
    <n v="0"/>
  </r>
  <r>
    <n v="43"/>
    <n v="26"/>
    <s v="26-35"/>
    <x v="0"/>
    <s v="Travel_Rarely"/>
    <n v="1389"/>
    <x v="1"/>
    <n v="25"/>
    <s v="Medium"/>
    <s v="Life Sciences"/>
    <s v="Low"/>
    <s v="Male"/>
    <n v="48"/>
    <s v="Low"/>
    <s v="Low"/>
    <s v="Laboratory Technician"/>
    <s v="High"/>
    <s v="Single"/>
    <n v="2293"/>
    <n v="10558"/>
    <s v="Low"/>
    <n v="1"/>
    <x v="1"/>
    <n v="12"/>
    <s v="High"/>
    <s v="High"/>
    <n v="0"/>
    <n v="1"/>
    <n v="2"/>
    <n v="2"/>
    <n v="1"/>
    <n v="0"/>
    <n v="0"/>
    <n v="1"/>
  </r>
  <r>
    <n v="44"/>
    <n v="27"/>
    <s v="26-35"/>
    <x v="1"/>
    <s v="Travel_Frequently"/>
    <n v="1389"/>
    <x v="0"/>
    <n v="8"/>
    <s v="Medium"/>
    <s v="Life Sciences"/>
    <s v="Excellent"/>
    <s v="Male"/>
    <n v="37"/>
    <s v="High"/>
    <s v="High"/>
    <s v="Sales Executive"/>
    <s v="High"/>
    <s v="Single"/>
    <n v="8726"/>
    <n v="2975"/>
    <s v="Medium"/>
    <n v="1"/>
    <x v="1"/>
    <n v="15"/>
    <s v="High"/>
    <s v="Excellent"/>
    <n v="0"/>
    <n v="9"/>
    <n v="0"/>
    <n v="3"/>
    <n v="9"/>
    <n v="8"/>
    <n v="1"/>
    <n v="7"/>
  </r>
  <r>
    <n v="45"/>
    <n v="30"/>
    <s v="26-35"/>
    <x v="1"/>
    <s v="Travel_Frequently"/>
    <n v="1389"/>
    <x v="1"/>
    <n v="1"/>
    <s v="Good"/>
    <s v="Medical"/>
    <s v="High"/>
    <s v="Female"/>
    <n v="58"/>
    <s v="High"/>
    <s v="Medium"/>
    <s v="Laboratory Technician"/>
    <s v="Excellent"/>
    <s v="Single"/>
    <n v="4011"/>
    <n v="10781"/>
    <s v="Low"/>
    <n v="1"/>
    <x v="1"/>
    <n v="23"/>
    <s v="Excellent"/>
    <s v="Excellent"/>
    <n v="0"/>
    <n v="12"/>
    <n v="2"/>
    <n v="3"/>
    <n v="12"/>
    <n v="8"/>
    <n v="3"/>
    <n v="7"/>
  </r>
  <r>
    <n v="46"/>
    <n v="41"/>
    <s v="36-45"/>
    <x v="0"/>
    <s v="Travel_Rarely"/>
    <n v="1389"/>
    <x v="1"/>
    <n v="12"/>
    <s v="Medium"/>
    <s v="Technical Degree"/>
    <s v="Medium"/>
    <s v="Female"/>
    <n v="49"/>
    <s v="High"/>
    <e v="#N/A"/>
    <s v="Research Director"/>
    <s v="High"/>
    <s v="Married"/>
    <n v="19545"/>
    <n v="16280"/>
    <s v="High"/>
    <n v="1"/>
    <x v="1"/>
    <n v="12"/>
    <s v="High"/>
    <s v="Excellent"/>
    <n v="0"/>
    <n v="23"/>
    <n v="0"/>
    <n v="3"/>
    <n v="22"/>
    <n v="15"/>
    <n v="15"/>
    <n v="8"/>
  </r>
  <r>
    <n v="47"/>
    <n v="34"/>
    <s v="26-35"/>
    <x v="1"/>
    <s v="Non-Travel"/>
    <n v="1389"/>
    <x v="0"/>
    <n v="23"/>
    <s v="High"/>
    <s v="Marketing"/>
    <s v="Medium"/>
    <s v="Male"/>
    <n v="72"/>
    <s v="High"/>
    <s v="Medium"/>
    <s v="Sales Executive"/>
    <s v="High"/>
    <s v="Single"/>
    <n v="4568"/>
    <n v="10034"/>
    <s v="Low"/>
    <n v="0"/>
    <x v="1"/>
    <n v="20"/>
    <s v="Excellent"/>
    <s v="High"/>
    <n v="0"/>
    <n v="10"/>
    <n v="2"/>
    <n v="3"/>
    <n v="9"/>
    <n v="5"/>
    <n v="8"/>
    <n v="7"/>
  </r>
  <r>
    <n v="48"/>
    <n v="37"/>
    <s v="36-45"/>
    <x v="1"/>
    <s v="Travel_Rarely"/>
    <n v="1389"/>
    <x v="1"/>
    <n v="19"/>
    <s v="Good"/>
    <s v="Life Sciences"/>
    <s v="Medium"/>
    <s v="Male"/>
    <n v="73"/>
    <s v="High"/>
    <s v="Low"/>
    <s v="Research Scientist"/>
    <s v="Medium"/>
    <s v="Married"/>
    <n v="3022"/>
    <n v="10227"/>
    <s v="Low"/>
    <n v="4"/>
    <x v="1"/>
    <n v="21"/>
    <s v="Excellent"/>
    <s v="Low"/>
    <n v="0"/>
    <n v="8"/>
    <n v="1"/>
    <n v="3"/>
    <n v="1"/>
    <n v="0"/>
    <n v="0"/>
    <n v="0"/>
  </r>
  <r>
    <n v="49"/>
    <n v="46"/>
    <s v="46-55"/>
    <x v="1"/>
    <s v="Travel_Frequently"/>
    <n v="1389"/>
    <x v="0"/>
    <n v="5"/>
    <s v="High"/>
    <s v="Marketing"/>
    <s v="Low"/>
    <s v="Male"/>
    <n v="98"/>
    <s v="High"/>
    <s v="Medium"/>
    <s v="Sales Executive"/>
    <s v="Excellent"/>
    <s v="Single"/>
    <n v="5772"/>
    <n v="20445"/>
    <s v="Medium"/>
    <n v="4"/>
    <x v="0"/>
    <n v="21"/>
    <s v="Excellent"/>
    <s v="High"/>
    <n v="0"/>
    <n v="14"/>
    <n v="4"/>
    <n v="3"/>
    <n v="9"/>
    <n v="6"/>
    <n v="0"/>
    <n v="8"/>
  </r>
  <r>
    <n v="50"/>
    <n v="35"/>
    <s v="26-35"/>
    <x v="1"/>
    <s v="Travel_Rarely"/>
    <n v="1389"/>
    <x v="1"/>
    <n v="8"/>
    <s v="Low"/>
    <s v="Life Sciences"/>
    <s v="Excellent"/>
    <s v="Male"/>
    <n v="36"/>
    <s v="Excellent"/>
    <s v="Low"/>
    <s v="Laboratory Technician"/>
    <s v="Excellent"/>
    <s v="Married"/>
    <n v="2269"/>
    <n v="4892"/>
    <s v="Low"/>
    <n v="1"/>
    <x v="1"/>
    <n v="19"/>
    <s v="High"/>
    <s v="Excellent"/>
    <n v="0"/>
    <n v="1"/>
    <n v="2"/>
    <n v="3"/>
    <n v="1"/>
    <n v="0"/>
    <n v="0"/>
    <n v="1"/>
  </r>
  <r>
    <n v="51"/>
    <n v="48"/>
    <s v="46-55"/>
    <x v="0"/>
    <s v="Travel_Rarely"/>
    <n v="1389"/>
    <x v="1"/>
    <n v="1"/>
    <s v="Good"/>
    <s v="Life Sciences"/>
    <s v="Low"/>
    <s v="Male"/>
    <n v="98"/>
    <s v="Medium"/>
    <s v="High"/>
    <s v="Laboratory Technician"/>
    <s v="High"/>
    <s v="Single"/>
    <n v="5381"/>
    <n v="19294"/>
    <s v="Medium"/>
    <n v="9"/>
    <x v="0"/>
    <n v="13"/>
    <s v="High"/>
    <s v="Excellent"/>
    <n v="0"/>
    <n v="23"/>
    <n v="2"/>
    <n v="3"/>
    <n v="1"/>
    <n v="0"/>
    <n v="0"/>
    <n v="0"/>
  </r>
  <r>
    <n v="52"/>
    <n v="28"/>
    <s v="26-35"/>
    <x v="0"/>
    <s v="Travel_Rarely"/>
    <n v="1389"/>
    <x v="1"/>
    <n v="5"/>
    <s v="High"/>
    <s v="Technical Degree"/>
    <s v="High"/>
    <s v="Male"/>
    <n v="50"/>
    <s v="High"/>
    <s v="Low"/>
    <s v="Laboratory Technician"/>
    <s v="High"/>
    <s v="Single"/>
    <n v="3441"/>
    <n v="11179"/>
    <s v="Low"/>
    <n v="1"/>
    <x v="0"/>
    <n v="13"/>
    <s v="High"/>
    <s v="High"/>
    <n v="0"/>
    <n v="2"/>
    <n v="3"/>
    <n v="2"/>
    <n v="2"/>
    <n v="2"/>
    <n v="2"/>
    <n v="2"/>
  </r>
  <r>
    <n v="53"/>
    <n v="44"/>
    <s v="36-45"/>
    <x v="1"/>
    <s v="Travel_Rarely"/>
    <n v="1389"/>
    <x v="0"/>
    <n v="1"/>
    <s v="Excellent"/>
    <s v="Marketing"/>
    <s v="Medium"/>
    <s v="Female"/>
    <n v="75"/>
    <s v="High"/>
    <s v="Medium"/>
    <s v="Sales Executive"/>
    <s v="Low"/>
    <s v="Divorced"/>
    <n v="5454"/>
    <n v="4009"/>
    <s v="Medium"/>
    <n v="5"/>
    <x v="0"/>
    <n v="21"/>
    <s v="Excellent"/>
    <s v="High"/>
    <n v="1"/>
    <n v="9"/>
    <n v="2"/>
    <n v="2"/>
    <n v="4"/>
    <n v="3"/>
    <n v="1"/>
    <n v="3"/>
  </r>
  <r>
    <n v="54"/>
    <n v="35"/>
    <s v="26-35"/>
    <x v="1"/>
    <s v="Non-Travel"/>
    <n v="1389"/>
    <x v="1"/>
    <n v="11"/>
    <s v="Good"/>
    <s v="Medical"/>
    <s v="High"/>
    <s v="Male"/>
    <n v="79"/>
    <s v="Medium"/>
    <s v="High"/>
    <s v="Healthcare Representative"/>
    <s v="Low"/>
    <s v="Married"/>
    <n v="9884"/>
    <n v="8302"/>
    <s v="Medium"/>
    <n v="2"/>
    <x v="0"/>
    <n v="13"/>
    <s v="High"/>
    <s v="High"/>
    <n v="1"/>
    <n v="10"/>
    <n v="3"/>
    <n v="3"/>
    <n v="4"/>
    <n v="0"/>
    <n v="2"/>
    <n v="3"/>
  </r>
  <r>
    <n v="55"/>
    <n v="26"/>
    <s v="26-35"/>
    <x v="1"/>
    <s v="Travel_Rarely"/>
    <n v="1389"/>
    <x v="0"/>
    <n v="23"/>
    <s v="Medium"/>
    <s v="Marketing"/>
    <s v="High"/>
    <s v="Female"/>
    <n v="47"/>
    <s v="Medium"/>
    <s v="Medium"/>
    <s v="Sales Executive"/>
    <s v="Excellent"/>
    <s v="Married"/>
    <n v="4157"/>
    <n v="21436"/>
    <s v="Low"/>
    <n v="7"/>
    <x v="0"/>
    <n v="19"/>
    <s v="High"/>
    <s v="High"/>
    <n v="1"/>
    <n v="5"/>
    <n v="2"/>
    <n v="2"/>
    <n v="2"/>
    <n v="2"/>
    <n v="0"/>
    <n v="0"/>
  </r>
  <r>
    <n v="56"/>
    <n v="33"/>
    <s v="26-35"/>
    <x v="1"/>
    <s v="Travel_Frequently"/>
    <n v="1389"/>
    <x v="1"/>
    <n v="1"/>
    <s v="Good"/>
    <s v="Life Sciences"/>
    <s v="Low"/>
    <s v="Female"/>
    <n v="98"/>
    <s v="High"/>
    <s v="High"/>
    <s v="Research Director"/>
    <s v="Excellent"/>
    <s v="Single"/>
    <n v="13458"/>
    <n v="15146"/>
    <s v="High"/>
    <n v="1"/>
    <x v="0"/>
    <n v="12"/>
    <s v="High"/>
    <s v="High"/>
    <n v="0"/>
    <n v="15"/>
    <n v="1"/>
    <n v="3"/>
    <n v="15"/>
    <n v="14"/>
    <n v="8"/>
    <n v="12"/>
  </r>
  <r>
    <n v="57"/>
    <n v="35"/>
    <s v="26-35"/>
    <x v="1"/>
    <s v="Travel_Frequently"/>
    <n v="1389"/>
    <x v="0"/>
    <n v="18"/>
    <s v="Excellent"/>
    <s v="Life Sciences"/>
    <s v="Medium"/>
    <s v="Male"/>
    <n v="71"/>
    <s v="High"/>
    <s v="High"/>
    <s v="Sales Executive"/>
    <s v="Low"/>
    <s v="Married"/>
    <n v="9069"/>
    <n v="11031"/>
    <s v="Medium"/>
    <n v="1"/>
    <x v="1"/>
    <n v="22"/>
    <s v="Excellent"/>
    <s v="Excellent"/>
    <n v="1"/>
    <n v="9"/>
    <n v="3"/>
    <n v="2"/>
    <n v="9"/>
    <n v="8"/>
    <n v="1"/>
    <n v="8"/>
  </r>
  <r>
    <n v="58"/>
    <n v="35"/>
    <s v="26-35"/>
    <x v="1"/>
    <s v="Travel_Rarely"/>
    <n v="1389"/>
    <x v="1"/>
    <n v="23"/>
    <s v="High"/>
    <s v="Medical"/>
    <s v="High"/>
    <s v="Female"/>
    <n v="30"/>
    <s v="High"/>
    <s v="Low"/>
    <s v="Laboratory Technician"/>
    <s v="Low"/>
    <s v="Married"/>
    <n v="4014"/>
    <n v="16002"/>
    <s v="Low"/>
    <n v="3"/>
    <x v="0"/>
    <n v="15"/>
    <s v="High"/>
    <s v="High"/>
    <n v="1"/>
    <n v="4"/>
    <n v="3"/>
    <n v="3"/>
    <n v="2"/>
    <n v="2"/>
    <n v="2"/>
    <n v="2"/>
  </r>
  <r>
    <n v="59"/>
    <n v="31"/>
    <s v="26-35"/>
    <x v="1"/>
    <s v="Travel_Rarely"/>
    <n v="1389"/>
    <x v="1"/>
    <n v="7"/>
    <s v="High"/>
    <s v="Life Sciences"/>
    <s v="Excellent"/>
    <s v="Male"/>
    <n v="48"/>
    <s v="High"/>
    <s v="Medium"/>
    <s v="Laboratory Technician"/>
    <s v="Excellent"/>
    <s v="Divorced"/>
    <n v="5915"/>
    <n v="9528"/>
    <s v="Medium"/>
    <n v="3"/>
    <x v="1"/>
    <n v="22"/>
    <s v="Excellent"/>
    <s v="Excellent"/>
    <n v="1"/>
    <n v="10"/>
    <n v="3"/>
    <n v="2"/>
    <n v="7"/>
    <n v="7"/>
    <n v="1"/>
    <n v="7"/>
  </r>
  <r>
    <n v="60"/>
    <n v="37"/>
    <s v="36-45"/>
    <x v="1"/>
    <s v="Travel_Rarely"/>
    <n v="1389"/>
    <x v="1"/>
    <n v="1"/>
    <s v="High"/>
    <s v="Life Sciences"/>
    <s v="Low"/>
    <s v="Male"/>
    <n v="51"/>
    <s v="Medium"/>
    <s v="Medium"/>
    <s v="Manufacturing Director"/>
    <s v="High"/>
    <s v="Divorced"/>
    <n v="5993"/>
    <n v="2689"/>
    <s v="Medium"/>
    <n v="1"/>
    <x v="1"/>
    <n v="18"/>
    <s v="High"/>
    <s v="High"/>
    <n v="1"/>
    <n v="7"/>
    <n v="2"/>
    <n v="4"/>
    <n v="7"/>
    <n v="5"/>
    <n v="0"/>
    <n v="7"/>
  </r>
  <r>
    <n v="61"/>
    <n v="32"/>
    <s v="26-35"/>
    <x v="1"/>
    <s v="Travel_Rarely"/>
    <n v="1389"/>
    <x v="1"/>
    <n v="1"/>
    <s v="Medium"/>
    <s v="Medical"/>
    <s v="Low"/>
    <s v="Male"/>
    <n v="33"/>
    <s v="High"/>
    <s v="Medium"/>
    <s v="Manufacturing Director"/>
    <s v="Excellent"/>
    <s v="Married"/>
    <n v="6162"/>
    <n v="10877"/>
    <s v="Medium"/>
    <n v="1"/>
    <x v="0"/>
    <n v="22"/>
    <s v="Excellent"/>
    <s v="Medium"/>
    <n v="1"/>
    <n v="9"/>
    <n v="3"/>
    <n v="3"/>
    <n v="9"/>
    <n v="8"/>
    <n v="7"/>
    <n v="8"/>
  </r>
  <r>
    <n v="62"/>
    <n v="38"/>
    <s v="36-45"/>
    <x v="1"/>
    <s v="Travel_Frequently"/>
    <n v="1389"/>
    <x v="1"/>
    <n v="29"/>
    <s v="Excellent"/>
    <s v="Life Sciences"/>
    <s v="Excellent"/>
    <s v="Female"/>
    <n v="50"/>
    <s v="High"/>
    <s v="Medium"/>
    <s v="Laboratory Technician"/>
    <s v="Excellent"/>
    <s v="Single"/>
    <n v="2406"/>
    <n v="5456"/>
    <s v="Low"/>
    <n v="1"/>
    <x v="1"/>
    <n v="11"/>
    <s v="High"/>
    <s v="Excellent"/>
    <n v="0"/>
    <n v="10"/>
    <n v="2"/>
    <n v="3"/>
    <n v="10"/>
    <n v="3"/>
    <n v="9"/>
    <n v="9"/>
  </r>
  <r>
    <n v="63"/>
    <n v="50"/>
    <s v="46-55"/>
    <x v="1"/>
    <s v="Travel_Rarely"/>
    <n v="1389"/>
    <x v="1"/>
    <n v="7"/>
    <s v="Good"/>
    <s v="Medical"/>
    <s v="Medium"/>
    <s v="Female"/>
    <n v="43"/>
    <s v="Medium"/>
    <e v="#N/A"/>
    <s v="Research Director"/>
    <s v="High"/>
    <s v="Divorced"/>
    <n v="18740"/>
    <n v="16701"/>
    <s v="High"/>
    <n v="5"/>
    <x v="0"/>
    <n v="12"/>
    <s v="High"/>
    <s v="Excellent"/>
    <n v="1"/>
    <n v="29"/>
    <n v="2"/>
    <n v="2"/>
    <n v="27"/>
    <n v="3"/>
    <n v="13"/>
    <n v="8"/>
  </r>
  <r>
    <n v="64"/>
    <n v="59"/>
    <s v="55+"/>
    <x v="1"/>
    <s v="Travel_Rarely"/>
    <n v="1389"/>
    <x v="0"/>
    <n v="25"/>
    <s v="Medium"/>
    <s v="Life Sciences"/>
    <s v="Low"/>
    <s v="Female"/>
    <n v="99"/>
    <s v="High"/>
    <s v="High"/>
    <s v="Sales Executive"/>
    <s v="Low"/>
    <s v="Single"/>
    <n v="7637"/>
    <n v="2354"/>
    <s v="Medium"/>
    <n v="7"/>
    <x v="1"/>
    <n v="11"/>
    <s v="High"/>
    <s v="Excellent"/>
    <n v="0"/>
    <n v="28"/>
    <n v="3"/>
    <n v="2"/>
    <n v="21"/>
    <n v="16"/>
    <n v="7"/>
    <n v="9"/>
  </r>
  <r>
    <n v="65"/>
    <n v="36"/>
    <s v="36-45"/>
    <x v="1"/>
    <s v="Travel_Rarely"/>
    <n v="1389"/>
    <x v="1"/>
    <n v="8"/>
    <s v="Medium"/>
    <s v="Technical Degree"/>
    <s v="High"/>
    <s v="Female"/>
    <n v="59"/>
    <s v="High"/>
    <s v="High"/>
    <s v="Healthcare Representative"/>
    <s v="High"/>
    <s v="Divorced"/>
    <n v="10096"/>
    <n v="8202"/>
    <s v="High"/>
    <n v="1"/>
    <x v="1"/>
    <n v="13"/>
    <s v="High"/>
    <s v="Medium"/>
    <n v="3"/>
    <n v="17"/>
    <n v="2"/>
    <n v="3"/>
    <n v="17"/>
    <n v="14"/>
    <n v="12"/>
    <n v="8"/>
  </r>
  <r>
    <n v="66"/>
    <n v="55"/>
    <s v="46-55"/>
    <x v="1"/>
    <s v="Travel_Rarely"/>
    <n v="1389"/>
    <x v="1"/>
    <n v="8"/>
    <s v="Medium"/>
    <s v="Medical"/>
    <s v="Excellent"/>
    <s v="Female"/>
    <n v="33"/>
    <s v="High"/>
    <s v="Excellent"/>
    <s v="Manager"/>
    <s v="High"/>
    <s v="Divorced"/>
    <n v="14756"/>
    <n v="19730"/>
    <s v="High"/>
    <n v="2"/>
    <x v="0"/>
    <n v="14"/>
    <s v="High"/>
    <s v="High"/>
    <n v="3"/>
    <n v="21"/>
    <n v="2"/>
    <n v="3"/>
    <n v="5"/>
    <n v="0"/>
    <n v="0"/>
    <n v="2"/>
  </r>
  <r>
    <n v="67"/>
    <n v="36"/>
    <s v="36-45"/>
    <x v="1"/>
    <s v="Travel_Frequently"/>
    <n v="1389"/>
    <x v="1"/>
    <n v="11"/>
    <s v="Medium"/>
    <s v="Life Sciences"/>
    <s v="Medium"/>
    <s v="Male"/>
    <n v="95"/>
    <s v="Medium"/>
    <s v="Medium"/>
    <s v="Manufacturing Director"/>
    <s v="Medium"/>
    <s v="Single"/>
    <n v="6499"/>
    <n v="22656"/>
    <s v="Medium"/>
    <n v="1"/>
    <x v="1"/>
    <n v="13"/>
    <s v="High"/>
    <s v="High"/>
    <n v="0"/>
    <n v="6"/>
    <n v="3"/>
    <n v="3"/>
    <n v="6"/>
    <n v="5"/>
    <n v="0"/>
    <n v="3"/>
  </r>
  <r>
    <n v="68"/>
    <n v="45"/>
    <s v="36-45"/>
    <x v="1"/>
    <s v="Travel_Rarely"/>
    <n v="1389"/>
    <x v="1"/>
    <n v="7"/>
    <s v="Medium"/>
    <s v="Life Sciences"/>
    <s v="Medium"/>
    <s v="Male"/>
    <n v="59"/>
    <s v="High"/>
    <s v="High"/>
    <s v="Research Scientist"/>
    <s v="Low"/>
    <s v="Divorced"/>
    <n v="9724"/>
    <n v="18787"/>
    <s v="Medium"/>
    <n v="2"/>
    <x v="1"/>
    <n v="17"/>
    <s v="High"/>
    <s v="High"/>
    <n v="1"/>
    <n v="25"/>
    <n v="2"/>
    <n v="3"/>
    <n v="1"/>
    <n v="0"/>
    <n v="0"/>
    <n v="0"/>
  </r>
  <r>
    <n v="69"/>
    <n v="35"/>
    <s v="26-35"/>
    <x v="1"/>
    <s v="Travel_Frequently"/>
    <n v="1389"/>
    <x v="1"/>
    <n v="1"/>
    <s v="Medium"/>
    <s v="Medical"/>
    <s v="Medium"/>
    <s v="Male"/>
    <n v="79"/>
    <s v="High"/>
    <s v="Low"/>
    <s v="Research Scientist"/>
    <s v="Low"/>
    <s v="Married"/>
    <n v="2194"/>
    <n v="5868"/>
    <s v="Low"/>
    <n v="4"/>
    <x v="1"/>
    <n v="13"/>
    <s v="High"/>
    <s v="Excellent"/>
    <n v="1"/>
    <n v="5"/>
    <n v="2"/>
    <n v="2"/>
    <n v="3"/>
    <n v="2"/>
    <n v="1"/>
    <n v="2"/>
  </r>
  <r>
    <n v="70"/>
    <n v="36"/>
    <s v="36-45"/>
    <x v="0"/>
    <s v="Travel_Rarely"/>
    <n v="1389"/>
    <x v="1"/>
    <n v="9"/>
    <s v="Medium"/>
    <s v="Medical"/>
    <s v="Excellent"/>
    <s v="Male"/>
    <n v="79"/>
    <s v="Medium"/>
    <s v="Low"/>
    <s v="Research Scientist"/>
    <s v="High"/>
    <s v="Married"/>
    <n v="3388"/>
    <n v="21777"/>
    <s v="Low"/>
    <n v="0"/>
    <x v="0"/>
    <n v="17"/>
    <s v="High"/>
    <s v="Low"/>
    <n v="1"/>
    <n v="2"/>
    <n v="0"/>
    <n v="2"/>
    <n v="1"/>
    <n v="0"/>
    <n v="0"/>
    <n v="0"/>
  </r>
  <r>
    <n v="71"/>
    <n v="59"/>
    <s v="55+"/>
    <x v="1"/>
    <s v="Travel_Frequently"/>
    <n v="1389"/>
    <x v="0"/>
    <n v="1"/>
    <s v="Low"/>
    <s v="Life Sciences"/>
    <s v="Low"/>
    <s v="Female"/>
    <n v="57"/>
    <s v="Medium"/>
    <s v="Medium"/>
    <s v="Sales Executive"/>
    <s v="High"/>
    <s v="Single"/>
    <n v="5473"/>
    <n v="24668"/>
    <s v="Medium"/>
    <n v="7"/>
    <x v="1"/>
    <n v="11"/>
    <s v="High"/>
    <s v="Excellent"/>
    <n v="0"/>
    <n v="20"/>
    <n v="2"/>
    <n v="2"/>
    <n v="4"/>
    <n v="3"/>
    <n v="1"/>
    <n v="3"/>
  </r>
  <r>
    <n v="72"/>
    <n v="29"/>
    <s v="26-35"/>
    <x v="1"/>
    <s v="Travel_Rarely"/>
    <n v="1389"/>
    <x v="1"/>
    <n v="2"/>
    <s v="Medium"/>
    <s v="Life Sciences"/>
    <s v="High"/>
    <s v="Male"/>
    <n v="76"/>
    <s v="High"/>
    <s v="Low"/>
    <s v="Research Scientist"/>
    <s v="Medium"/>
    <s v="Married"/>
    <n v="2703"/>
    <n v="4956"/>
    <s v="Low"/>
    <n v="0"/>
    <x v="1"/>
    <n v="23"/>
    <s v="Excellent"/>
    <s v="Excellent"/>
    <n v="1"/>
    <n v="6"/>
    <n v="3"/>
    <n v="3"/>
    <n v="5"/>
    <n v="4"/>
    <n v="0"/>
    <n v="4"/>
  </r>
  <r>
    <n v="73"/>
    <n v="31"/>
    <s v="26-35"/>
    <x v="1"/>
    <s v="Travel_Rarely"/>
    <n v="1389"/>
    <x v="1"/>
    <n v="1"/>
    <s v="High"/>
    <s v="Medical"/>
    <s v="High"/>
    <s v="Male"/>
    <n v="87"/>
    <s v="High"/>
    <s v="Low"/>
    <s v="Research Scientist"/>
    <s v="Medium"/>
    <s v="Single"/>
    <n v="2501"/>
    <n v="18775"/>
    <s v="Low"/>
    <n v="1"/>
    <x v="1"/>
    <n v="17"/>
    <s v="High"/>
    <s v="Medium"/>
    <n v="0"/>
    <n v="1"/>
    <n v="4"/>
    <n v="3"/>
    <n v="1"/>
    <n v="1"/>
    <n v="1"/>
    <n v="0"/>
  </r>
  <r>
    <n v="74"/>
    <n v="32"/>
    <s v="26-35"/>
    <x v="1"/>
    <s v="Travel_Rarely"/>
    <n v="1389"/>
    <x v="1"/>
    <n v="1"/>
    <s v="Medium"/>
    <s v="Life Sciences"/>
    <s v="Medium"/>
    <s v="Male"/>
    <n v="66"/>
    <s v="High"/>
    <s v="Medium"/>
    <s v="Research Scientist"/>
    <s v="Medium"/>
    <s v="Married"/>
    <n v="6220"/>
    <n v="7346"/>
    <s v="Medium"/>
    <n v="1"/>
    <x v="1"/>
    <n v="17"/>
    <s v="High"/>
    <s v="Medium"/>
    <n v="2"/>
    <n v="10"/>
    <n v="3"/>
    <n v="3"/>
    <n v="10"/>
    <n v="4"/>
    <n v="0"/>
    <n v="9"/>
  </r>
  <r>
    <n v="75"/>
    <n v="36"/>
    <s v="36-45"/>
    <x v="1"/>
    <s v="Travel_Rarely"/>
    <n v="1389"/>
    <x v="1"/>
    <n v="6"/>
    <s v="Medium"/>
    <s v="Life Sciences"/>
    <s v="Medium"/>
    <s v="Female"/>
    <n v="55"/>
    <s v="Excellent"/>
    <s v="Low"/>
    <s v="Laboratory Technician"/>
    <s v="Excellent"/>
    <s v="Married"/>
    <n v="3038"/>
    <n v="22002"/>
    <s v="Low"/>
    <n v="3"/>
    <x v="1"/>
    <n v="12"/>
    <s v="High"/>
    <s v="Medium"/>
    <n v="0"/>
    <n v="5"/>
    <n v="3"/>
    <n v="3"/>
    <n v="1"/>
    <n v="0"/>
    <n v="0"/>
    <n v="0"/>
  </r>
  <r>
    <n v="76"/>
    <n v="31"/>
    <s v="26-35"/>
    <x v="1"/>
    <s v="Travel_Rarely"/>
    <n v="1389"/>
    <x v="1"/>
    <n v="8"/>
    <s v="High"/>
    <s v="Life Sciences"/>
    <s v="High"/>
    <s v="Female"/>
    <n v="61"/>
    <s v="High"/>
    <s v="Medium"/>
    <s v="Manufacturing Director"/>
    <s v="Excellent"/>
    <s v="Single"/>
    <n v="4424"/>
    <n v="20682"/>
    <s v="Low"/>
    <n v="1"/>
    <x v="1"/>
    <n v="23"/>
    <s v="Excellent"/>
    <s v="Excellent"/>
    <n v="0"/>
    <n v="11"/>
    <n v="2"/>
    <n v="3"/>
    <n v="11"/>
    <n v="7"/>
    <n v="1"/>
    <n v="8"/>
  </r>
  <r>
    <n v="77"/>
    <n v="35"/>
    <s v="26-35"/>
    <x v="1"/>
    <s v="Travel_Rarely"/>
    <n v="1389"/>
    <x v="0"/>
    <n v="1"/>
    <s v="High"/>
    <s v="Marketing"/>
    <s v="High"/>
    <s v="Male"/>
    <n v="32"/>
    <s v="Medium"/>
    <s v="Medium"/>
    <s v="Sales Executive"/>
    <s v="Low"/>
    <s v="Single"/>
    <n v="4312"/>
    <n v="23016"/>
    <s v="Low"/>
    <n v="0"/>
    <x v="1"/>
    <n v="14"/>
    <s v="High"/>
    <s v="Medium"/>
    <n v="0"/>
    <n v="16"/>
    <n v="2"/>
    <n v="3"/>
    <n v="15"/>
    <n v="13"/>
    <n v="2"/>
    <n v="8"/>
  </r>
  <r>
    <n v="78"/>
    <n v="45"/>
    <s v="36-45"/>
    <x v="1"/>
    <s v="Travel_Rarely"/>
    <n v="1389"/>
    <x v="1"/>
    <n v="6"/>
    <s v="High"/>
    <s v="Other"/>
    <s v="Excellent"/>
    <s v="Male"/>
    <n v="52"/>
    <s v="High"/>
    <s v="High"/>
    <s v="Research Director"/>
    <s v="Low"/>
    <s v="Married"/>
    <n v="13245"/>
    <n v="15067"/>
    <s v="High"/>
    <n v="4"/>
    <x v="0"/>
    <n v="14"/>
    <s v="High"/>
    <s v="Medium"/>
    <n v="0"/>
    <n v="17"/>
    <n v="3"/>
    <n v="4"/>
    <n v="0"/>
    <n v="0"/>
    <n v="0"/>
    <n v="0"/>
  </r>
  <r>
    <n v="79"/>
    <n v="37"/>
    <s v="36-45"/>
    <x v="1"/>
    <s v="Travel_Rarely"/>
    <n v="1389"/>
    <x v="1"/>
    <n v="7"/>
    <s v="High"/>
    <s v="Medical"/>
    <s v="Low"/>
    <s v="Male"/>
    <n v="30"/>
    <s v="High"/>
    <s v="High"/>
    <s v="Research Director"/>
    <s v="High"/>
    <s v="Single"/>
    <n v="13664"/>
    <n v="25258"/>
    <s v="High"/>
    <n v="4"/>
    <x v="1"/>
    <n v="13"/>
    <s v="High"/>
    <s v="Low"/>
    <n v="0"/>
    <n v="16"/>
    <n v="3"/>
    <n v="4"/>
    <n v="5"/>
    <n v="2"/>
    <n v="0"/>
    <n v="2"/>
  </r>
  <r>
    <n v="80"/>
    <n v="46"/>
    <s v="46-55"/>
    <x v="1"/>
    <s v="Travel_Rarely"/>
    <n v="1389"/>
    <x v="2"/>
    <n v="5"/>
    <s v="Good"/>
    <s v="Medical"/>
    <s v="Medium"/>
    <s v="Male"/>
    <n v="80"/>
    <s v="High"/>
    <s v="Medium"/>
    <s v="Human Resources"/>
    <s v="Medium"/>
    <s v="Divorced"/>
    <n v="5021"/>
    <n v="10425"/>
    <s v="Medium"/>
    <n v="8"/>
    <x v="0"/>
    <n v="22"/>
    <s v="Excellent"/>
    <s v="Excellent"/>
    <n v="1"/>
    <n v="16"/>
    <n v="2"/>
    <n v="3"/>
    <n v="4"/>
    <n v="2"/>
    <n v="0"/>
    <n v="2"/>
  </r>
  <r>
    <n v="81"/>
    <n v="30"/>
    <s v="26-35"/>
    <x v="1"/>
    <s v="Travel_Rarely"/>
    <n v="1389"/>
    <x v="1"/>
    <n v="1"/>
    <s v="Low"/>
    <s v="Life Sciences"/>
    <s v="Excellent"/>
    <s v="Male"/>
    <n v="55"/>
    <s v="Medium"/>
    <s v="Medium"/>
    <s v="Laboratory Technician"/>
    <s v="Excellent"/>
    <s v="Married"/>
    <n v="5126"/>
    <n v="15998"/>
    <s v="Medium"/>
    <n v="1"/>
    <x v="0"/>
    <n v="12"/>
    <s v="High"/>
    <s v="High"/>
    <n v="2"/>
    <n v="10"/>
    <n v="1"/>
    <n v="2"/>
    <n v="10"/>
    <n v="8"/>
    <n v="3"/>
    <n v="0"/>
  </r>
  <r>
    <n v="82"/>
    <n v="35"/>
    <s v="26-35"/>
    <x v="1"/>
    <s v="Travel_Rarely"/>
    <n v="1389"/>
    <x v="1"/>
    <n v="1"/>
    <s v="Medium"/>
    <s v="Medical"/>
    <s v="Medium"/>
    <s v="Male"/>
    <n v="30"/>
    <s v="Medium"/>
    <s v="Low"/>
    <s v="Research Scientist"/>
    <s v="High"/>
    <s v="Single"/>
    <n v="2859"/>
    <n v="26278"/>
    <s v="Low"/>
    <n v="1"/>
    <x v="1"/>
    <n v="18"/>
    <s v="High"/>
    <s v="Low"/>
    <n v="0"/>
    <n v="6"/>
    <n v="3"/>
    <n v="3"/>
    <n v="6"/>
    <n v="4"/>
    <n v="0"/>
    <n v="4"/>
  </r>
  <r>
    <n v="83"/>
    <n v="55"/>
    <s v="46-55"/>
    <x v="1"/>
    <s v="Travel_Rarely"/>
    <n v="1389"/>
    <x v="0"/>
    <n v="1"/>
    <s v="Good"/>
    <s v="Life Sciences"/>
    <s v="Low"/>
    <s v="Male"/>
    <n v="70"/>
    <s v="High"/>
    <s v="High"/>
    <s v="Sales Executive"/>
    <s v="Excellent"/>
    <s v="Married"/>
    <n v="10239"/>
    <n v="18092"/>
    <s v="High"/>
    <n v="3"/>
    <x v="1"/>
    <n v="14"/>
    <s v="High"/>
    <s v="Excellent"/>
    <n v="1"/>
    <n v="24"/>
    <n v="4"/>
    <n v="3"/>
    <n v="1"/>
    <n v="0"/>
    <n v="1"/>
    <n v="0"/>
  </r>
  <r>
    <n v="84"/>
    <n v="38"/>
    <s v="36-45"/>
    <x v="1"/>
    <s v="Non-Travel"/>
    <n v="1389"/>
    <x v="1"/>
    <n v="6"/>
    <s v="Medium"/>
    <s v="Medical"/>
    <s v="Medium"/>
    <s v="Female"/>
    <n v="79"/>
    <s v="Low"/>
    <s v="Medium"/>
    <s v="Research Scientist"/>
    <s v="Excellent"/>
    <s v="Divorced"/>
    <n v="5329"/>
    <n v="15717"/>
    <s v="Medium"/>
    <n v="7"/>
    <x v="0"/>
    <n v="12"/>
    <s v="High"/>
    <s v="Excellent"/>
    <n v="3"/>
    <n v="17"/>
    <n v="3"/>
    <n v="3"/>
    <n v="13"/>
    <n v="11"/>
    <n v="1"/>
    <n v="9"/>
  </r>
  <r>
    <n v="85"/>
    <n v="34"/>
    <s v="26-35"/>
    <x v="1"/>
    <s v="Travel_Rarely"/>
    <n v="1389"/>
    <x v="1"/>
    <n v="1"/>
    <s v="Good"/>
    <s v="Medical"/>
    <s v="Low"/>
    <s v="Male"/>
    <n v="94"/>
    <s v="High"/>
    <s v="Medium"/>
    <s v="Manufacturing Director"/>
    <s v="Medium"/>
    <s v="Married"/>
    <n v="4325"/>
    <n v="17736"/>
    <s v="Low"/>
    <n v="1"/>
    <x v="1"/>
    <n v="15"/>
    <s v="High"/>
    <s v="High"/>
    <n v="0"/>
    <n v="5"/>
    <n v="2"/>
    <n v="3"/>
    <n v="5"/>
    <n v="2"/>
    <n v="1"/>
    <n v="3"/>
  </r>
  <r>
    <n v="86"/>
    <n v="56"/>
    <s v="55+"/>
    <x v="1"/>
    <s v="Travel_Rarely"/>
    <n v="1389"/>
    <x v="1"/>
    <n v="7"/>
    <s v="Medium"/>
    <s v="Life Sciences"/>
    <s v="Excellent"/>
    <s v="Male"/>
    <n v="49"/>
    <s v="Low"/>
    <s v="High"/>
    <s v="Manufacturing Director"/>
    <s v="Excellent"/>
    <s v="Single"/>
    <n v="7260"/>
    <n v="21698"/>
    <s v="Medium"/>
    <n v="4"/>
    <x v="1"/>
    <n v="11"/>
    <s v="High"/>
    <s v="Low"/>
    <n v="0"/>
    <n v="37"/>
    <n v="3"/>
    <n v="2"/>
    <n v="6"/>
    <n v="4"/>
    <n v="0"/>
    <n v="2"/>
  </r>
  <r>
    <n v="87"/>
    <n v="23"/>
    <s v="18-25"/>
    <x v="1"/>
    <s v="Travel_Rarely"/>
    <n v="1389"/>
    <x v="0"/>
    <n v="2"/>
    <s v="Low"/>
    <s v="Technical Degree"/>
    <s v="High"/>
    <s v="Male"/>
    <n v="62"/>
    <s v="High"/>
    <s v="Low"/>
    <s v="Sales Representative"/>
    <s v="Low"/>
    <s v="Divorced"/>
    <n v="2322"/>
    <n v="9518"/>
    <s v="Low"/>
    <n v="3"/>
    <x v="1"/>
    <n v="13"/>
    <s v="High"/>
    <s v="High"/>
    <n v="1"/>
    <n v="3"/>
    <n v="3"/>
    <n v="3"/>
    <n v="0"/>
    <n v="0"/>
    <n v="0"/>
    <n v="0"/>
  </r>
  <r>
    <n v="88"/>
    <n v="51"/>
    <s v="46-55"/>
    <x v="1"/>
    <s v="Travel_Rarely"/>
    <n v="1389"/>
    <x v="1"/>
    <n v="9"/>
    <s v="High"/>
    <s v="Life Sciences"/>
    <s v="Excellent"/>
    <s v="Male"/>
    <n v="96"/>
    <s v="High"/>
    <s v="Low"/>
    <s v="Laboratory Technician"/>
    <s v="Excellent"/>
    <s v="Married"/>
    <n v="2075"/>
    <n v="18725"/>
    <s v="Low"/>
    <n v="3"/>
    <x v="1"/>
    <n v="23"/>
    <s v="Excellent"/>
    <s v="Medium"/>
    <n v="2"/>
    <n v="10"/>
    <n v="4"/>
    <n v="3"/>
    <n v="4"/>
    <n v="2"/>
    <n v="0"/>
    <n v="3"/>
  </r>
  <r>
    <n v="89"/>
    <n v="30"/>
    <s v="26-35"/>
    <x v="1"/>
    <s v="Travel_Rarely"/>
    <n v="1389"/>
    <x v="1"/>
    <n v="2"/>
    <s v="Medium"/>
    <s v="Life Sciences"/>
    <s v="High"/>
    <s v="Male"/>
    <n v="99"/>
    <s v="Medium"/>
    <s v="Medium"/>
    <s v="Healthcare Representative"/>
    <s v="Excellent"/>
    <s v="Married"/>
    <n v="4152"/>
    <n v="15830"/>
    <s v="Low"/>
    <n v="1"/>
    <x v="1"/>
    <n v="19"/>
    <s v="High"/>
    <s v="Low"/>
    <n v="3"/>
    <n v="11"/>
    <n v="3"/>
    <n v="3"/>
    <n v="11"/>
    <n v="10"/>
    <n v="10"/>
    <n v="8"/>
  </r>
  <r>
    <n v="90"/>
    <n v="46"/>
    <s v="46-55"/>
    <x v="0"/>
    <s v="Travel_Rarely"/>
    <n v="1389"/>
    <x v="0"/>
    <n v="9"/>
    <s v="Good"/>
    <s v="Medical"/>
    <s v="High"/>
    <s v="Male"/>
    <n v="64"/>
    <s v="Medium"/>
    <s v="High"/>
    <s v="Sales Executive"/>
    <s v="Excellent"/>
    <s v="Single"/>
    <n v="9619"/>
    <n v="13596"/>
    <s v="Medium"/>
    <n v="1"/>
    <x v="1"/>
    <n v="16"/>
    <s v="High"/>
    <s v="Excellent"/>
    <n v="0"/>
    <n v="9"/>
    <n v="3"/>
    <n v="3"/>
    <n v="9"/>
    <n v="8"/>
    <n v="4"/>
    <n v="7"/>
  </r>
  <r>
    <n v="91"/>
    <n v="40"/>
    <s v="36-45"/>
    <x v="1"/>
    <s v="Travel_Frequently"/>
    <n v="1389"/>
    <x v="1"/>
    <n v="1"/>
    <s v="High"/>
    <s v="Life Sciences"/>
    <s v="High"/>
    <s v="Male"/>
    <n v="78"/>
    <s v="Medium"/>
    <s v="Excellent"/>
    <s v="Healthcare Representative"/>
    <s v="Medium"/>
    <s v="Married"/>
    <n v="13503"/>
    <n v="14115"/>
    <s v="High"/>
    <n v="1"/>
    <x v="1"/>
    <n v="22"/>
    <s v="Excellent"/>
    <s v="Excellent"/>
    <n v="1"/>
    <n v="22"/>
    <n v="3"/>
    <n v="2"/>
    <n v="22"/>
    <n v="3"/>
    <n v="11"/>
    <n v="11"/>
  </r>
  <r>
    <n v="92"/>
    <n v="51"/>
    <s v="46-55"/>
    <x v="1"/>
    <s v="Travel_Rarely"/>
    <n v="1389"/>
    <x v="0"/>
    <n v="21"/>
    <s v="High"/>
    <s v="Marketing"/>
    <s v="High"/>
    <s v="Male"/>
    <n v="71"/>
    <s v="High"/>
    <s v="Medium"/>
    <s v="Sales Executive"/>
    <s v="Excellent"/>
    <s v="Single"/>
    <n v="5441"/>
    <n v="8423"/>
    <s v="Medium"/>
    <n v="0"/>
    <x v="0"/>
    <n v="22"/>
    <s v="Excellent"/>
    <s v="Excellent"/>
    <n v="0"/>
    <n v="11"/>
    <n v="2"/>
    <n v="1"/>
    <n v="10"/>
    <n v="7"/>
    <n v="1"/>
    <n v="0"/>
  </r>
  <r>
    <n v="93"/>
    <n v="30"/>
    <s v="26-35"/>
    <x v="1"/>
    <s v="Travel_Rarely"/>
    <n v="1389"/>
    <x v="0"/>
    <n v="4"/>
    <s v="Good"/>
    <s v="Medical"/>
    <s v="High"/>
    <s v="Female"/>
    <n v="63"/>
    <s v="Medium"/>
    <s v="Medium"/>
    <s v="Sales Executive"/>
    <s v="Medium"/>
    <s v="Divorced"/>
    <n v="5209"/>
    <n v="19760"/>
    <s v="Medium"/>
    <n v="1"/>
    <x v="0"/>
    <n v="12"/>
    <s v="High"/>
    <s v="Medium"/>
    <n v="3"/>
    <n v="11"/>
    <n v="4"/>
    <n v="2"/>
    <n v="11"/>
    <n v="8"/>
    <n v="2"/>
    <n v="7"/>
  </r>
  <r>
    <n v="94"/>
    <n v="46"/>
    <s v="46-55"/>
    <x v="1"/>
    <s v="Travel_Frequently"/>
    <n v="1389"/>
    <x v="1"/>
    <n v="1"/>
    <s v="Medium"/>
    <s v="Medical"/>
    <s v="High"/>
    <s v="Male"/>
    <n v="40"/>
    <s v="Medium"/>
    <s v="High"/>
    <s v="Healthcare Representative"/>
    <s v="Low"/>
    <s v="Married"/>
    <n v="10673"/>
    <n v="3142"/>
    <s v="High"/>
    <n v="2"/>
    <x v="0"/>
    <n v="13"/>
    <s v="High"/>
    <s v="High"/>
    <n v="1"/>
    <n v="21"/>
    <n v="5"/>
    <n v="2"/>
    <n v="10"/>
    <n v="9"/>
    <n v="9"/>
    <n v="5"/>
  </r>
  <r>
    <n v="95"/>
    <n v="32"/>
    <s v="26-35"/>
    <x v="1"/>
    <s v="Travel_Rarely"/>
    <n v="1389"/>
    <x v="0"/>
    <n v="6"/>
    <s v="High"/>
    <s v="Medical"/>
    <s v="Medium"/>
    <s v="Male"/>
    <n v="87"/>
    <s v="High"/>
    <s v="Medium"/>
    <s v="Sales Executive"/>
    <s v="High"/>
    <s v="Single"/>
    <n v="5010"/>
    <n v="24301"/>
    <s v="Medium"/>
    <n v="1"/>
    <x v="1"/>
    <n v="16"/>
    <s v="High"/>
    <s v="Low"/>
    <n v="0"/>
    <n v="12"/>
    <n v="0"/>
    <n v="3"/>
    <n v="11"/>
    <n v="8"/>
    <n v="5"/>
    <n v="7"/>
  </r>
  <r>
    <n v="96"/>
    <n v="54"/>
    <s v="46-55"/>
    <x v="1"/>
    <s v="Travel_Rarely"/>
    <n v="1389"/>
    <x v="1"/>
    <n v="2"/>
    <s v="High"/>
    <s v="Technical Degree"/>
    <s v="Low"/>
    <s v="Female"/>
    <n v="60"/>
    <s v="High"/>
    <s v="High"/>
    <s v="Research Director"/>
    <s v="High"/>
    <s v="Married"/>
    <n v="13549"/>
    <n v="24001"/>
    <s v="High"/>
    <n v="9"/>
    <x v="1"/>
    <n v="12"/>
    <s v="High"/>
    <s v="Low"/>
    <n v="1"/>
    <n v="16"/>
    <n v="5"/>
    <n v="1"/>
    <n v="4"/>
    <n v="3"/>
    <n v="0"/>
    <n v="3"/>
  </r>
  <r>
    <n v="97"/>
    <n v="24"/>
    <s v="18-25"/>
    <x v="1"/>
    <s v="Travel_Rarely"/>
    <n v="1389"/>
    <x v="0"/>
    <n v="3"/>
    <s v="Good"/>
    <s v="Other"/>
    <s v="Low"/>
    <s v="Female"/>
    <n v="33"/>
    <s v="High"/>
    <s v="Medium"/>
    <s v="Sales Executive"/>
    <s v="High"/>
    <s v="Married"/>
    <n v="4999"/>
    <n v="17519"/>
    <s v="Low"/>
    <n v="0"/>
    <x v="1"/>
    <n v="21"/>
    <s v="Excellent"/>
    <s v="Low"/>
    <n v="1"/>
    <n v="4"/>
    <n v="2"/>
    <n v="2"/>
    <n v="3"/>
    <n v="2"/>
    <n v="0"/>
    <n v="2"/>
  </r>
  <r>
    <n v="98"/>
    <n v="28"/>
    <s v="26-35"/>
    <x v="1"/>
    <s v="Non-Travel"/>
    <n v="1389"/>
    <x v="0"/>
    <n v="4"/>
    <s v="Medium"/>
    <s v="Medical"/>
    <s v="Medium"/>
    <s v="Male"/>
    <n v="43"/>
    <s v="High"/>
    <s v="Medium"/>
    <s v="Sales Executive"/>
    <s v="High"/>
    <s v="Married"/>
    <n v="4221"/>
    <n v="8863"/>
    <s v="Low"/>
    <n v="1"/>
    <x v="1"/>
    <n v="15"/>
    <s v="High"/>
    <s v="Medium"/>
    <n v="0"/>
    <n v="5"/>
    <n v="3"/>
    <n v="4"/>
    <n v="5"/>
    <n v="4"/>
    <n v="0"/>
    <n v="4"/>
  </r>
  <r>
    <n v="99"/>
    <n v="58"/>
    <s v="55+"/>
    <x v="1"/>
    <s v="Travel_Rarely"/>
    <n v="1389"/>
    <x v="0"/>
    <n v="10"/>
    <s v="High"/>
    <s v="Medical"/>
    <s v="Excellent"/>
    <s v="Male"/>
    <n v="37"/>
    <s v="High"/>
    <s v="Excellent"/>
    <s v="Sales Executive"/>
    <s v="High"/>
    <s v="Single"/>
    <n v="13872"/>
    <n v="24409"/>
    <s v="High"/>
    <n v="0"/>
    <x v="1"/>
    <n v="13"/>
    <s v="High"/>
    <s v="High"/>
    <n v="0"/>
    <n v="38"/>
    <n v="1"/>
    <n v="2"/>
    <n v="37"/>
    <n v="10"/>
    <n v="1"/>
    <n v="8"/>
  </r>
  <r>
    <n v="100"/>
    <n v="44"/>
    <s v="36-45"/>
    <x v="1"/>
    <s v="Non-Travel"/>
    <n v="1389"/>
    <x v="1"/>
    <n v="23"/>
    <s v="Medium"/>
    <s v="Medical"/>
    <s v="Medium"/>
    <s v="Male"/>
    <n v="67"/>
    <s v="High"/>
    <s v="Medium"/>
    <s v="Laboratory Technician"/>
    <s v="Medium"/>
    <s v="Married"/>
    <n v="2042"/>
    <n v="25043"/>
    <s v="Low"/>
    <n v="4"/>
    <x v="1"/>
    <n v="12"/>
    <s v="High"/>
    <s v="High"/>
    <n v="1"/>
    <n v="17"/>
    <n v="3"/>
    <n v="4"/>
    <n v="3"/>
    <n v="2"/>
    <n v="1"/>
    <n v="2"/>
  </r>
  <r>
    <n v="101"/>
    <n v="37"/>
    <s v="36-45"/>
    <x v="0"/>
    <s v="Travel_Rarely"/>
    <n v="1389"/>
    <x v="2"/>
    <n v="6"/>
    <s v="High"/>
    <s v="Human Resources"/>
    <s v="High"/>
    <s v="Male"/>
    <n v="63"/>
    <s v="High"/>
    <s v="Low"/>
    <s v="Human Resources"/>
    <s v="Low"/>
    <s v="Divorced"/>
    <n v="2073"/>
    <n v="23648"/>
    <s v="Low"/>
    <n v="4"/>
    <x v="0"/>
    <n v="22"/>
    <s v="Excellent"/>
    <s v="Excellent"/>
    <n v="0"/>
    <n v="7"/>
    <n v="3"/>
    <n v="3"/>
    <n v="3"/>
    <n v="2"/>
    <n v="0"/>
    <n v="2"/>
  </r>
  <r>
    <n v="102"/>
    <n v="32"/>
    <s v="26-35"/>
    <x v="1"/>
    <s v="Travel_Rarely"/>
    <n v="1389"/>
    <x v="1"/>
    <n v="1"/>
    <s v="Low"/>
    <s v="Life Sciences"/>
    <s v="Excellent"/>
    <s v="Male"/>
    <n v="71"/>
    <s v="High"/>
    <s v="Low"/>
    <s v="Research Scientist"/>
    <s v="Low"/>
    <s v="Single"/>
    <n v="2956"/>
    <n v="15178"/>
    <s v="Low"/>
    <n v="1"/>
    <x v="1"/>
    <n v="13"/>
    <s v="High"/>
    <s v="Excellent"/>
    <n v="0"/>
    <n v="1"/>
    <n v="2"/>
    <n v="3"/>
    <n v="1"/>
    <n v="0"/>
    <n v="0"/>
    <n v="0"/>
  </r>
  <r>
    <n v="103"/>
    <n v="20"/>
    <s v="18-25"/>
    <x v="0"/>
    <s v="Travel_Frequently"/>
    <n v="1389"/>
    <x v="1"/>
    <n v="6"/>
    <s v="Medium"/>
    <s v="Life Sciences"/>
    <s v="Excellent"/>
    <s v="Female"/>
    <n v="66"/>
    <s v="Medium"/>
    <s v="Low"/>
    <s v="Laboratory Technician"/>
    <s v="Excellent"/>
    <s v="Single"/>
    <n v="2926"/>
    <n v="19783"/>
    <s v="Low"/>
    <n v="1"/>
    <x v="0"/>
    <n v="18"/>
    <s v="High"/>
    <s v="Medium"/>
    <n v="0"/>
    <n v="1"/>
    <n v="5"/>
    <n v="3"/>
    <n v="1"/>
    <n v="0"/>
    <n v="1"/>
    <n v="0"/>
  </r>
  <r>
    <n v="104"/>
    <n v="34"/>
    <s v="26-35"/>
    <x v="1"/>
    <s v="Travel_Rarely"/>
    <n v="1389"/>
    <x v="1"/>
    <n v="6"/>
    <s v="High"/>
    <s v="Other"/>
    <s v="Low"/>
    <s v="Female"/>
    <n v="41"/>
    <s v="High"/>
    <s v="Medium"/>
    <s v="Research Scientist"/>
    <s v="High"/>
    <s v="Single"/>
    <n v="4809"/>
    <n v="12482"/>
    <s v="Low"/>
    <n v="1"/>
    <x v="1"/>
    <n v="14"/>
    <s v="High"/>
    <s v="High"/>
    <n v="0"/>
    <n v="16"/>
    <n v="3"/>
    <n v="3"/>
    <n v="16"/>
    <n v="13"/>
    <n v="2"/>
    <n v="10"/>
  </r>
  <r>
    <n v="105"/>
    <n v="37"/>
    <s v="36-45"/>
    <x v="1"/>
    <s v="Non-Travel"/>
    <n v="1389"/>
    <x v="1"/>
    <n v="2"/>
    <s v="Good"/>
    <s v="Life Sciences"/>
    <s v="High"/>
    <s v="Male"/>
    <n v="100"/>
    <s v="Medium"/>
    <s v="Medium"/>
    <s v="Healthcare Representative"/>
    <s v="Excellent"/>
    <s v="Divorced"/>
    <n v="5163"/>
    <n v="15850"/>
    <s v="Medium"/>
    <n v="5"/>
    <x v="1"/>
    <n v="14"/>
    <s v="High"/>
    <s v="Excellent"/>
    <n v="1"/>
    <n v="17"/>
    <n v="2"/>
    <n v="4"/>
    <n v="1"/>
    <n v="0"/>
    <n v="0"/>
    <n v="0"/>
  </r>
  <r>
    <n v="106"/>
    <n v="59"/>
    <s v="55+"/>
    <x v="1"/>
    <s v="Non-Travel"/>
    <n v="1389"/>
    <x v="2"/>
    <n v="2"/>
    <s v="High"/>
    <s v="Human Resources"/>
    <s v="High"/>
    <s v="Female"/>
    <n v="32"/>
    <s v="Medium"/>
    <e v="#N/A"/>
    <s v="Manager"/>
    <s v="Excellent"/>
    <s v="Married"/>
    <n v="18844"/>
    <n v="21922"/>
    <s v="High"/>
    <n v="9"/>
    <x v="1"/>
    <n v="21"/>
    <s v="Excellent"/>
    <s v="Excellent"/>
    <n v="1"/>
    <n v="30"/>
    <n v="3"/>
    <n v="3"/>
    <n v="3"/>
    <n v="2"/>
    <n v="2"/>
    <n v="2"/>
  </r>
  <r>
    <n v="107"/>
    <n v="50"/>
    <s v="46-55"/>
    <x v="1"/>
    <s v="Travel_Frequently"/>
    <n v="1389"/>
    <x v="1"/>
    <n v="1"/>
    <s v="Medium"/>
    <s v="Life Sciences"/>
    <s v="Low"/>
    <s v="Female"/>
    <n v="73"/>
    <s v="High"/>
    <e v="#N/A"/>
    <s v="Research Director"/>
    <s v="Medium"/>
    <s v="Married"/>
    <n v="18172"/>
    <n v="9755"/>
    <s v="High"/>
    <n v="3"/>
    <x v="0"/>
    <n v="19"/>
    <s v="High"/>
    <s v="Low"/>
    <n v="0"/>
    <n v="28"/>
    <n v="1"/>
    <n v="2"/>
    <n v="8"/>
    <n v="3"/>
    <n v="0"/>
    <n v="7"/>
  </r>
  <r>
    <n v="108"/>
    <n v="25"/>
    <s v="18-25"/>
    <x v="0"/>
    <s v="Travel_Rarely"/>
    <n v="1389"/>
    <x v="0"/>
    <n v="5"/>
    <s v="Medium"/>
    <s v="Marketing"/>
    <s v="High"/>
    <s v="Male"/>
    <n v="46"/>
    <s v="Medium"/>
    <s v="Medium"/>
    <s v="Sales Executive"/>
    <s v="High"/>
    <s v="Single"/>
    <n v="5744"/>
    <n v="26959"/>
    <s v="Medium"/>
    <n v="1"/>
    <x v="0"/>
    <n v="11"/>
    <s v="High"/>
    <s v="Excellent"/>
    <n v="0"/>
    <n v="6"/>
    <n v="1"/>
    <n v="3"/>
    <n v="6"/>
    <n v="4"/>
    <n v="0"/>
    <n v="3"/>
  </r>
  <r>
    <n v="109"/>
    <n v="25"/>
    <s v="18-25"/>
    <x v="1"/>
    <s v="Travel_Rarely"/>
    <n v="1389"/>
    <x v="1"/>
    <n v="7"/>
    <s v="Low"/>
    <s v="Medical"/>
    <s v="Excellent"/>
    <s v="Male"/>
    <n v="64"/>
    <s v="Medium"/>
    <s v="Low"/>
    <s v="Research Scientist"/>
    <s v="Excellent"/>
    <s v="Married"/>
    <n v="2889"/>
    <n v="26897"/>
    <s v="Low"/>
    <n v="1"/>
    <x v="1"/>
    <n v="11"/>
    <s v="High"/>
    <s v="High"/>
    <n v="2"/>
    <n v="2"/>
    <n v="2"/>
    <n v="3"/>
    <n v="2"/>
    <n v="2"/>
    <n v="2"/>
    <n v="1"/>
  </r>
  <r>
    <n v="110"/>
    <n v="22"/>
    <s v="18-25"/>
    <x v="1"/>
    <s v="Travel_Rarely"/>
    <n v="1389"/>
    <x v="1"/>
    <n v="15"/>
    <s v="Medium"/>
    <s v="Medical"/>
    <s v="Medium"/>
    <s v="Female"/>
    <n v="59"/>
    <s v="High"/>
    <s v="Low"/>
    <s v="Laboratory Technician"/>
    <s v="Excellent"/>
    <s v="Single"/>
    <n v="2871"/>
    <n v="23785"/>
    <s v="Low"/>
    <n v="1"/>
    <x v="1"/>
    <n v="15"/>
    <s v="High"/>
    <s v="High"/>
    <n v="0"/>
    <n v="1"/>
    <n v="5"/>
    <n v="3"/>
    <n v="0"/>
    <n v="0"/>
    <n v="0"/>
    <n v="0"/>
  </r>
  <r>
    <n v="111"/>
    <n v="51"/>
    <s v="46-55"/>
    <x v="1"/>
    <s v="Travel_Frequently"/>
    <n v="1389"/>
    <x v="1"/>
    <n v="1"/>
    <s v="High"/>
    <s v="Medical"/>
    <s v="Low"/>
    <s v="Female"/>
    <n v="30"/>
    <s v="Medium"/>
    <s v="High"/>
    <s v="Healthcare Representative"/>
    <s v="Low"/>
    <s v="Single"/>
    <n v="7484"/>
    <n v="25796"/>
    <s v="Medium"/>
    <n v="3"/>
    <x v="1"/>
    <n v="20"/>
    <s v="Excellent"/>
    <s v="High"/>
    <n v="0"/>
    <n v="23"/>
    <n v="1"/>
    <n v="2"/>
    <n v="13"/>
    <n v="12"/>
    <n v="12"/>
    <n v="8"/>
  </r>
  <r>
    <n v="112"/>
    <n v="34"/>
    <s v="26-35"/>
    <x v="0"/>
    <s v="Travel_Frequently"/>
    <n v="1389"/>
    <x v="1"/>
    <n v="7"/>
    <s v="Medium"/>
    <s v="Life Sciences"/>
    <s v="Low"/>
    <s v="Male"/>
    <n v="66"/>
    <s v="Low"/>
    <s v="Medium"/>
    <s v="Laboratory Technician"/>
    <s v="High"/>
    <s v="Single"/>
    <n v="6074"/>
    <n v="22887"/>
    <s v="Medium"/>
    <n v="1"/>
    <x v="0"/>
    <n v="24"/>
    <s v="Excellent"/>
    <s v="Excellent"/>
    <n v="0"/>
    <n v="9"/>
    <n v="3"/>
    <n v="3"/>
    <n v="9"/>
    <n v="7"/>
    <n v="0"/>
    <n v="6"/>
  </r>
  <r>
    <n v="113"/>
    <n v="54"/>
    <s v="46-55"/>
    <x v="1"/>
    <s v="Non-Travel"/>
    <n v="1389"/>
    <x v="2"/>
    <n v="26"/>
    <s v="Medium"/>
    <s v="Human Resources"/>
    <s v="Excellent"/>
    <s v="Female"/>
    <n v="30"/>
    <s v="Excellent"/>
    <s v="Excellent"/>
    <s v="Manager"/>
    <s v="Excellent"/>
    <s v="Single"/>
    <n v="17328"/>
    <n v="13871"/>
    <s v="High"/>
    <n v="2"/>
    <x v="0"/>
    <n v="12"/>
    <s v="High"/>
    <s v="High"/>
    <n v="0"/>
    <n v="23"/>
    <n v="3"/>
    <n v="3"/>
    <n v="5"/>
    <n v="3"/>
    <n v="4"/>
    <n v="4"/>
  </r>
  <r>
    <n v="114"/>
    <n v="24"/>
    <s v="18-25"/>
    <x v="1"/>
    <s v="Travel_Rarely"/>
    <n v="1389"/>
    <x v="1"/>
    <n v="18"/>
    <s v="Low"/>
    <s v="Life Sciences"/>
    <s v="Medium"/>
    <s v="Male"/>
    <n v="52"/>
    <s v="High"/>
    <s v="Low"/>
    <s v="Laboratory Technician"/>
    <s v="High"/>
    <s v="Married"/>
    <n v="2774"/>
    <n v="13257"/>
    <s v="Low"/>
    <n v="0"/>
    <x v="1"/>
    <n v="12"/>
    <s v="High"/>
    <s v="High"/>
    <n v="1"/>
    <n v="6"/>
    <n v="2"/>
    <n v="3"/>
    <n v="5"/>
    <n v="3"/>
    <n v="1"/>
    <n v="2"/>
  </r>
  <r>
    <n v="115"/>
    <n v="34"/>
    <s v="26-35"/>
    <x v="1"/>
    <s v="Travel_Rarely"/>
    <n v="1389"/>
    <x v="1"/>
    <n v="6"/>
    <s v="High"/>
    <s v="Life Sciences"/>
    <s v="High"/>
    <s v="Female"/>
    <n v="45"/>
    <s v="Medium"/>
    <s v="Medium"/>
    <s v="Research Scientist"/>
    <s v="Medium"/>
    <s v="Divorced"/>
    <n v="4505"/>
    <n v="15000"/>
    <s v="Low"/>
    <n v="6"/>
    <x v="1"/>
    <n v="15"/>
    <s v="High"/>
    <s v="High"/>
    <n v="1"/>
    <n v="12"/>
    <n v="3"/>
    <n v="3"/>
    <n v="1"/>
    <n v="0"/>
    <n v="0"/>
    <n v="0"/>
  </r>
  <r>
    <n v="116"/>
    <n v="37"/>
    <s v="36-45"/>
    <x v="1"/>
    <s v="Travel_Rarely"/>
    <n v="1389"/>
    <x v="0"/>
    <n v="3"/>
    <s v="Medium"/>
    <s v="Life Sciences"/>
    <s v="High"/>
    <s v="Male"/>
    <n v="87"/>
    <s v="High"/>
    <s v="High"/>
    <s v="Sales Executive"/>
    <s v="Excellent"/>
    <s v="Single"/>
    <n v="7428"/>
    <n v="14506"/>
    <s v="Medium"/>
    <n v="2"/>
    <x v="1"/>
    <n v="12"/>
    <s v="High"/>
    <s v="Low"/>
    <n v="0"/>
    <n v="12"/>
    <n v="3"/>
    <n v="3"/>
    <n v="5"/>
    <n v="3"/>
    <n v="1"/>
    <n v="3"/>
  </r>
  <r>
    <n v="117"/>
    <n v="34"/>
    <s v="26-35"/>
    <x v="1"/>
    <s v="Travel_Rarely"/>
    <n v="1389"/>
    <x v="1"/>
    <n v="5"/>
    <s v="Medium"/>
    <s v="Medical"/>
    <s v="High"/>
    <s v="Female"/>
    <n v="45"/>
    <s v="Medium"/>
    <s v="High"/>
    <s v="Manager"/>
    <s v="Low"/>
    <s v="Single"/>
    <n v="11631"/>
    <n v="5615"/>
    <s v="High"/>
    <n v="2"/>
    <x v="1"/>
    <n v="12"/>
    <s v="High"/>
    <s v="Excellent"/>
    <n v="0"/>
    <n v="14"/>
    <n v="6"/>
    <n v="3"/>
    <n v="11"/>
    <n v="10"/>
    <n v="5"/>
    <n v="8"/>
  </r>
  <r>
    <n v="118"/>
    <n v="36"/>
    <s v="36-45"/>
    <x v="1"/>
    <s v="Travel_Frequently"/>
    <n v="1389"/>
    <x v="0"/>
    <n v="11"/>
    <s v="Good"/>
    <s v="Technical Degree"/>
    <s v="Medium"/>
    <s v="Female"/>
    <n v="92"/>
    <s v="High"/>
    <s v="High"/>
    <s v="Sales Executive"/>
    <s v="Excellent"/>
    <s v="Married"/>
    <n v="9738"/>
    <n v="22952"/>
    <s v="Medium"/>
    <n v="0"/>
    <x v="1"/>
    <n v="14"/>
    <s v="High"/>
    <s v="High"/>
    <n v="1"/>
    <n v="10"/>
    <n v="6"/>
    <n v="3"/>
    <n v="9"/>
    <n v="7"/>
    <n v="2"/>
    <n v="8"/>
  </r>
  <r>
    <n v="119"/>
    <n v="36"/>
    <s v="36-45"/>
    <x v="1"/>
    <s v="Travel_Rarely"/>
    <n v="1389"/>
    <x v="1"/>
    <n v="3"/>
    <s v="Good"/>
    <s v="Life Sciences"/>
    <s v="Low"/>
    <s v="Female"/>
    <n v="39"/>
    <s v="High"/>
    <s v="Low"/>
    <s v="Laboratory Technician"/>
    <s v="Excellent"/>
    <s v="Divorced"/>
    <n v="2835"/>
    <n v="2561"/>
    <s v="Low"/>
    <n v="5"/>
    <x v="1"/>
    <n v="22"/>
    <s v="Excellent"/>
    <s v="Low"/>
    <n v="1"/>
    <n v="7"/>
    <n v="2"/>
    <n v="3"/>
    <n v="1"/>
    <n v="0"/>
    <n v="0"/>
    <n v="0"/>
  </r>
  <r>
    <n v="120"/>
    <n v="43"/>
    <s v="36-45"/>
    <x v="1"/>
    <s v="Travel_Frequently"/>
    <n v="1389"/>
    <x v="0"/>
    <n v="26"/>
    <s v="Good"/>
    <s v="Life Sciences"/>
    <s v="High"/>
    <s v="Male"/>
    <n v="92"/>
    <s v="High"/>
    <s v="Excellent"/>
    <s v="Manager"/>
    <s v="Excellent"/>
    <s v="Married"/>
    <n v="16959"/>
    <n v="19494"/>
    <s v="High"/>
    <n v="1"/>
    <x v="0"/>
    <n v="12"/>
    <s v="High"/>
    <s v="Excellent"/>
    <n v="2"/>
    <n v="25"/>
    <n v="3"/>
    <n v="4"/>
    <n v="25"/>
    <n v="12"/>
    <n v="4"/>
    <n v="12"/>
  </r>
  <r>
    <n v="121"/>
    <n v="30"/>
    <s v="26-35"/>
    <x v="1"/>
    <s v="Travel_Frequently"/>
    <n v="1389"/>
    <x v="1"/>
    <n v="23"/>
    <s v="Medium"/>
    <s v="Life Sciences"/>
    <s v="Low"/>
    <s v="Male"/>
    <n v="96"/>
    <s v="Low"/>
    <s v="Low"/>
    <s v="Research Scientist"/>
    <s v="High"/>
    <s v="Divorced"/>
    <n v="2613"/>
    <n v="22310"/>
    <s v="Low"/>
    <n v="1"/>
    <x v="1"/>
    <n v="25"/>
    <s v="Excellent"/>
    <s v="High"/>
    <n v="3"/>
    <n v="10"/>
    <n v="2"/>
    <n v="2"/>
    <n v="10"/>
    <n v="7"/>
    <n v="0"/>
    <n v="9"/>
  </r>
  <r>
    <n v="122"/>
    <n v="33"/>
    <s v="26-35"/>
    <x v="1"/>
    <s v="Non-Travel"/>
    <n v="1389"/>
    <x v="0"/>
    <n v="22"/>
    <s v="Good"/>
    <s v="Marketing"/>
    <s v="High"/>
    <s v="Male"/>
    <n v="95"/>
    <s v="High"/>
    <s v="Medium"/>
    <s v="Sales Executive"/>
    <s v="Medium"/>
    <s v="Married"/>
    <n v="6146"/>
    <n v="15480"/>
    <s v="Medium"/>
    <n v="0"/>
    <x v="1"/>
    <n v="13"/>
    <s v="High"/>
    <s v="Low"/>
    <n v="1"/>
    <n v="8"/>
    <n v="2"/>
    <n v="4"/>
    <n v="7"/>
    <n v="7"/>
    <n v="0"/>
    <n v="7"/>
  </r>
  <r>
    <n v="123"/>
    <n v="56"/>
    <s v="55+"/>
    <x v="0"/>
    <s v="Travel_Rarely"/>
    <n v="1389"/>
    <x v="1"/>
    <n v="14"/>
    <s v="High"/>
    <s v="Life Sciences"/>
    <s v="Medium"/>
    <s v="Female"/>
    <n v="72"/>
    <s v="High"/>
    <s v="Low"/>
    <s v="Research Scientist"/>
    <s v="Medium"/>
    <s v="Married"/>
    <n v="4963"/>
    <n v="4510"/>
    <s v="Low"/>
    <n v="9"/>
    <x v="0"/>
    <n v="18"/>
    <s v="High"/>
    <s v="Low"/>
    <n v="3"/>
    <n v="7"/>
    <n v="2"/>
    <n v="3"/>
    <n v="5"/>
    <n v="4"/>
    <n v="4"/>
    <n v="3"/>
  </r>
  <r>
    <n v="124"/>
    <n v="51"/>
    <s v="46-55"/>
    <x v="1"/>
    <s v="Travel_Rarely"/>
    <n v="1389"/>
    <x v="1"/>
    <n v="6"/>
    <s v="Medium"/>
    <s v="Life Sciences"/>
    <s v="Low"/>
    <s v="Male"/>
    <n v="51"/>
    <s v="High"/>
    <e v="#N/A"/>
    <s v="Research Director"/>
    <s v="High"/>
    <s v="Single"/>
    <n v="19537"/>
    <n v="6462"/>
    <s v="High"/>
    <n v="7"/>
    <x v="1"/>
    <n v="13"/>
    <s v="High"/>
    <s v="High"/>
    <n v="0"/>
    <n v="23"/>
    <n v="5"/>
    <n v="3"/>
    <n v="20"/>
    <n v="18"/>
    <n v="15"/>
    <n v="15"/>
  </r>
  <r>
    <n v="125"/>
    <n v="31"/>
    <s v="26-35"/>
    <x v="0"/>
    <s v="Travel_Rarely"/>
    <n v="1389"/>
    <x v="0"/>
    <n v="6"/>
    <s v="High"/>
    <s v="Life Sciences"/>
    <s v="Medium"/>
    <s v="Male"/>
    <n v="76"/>
    <s v="Low"/>
    <s v="Medium"/>
    <s v="Sales Executive"/>
    <s v="High"/>
    <s v="Married"/>
    <n v="6172"/>
    <n v="20739"/>
    <s v="Medium"/>
    <n v="4"/>
    <x v="0"/>
    <n v="18"/>
    <s v="High"/>
    <s v="Medium"/>
    <n v="0"/>
    <n v="12"/>
    <n v="3"/>
    <n v="2"/>
    <n v="7"/>
    <n v="7"/>
    <n v="7"/>
    <n v="7"/>
  </r>
  <r>
    <n v="126"/>
    <n v="26"/>
    <s v="26-35"/>
    <x v="1"/>
    <s v="Travel_Rarely"/>
    <n v="1389"/>
    <x v="1"/>
    <n v="6"/>
    <s v="Medium"/>
    <s v="Other"/>
    <s v="High"/>
    <s v="Female"/>
    <n v="46"/>
    <s v="Medium"/>
    <s v="Low"/>
    <s v="Research Scientist"/>
    <s v="Medium"/>
    <s v="Married"/>
    <n v="2368"/>
    <n v="23300"/>
    <s v="Low"/>
    <n v="1"/>
    <x v="1"/>
    <n v="19"/>
    <s v="High"/>
    <s v="High"/>
    <n v="0"/>
    <n v="5"/>
    <n v="3"/>
    <n v="2"/>
    <n v="5"/>
    <n v="4"/>
    <n v="4"/>
    <n v="3"/>
  </r>
  <r>
    <n v="127"/>
    <n v="58"/>
    <s v="55+"/>
    <x v="0"/>
    <s v="Travel_Rarely"/>
    <n v="1389"/>
    <x v="1"/>
    <n v="23"/>
    <s v="High"/>
    <s v="Medical"/>
    <s v="Excellent"/>
    <s v="Female"/>
    <n v="94"/>
    <s v="High"/>
    <s v="High"/>
    <s v="Healthcare Representative"/>
    <s v="Excellent"/>
    <s v="Married"/>
    <n v="10312"/>
    <n v="3465"/>
    <s v="High"/>
    <n v="1"/>
    <x v="1"/>
    <n v="12"/>
    <s v="High"/>
    <s v="Excellent"/>
    <n v="1"/>
    <n v="40"/>
    <n v="3"/>
    <n v="2"/>
    <n v="40"/>
    <n v="10"/>
    <n v="15"/>
    <n v="6"/>
  </r>
  <r>
    <n v="128"/>
    <n v="19"/>
    <s v="18-25"/>
    <x v="0"/>
    <s v="Travel_Rarely"/>
    <n v="1389"/>
    <x v="0"/>
    <n v="22"/>
    <s v="Low"/>
    <s v="Marketing"/>
    <s v="Excellent"/>
    <s v="Male"/>
    <n v="50"/>
    <s v="High"/>
    <s v="Low"/>
    <s v="Sales Representative"/>
    <s v="High"/>
    <s v="Single"/>
    <n v="1675"/>
    <n v="26820"/>
    <s v="Low"/>
    <n v="1"/>
    <x v="0"/>
    <n v="19"/>
    <s v="High"/>
    <s v="Excellent"/>
    <n v="0"/>
    <n v="0"/>
    <n v="2"/>
    <n v="2"/>
    <n v="0"/>
    <n v="0"/>
    <n v="0"/>
    <n v="0"/>
  </r>
  <r>
    <n v="129"/>
    <n v="22"/>
    <s v="18-25"/>
    <x v="1"/>
    <s v="Travel_Rarely"/>
    <n v="1389"/>
    <x v="1"/>
    <n v="2"/>
    <s v="Low"/>
    <s v="Technical Degree"/>
    <s v="High"/>
    <s v="Male"/>
    <n v="100"/>
    <s v="High"/>
    <s v="Low"/>
    <s v="Laboratory Technician"/>
    <s v="Excellent"/>
    <s v="Married"/>
    <n v="2523"/>
    <n v="19299"/>
    <s v="Low"/>
    <n v="0"/>
    <x v="1"/>
    <n v="14"/>
    <s v="High"/>
    <s v="High"/>
    <n v="1"/>
    <n v="3"/>
    <n v="2"/>
    <n v="3"/>
    <n v="2"/>
    <n v="1"/>
    <n v="2"/>
    <n v="1"/>
  </r>
  <r>
    <n v="130"/>
    <n v="49"/>
    <s v="46-55"/>
    <x v="1"/>
    <s v="Travel_Rarely"/>
    <n v="1389"/>
    <x v="1"/>
    <n v="20"/>
    <s v="High"/>
    <s v="Medical"/>
    <s v="High"/>
    <s v="Female"/>
    <n v="96"/>
    <s v="High"/>
    <s v="Medium"/>
    <s v="Manufacturing Director"/>
    <s v="Low"/>
    <s v="Married"/>
    <n v="6567"/>
    <n v="5549"/>
    <s v="Medium"/>
    <n v="1"/>
    <x v="1"/>
    <n v="14"/>
    <s v="High"/>
    <s v="High"/>
    <n v="0"/>
    <n v="16"/>
    <n v="2"/>
    <n v="2"/>
    <n v="15"/>
    <n v="11"/>
    <n v="5"/>
    <n v="11"/>
  </r>
  <r>
    <n v="131"/>
    <n v="43"/>
    <s v="36-45"/>
    <x v="1"/>
    <s v="Travel_Frequently"/>
    <n v="1389"/>
    <x v="1"/>
    <n v="28"/>
    <s v="Medium"/>
    <s v="Medical"/>
    <s v="Medium"/>
    <s v="Female"/>
    <n v="72"/>
    <s v="Excellent"/>
    <s v="Low"/>
    <s v="Research Scientist"/>
    <s v="High"/>
    <s v="Single"/>
    <n v="4739"/>
    <n v="16090"/>
    <s v="Low"/>
    <n v="4"/>
    <x v="1"/>
    <n v="12"/>
    <s v="High"/>
    <s v="Excellent"/>
    <n v="0"/>
    <n v="18"/>
    <n v="2"/>
    <n v="3"/>
    <n v="3"/>
    <n v="2"/>
    <n v="1"/>
    <n v="2"/>
  </r>
  <r>
    <n v="132"/>
    <n v="50"/>
    <s v="46-55"/>
    <x v="1"/>
    <s v="Travel_Frequently"/>
    <n v="1389"/>
    <x v="0"/>
    <n v="12"/>
    <s v="Medium"/>
    <s v="Marketing"/>
    <s v="High"/>
    <s v="Female"/>
    <n v="77"/>
    <s v="High"/>
    <s v="High"/>
    <s v="Sales Executive"/>
    <s v="Excellent"/>
    <s v="Single"/>
    <n v="9208"/>
    <n v="6645"/>
    <s v="Medium"/>
    <n v="4"/>
    <x v="1"/>
    <n v="11"/>
    <s v="High"/>
    <s v="Excellent"/>
    <n v="0"/>
    <n v="16"/>
    <n v="3"/>
    <n v="3"/>
    <n v="2"/>
    <n v="2"/>
    <n v="2"/>
    <n v="1"/>
  </r>
  <r>
    <n v="133"/>
    <n v="31"/>
    <s v="26-35"/>
    <x v="0"/>
    <s v="Travel_Rarely"/>
    <n v="1389"/>
    <x v="0"/>
    <n v="20"/>
    <s v="Medium"/>
    <s v="Life Sciences"/>
    <s v="Medium"/>
    <s v="Female"/>
    <n v="71"/>
    <s v="Low"/>
    <s v="Medium"/>
    <s v="Sales Executive"/>
    <s v="High"/>
    <s v="Married"/>
    <n v="4559"/>
    <n v="24788"/>
    <s v="Low"/>
    <n v="3"/>
    <x v="0"/>
    <n v="11"/>
    <s v="High"/>
    <s v="High"/>
    <n v="1"/>
    <n v="4"/>
    <n v="2"/>
    <n v="3"/>
    <n v="2"/>
    <n v="2"/>
    <n v="2"/>
    <n v="2"/>
  </r>
  <r>
    <n v="134"/>
    <n v="41"/>
    <s v="36-45"/>
    <x v="1"/>
    <s v="Travel_Rarely"/>
    <n v="1389"/>
    <x v="0"/>
    <n v="9"/>
    <s v="Low"/>
    <s v="Life Sciences"/>
    <s v="High"/>
    <s v="Male"/>
    <n v="96"/>
    <s v="High"/>
    <s v="High"/>
    <s v="Sales Executive"/>
    <s v="High"/>
    <s v="Divorced"/>
    <n v="8189"/>
    <n v="21196"/>
    <s v="Medium"/>
    <n v="3"/>
    <x v="0"/>
    <n v="13"/>
    <s v="High"/>
    <s v="High"/>
    <n v="1"/>
    <n v="12"/>
    <n v="2"/>
    <n v="3"/>
    <n v="9"/>
    <n v="7"/>
    <n v="0"/>
    <n v="7"/>
  </r>
  <r>
    <n v="135"/>
    <n v="26"/>
    <s v="26-35"/>
    <x v="1"/>
    <s v="Travel_Rarely"/>
    <n v="1389"/>
    <x v="2"/>
    <n v="25"/>
    <s v="Low"/>
    <s v="Life Sciences"/>
    <s v="High"/>
    <s v="Female"/>
    <n v="61"/>
    <s v="High"/>
    <s v="Low"/>
    <s v="Human Resources"/>
    <s v="High"/>
    <s v="Married"/>
    <n v="2942"/>
    <n v="8916"/>
    <s v="Low"/>
    <n v="1"/>
    <x v="1"/>
    <n v="23"/>
    <s v="Excellent"/>
    <s v="Excellent"/>
    <n v="1"/>
    <n v="8"/>
    <n v="3"/>
    <n v="3"/>
    <n v="8"/>
    <n v="7"/>
    <n v="5"/>
    <n v="7"/>
  </r>
  <r>
    <n v="136"/>
    <n v="36"/>
    <s v="36-45"/>
    <x v="1"/>
    <s v="Travel_Rarely"/>
    <n v="1389"/>
    <x v="1"/>
    <n v="6"/>
    <s v="Good"/>
    <s v="Medical"/>
    <s v="Medium"/>
    <s v="Male"/>
    <n v="84"/>
    <s v="High"/>
    <s v="Medium"/>
    <s v="Manufacturing Director"/>
    <s v="Medium"/>
    <s v="Divorced"/>
    <n v="4941"/>
    <n v="2819"/>
    <s v="Low"/>
    <n v="6"/>
    <x v="1"/>
    <n v="20"/>
    <s v="Excellent"/>
    <s v="Excellent"/>
    <n v="2"/>
    <n v="7"/>
    <n v="0"/>
    <n v="3"/>
    <n v="3"/>
    <n v="2"/>
    <n v="0"/>
    <n v="1"/>
  </r>
  <r>
    <n v="137"/>
    <n v="51"/>
    <s v="46-55"/>
    <x v="0"/>
    <s v="Travel_Frequently"/>
    <n v="1389"/>
    <x v="1"/>
    <n v="8"/>
    <s v="High"/>
    <s v="Life Sciences"/>
    <s v="Low"/>
    <s v="Male"/>
    <n v="53"/>
    <s v="Low"/>
    <s v="High"/>
    <s v="Manufacturing Director"/>
    <s v="Excellent"/>
    <s v="Single"/>
    <n v="10650"/>
    <n v="25150"/>
    <s v="High"/>
    <n v="2"/>
    <x v="1"/>
    <n v="15"/>
    <s v="High"/>
    <s v="Excellent"/>
    <n v="0"/>
    <n v="18"/>
    <n v="2"/>
    <n v="3"/>
    <n v="4"/>
    <n v="2"/>
    <n v="0"/>
    <n v="3"/>
  </r>
  <r>
    <n v="138"/>
    <n v="39"/>
    <s v="36-45"/>
    <x v="1"/>
    <s v="Travel_Rarely"/>
    <n v="1389"/>
    <x v="0"/>
    <n v="4"/>
    <s v="High"/>
    <s v="Life Sciences"/>
    <s v="Excellent"/>
    <s v="Female"/>
    <n v="47"/>
    <s v="Medium"/>
    <s v="Medium"/>
    <s v="Sales Executive"/>
    <s v="High"/>
    <s v="Married"/>
    <n v="5902"/>
    <n v="14590"/>
    <s v="Medium"/>
    <n v="4"/>
    <x v="1"/>
    <n v="14"/>
    <s v="High"/>
    <s v="High"/>
    <n v="1"/>
    <n v="17"/>
    <n v="1"/>
    <n v="4"/>
    <n v="15"/>
    <n v="11"/>
    <n v="5"/>
    <n v="9"/>
  </r>
  <r>
    <n v="139"/>
    <n v="25"/>
    <s v="18-25"/>
    <x v="1"/>
    <s v="Travel_Rarely"/>
    <n v="1389"/>
    <x v="0"/>
    <n v="28"/>
    <s v="Medium"/>
    <s v="Life Sciences"/>
    <s v="Low"/>
    <s v="Male"/>
    <n v="41"/>
    <s v="Medium"/>
    <s v="Medium"/>
    <s v="Sales Executive"/>
    <s v="High"/>
    <s v="Married"/>
    <n v="8639"/>
    <n v="24835"/>
    <s v="Medium"/>
    <n v="2"/>
    <x v="1"/>
    <n v="18"/>
    <s v="High"/>
    <s v="Excellent"/>
    <n v="0"/>
    <n v="6"/>
    <n v="3"/>
    <n v="3"/>
    <n v="2"/>
    <n v="2"/>
    <n v="2"/>
    <n v="2"/>
  </r>
  <r>
    <n v="140"/>
    <n v="30"/>
    <s v="26-35"/>
    <x v="1"/>
    <s v="Travel_Rarely"/>
    <n v="1389"/>
    <x v="2"/>
    <n v="9"/>
    <s v="Medium"/>
    <s v="Human Resources"/>
    <s v="High"/>
    <s v="Male"/>
    <n v="48"/>
    <s v="High"/>
    <s v="Medium"/>
    <s v="Human Resources"/>
    <s v="Excellent"/>
    <s v="Married"/>
    <n v="6347"/>
    <n v="13982"/>
    <s v="Medium"/>
    <n v="0"/>
    <x v="0"/>
    <n v="19"/>
    <s v="High"/>
    <s v="Excellent"/>
    <n v="0"/>
    <n v="12"/>
    <n v="2"/>
    <n v="1"/>
    <n v="11"/>
    <n v="9"/>
    <n v="4"/>
    <n v="7"/>
  </r>
  <r>
    <n v="141"/>
    <n v="32"/>
    <s v="26-35"/>
    <x v="0"/>
    <s v="Travel_Rarely"/>
    <n v="1389"/>
    <x v="1"/>
    <n v="9"/>
    <s v="Medium"/>
    <s v="Medical"/>
    <s v="Low"/>
    <s v="Female"/>
    <n v="41"/>
    <s v="High"/>
    <s v="Low"/>
    <s v="Laboratory Technician"/>
    <s v="Low"/>
    <s v="Single"/>
    <n v="4200"/>
    <n v="10224"/>
    <s v="Low"/>
    <n v="7"/>
    <x v="1"/>
    <n v="22"/>
    <s v="Excellent"/>
    <s v="Low"/>
    <n v="0"/>
    <n v="10"/>
    <n v="2"/>
    <n v="4"/>
    <n v="5"/>
    <n v="4"/>
    <n v="0"/>
    <n v="4"/>
  </r>
  <r>
    <n v="142"/>
    <n v="45"/>
    <s v="36-45"/>
    <x v="1"/>
    <s v="Travel_Rarely"/>
    <n v="1389"/>
    <x v="1"/>
    <n v="29"/>
    <s v="Medium"/>
    <s v="Medical"/>
    <s v="High"/>
    <s v="Male"/>
    <n v="83"/>
    <s v="High"/>
    <s v="Low"/>
    <s v="Research Scientist"/>
    <s v="Excellent"/>
    <s v="Single"/>
    <n v="3452"/>
    <n v="9752"/>
    <s v="Low"/>
    <n v="5"/>
    <x v="1"/>
    <n v="13"/>
    <s v="High"/>
    <s v="Medium"/>
    <n v="0"/>
    <n v="9"/>
    <n v="2"/>
    <n v="2"/>
    <n v="6"/>
    <n v="5"/>
    <n v="0"/>
    <n v="3"/>
  </r>
  <r>
    <n v="143"/>
    <n v="38"/>
    <s v="36-45"/>
    <x v="1"/>
    <s v="Travel_Rarely"/>
    <n v="1389"/>
    <x v="1"/>
    <n v="3"/>
    <s v="Excellent"/>
    <s v="Technical Degree"/>
    <s v="Excellent"/>
    <s v="Female"/>
    <n v="32"/>
    <s v="High"/>
    <s v="Medium"/>
    <s v="Research Scientist"/>
    <s v="High"/>
    <s v="Single"/>
    <n v="4317"/>
    <n v="2302"/>
    <s v="Low"/>
    <n v="3"/>
    <x v="0"/>
    <n v="20"/>
    <s v="Excellent"/>
    <s v="Medium"/>
    <n v="0"/>
    <n v="19"/>
    <n v="2"/>
    <n v="3"/>
    <n v="3"/>
    <n v="2"/>
    <n v="2"/>
    <n v="2"/>
  </r>
  <r>
    <n v="144"/>
    <n v="30"/>
    <s v="26-35"/>
    <x v="1"/>
    <s v="Travel_Rarely"/>
    <n v="1389"/>
    <x v="1"/>
    <n v="18"/>
    <s v="Medium"/>
    <s v="Life Sciences"/>
    <s v="Low"/>
    <s v="Female"/>
    <n v="75"/>
    <s v="High"/>
    <s v="Low"/>
    <s v="Research Scientist"/>
    <s v="High"/>
    <s v="Single"/>
    <n v="2632"/>
    <n v="23910"/>
    <s v="Low"/>
    <n v="1"/>
    <x v="1"/>
    <n v="14"/>
    <s v="High"/>
    <s v="High"/>
    <n v="0"/>
    <n v="5"/>
    <n v="4"/>
    <n v="2"/>
    <n v="5"/>
    <n v="4"/>
    <n v="0"/>
    <n v="4"/>
  </r>
  <r>
    <n v="145"/>
    <n v="32"/>
    <s v="26-35"/>
    <x v="1"/>
    <s v="Travel_Frequently"/>
    <n v="1389"/>
    <x v="0"/>
    <n v="9"/>
    <s v="Good"/>
    <s v="Medical"/>
    <s v="Excellent"/>
    <s v="Male"/>
    <n v="35"/>
    <s v="Low"/>
    <s v="Medium"/>
    <s v="Sales Executive"/>
    <s v="Excellent"/>
    <s v="Divorced"/>
    <n v="4668"/>
    <n v="22812"/>
    <s v="Low"/>
    <n v="0"/>
    <x v="1"/>
    <n v="17"/>
    <s v="High"/>
    <s v="Excellent"/>
    <n v="3"/>
    <n v="9"/>
    <n v="2"/>
    <n v="4"/>
    <n v="8"/>
    <n v="7"/>
    <n v="0"/>
    <n v="7"/>
  </r>
  <r>
    <n v="146"/>
    <n v="30"/>
    <s v="26-35"/>
    <x v="1"/>
    <s v="Travel_Rarely"/>
    <n v="1389"/>
    <x v="1"/>
    <n v="5"/>
    <s v="Medium"/>
    <s v="Technical Degree"/>
    <s v="Excellent"/>
    <s v="Female"/>
    <n v="84"/>
    <s v="High"/>
    <s v="Low"/>
    <s v="Research Scientist"/>
    <s v="Low"/>
    <s v="Divorced"/>
    <n v="3204"/>
    <n v="10415"/>
    <s v="Low"/>
    <n v="5"/>
    <x v="1"/>
    <n v="14"/>
    <s v="High"/>
    <s v="Excellent"/>
    <n v="1"/>
    <n v="8"/>
    <n v="3"/>
    <n v="3"/>
    <n v="3"/>
    <n v="2"/>
    <n v="2"/>
    <n v="2"/>
  </r>
  <r>
    <n v="147"/>
    <n v="30"/>
    <s v="26-35"/>
    <x v="1"/>
    <s v="Travel_Rarely"/>
    <n v="1389"/>
    <x v="1"/>
    <n v="2"/>
    <s v="Low"/>
    <s v="Medical"/>
    <s v="Medium"/>
    <s v="Male"/>
    <n v="35"/>
    <s v="Medium"/>
    <s v="Low"/>
    <s v="Laboratory Technician"/>
    <s v="Excellent"/>
    <s v="Single"/>
    <n v="2720"/>
    <n v="11162"/>
    <s v="Low"/>
    <n v="0"/>
    <x v="1"/>
    <n v="13"/>
    <s v="High"/>
    <s v="Excellent"/>
    <n v="0"/>
    <n v="6"/>
    <n v="3"/>
    <n v="3"/>
    <n v="5"/>
    <n v="3"/>
    <n v="1"/>
    <n v="2"/>
  </r>
  <r>
    <n v="148"/>
    <n v="41"/>
    <s v="36-45"/>
    <x v="1"/>
    <s v="Travel_Frequently"/>
    <n v="1389"/>
    <x v="1"/>
    <n v="10"/>
    <s v="Medium"/>
    <s v="Life Sciences"/>
    <s v="Excellent"/>
    <s v="Male"/>
    <n v="91"/>
    <s v="Medium"/>
    <s v="Excellent"/>
    <s v="Manager"/>
    <s v="Low"/>
    <s v="Divorced"/>
    <n v="17181"/>
    <n v="12888"/>
    <s v="High"/>
    <n v="4"/>
    <x v="1"/>
    <n v="13"/>
    <s v="High"/>
    <s v="Medium"/>
    <n v="1"/>
    <n v="21"/>
    <n v="2"/>
    <n v="2"/>
    <n v="7"/>
    <n v="6"/>
    <n v="7"/>
    <n v="7"/>
  </r>
  <r>
    <n v="149"/>
    <n v="41"/>
    <s v="36-45"/>
    <x v="1"/>
    <s v="Travel_Rarely"/>
    <n v="1389"/>
    <x v="1"/>
    <n v="9"/>
    <s v="High"/>
    <s v="Life Sciences"/>
    <s v="High"/>
    <s v="Male"/>
    <n v="94"/>
    <s v="High"/>
    <s v="Low"/>
    <s v="Laboratory Technician"/>
    <s v="Low"/>
    <s v="Married"/>
    <n v="2238"/>
    <n v="6961"/>
    <s v="Low"/>
    <n v="2"/>
    <x v="1"/>
    <n v="21"/>
    <s v="Excellent"/>
    <s v="Excellent"/>
    <n v="1"/>
    <n v="7"/>
    <n v="2"/>
    <n v="3"/>
    <n v="5"/>
    <n v="0"/>
    <n v="1"/>
    <n v="4"/>
  </r>
  <r>
    <n v="150"/>
    <n v="19"/>
    <s v="18-25"/>
    <x v="1"/>
    <s v="Travel_Rarely"/>
    <n v="1389"/>
    <x v="1"/>
    <n v="3"/>
    <s v="Low"/>
    <s v="Medical"/>
    <s v="Medium"/>
    <s v="Female"/>
    <n v="79"/>
    <s v="High"/>
    <s v="Low"/>
    <s v="Laboratory Technician"/>
    <s v="Medium"/>
    <s v="Single"/>
    <n v="1483"/>
    <n v="16102"/>
    <s v="Low"/>
    <n v="1"/>
    <x v="1"/>
    <n v="14"/>
    <s v="High"/>
    <s v="Excellent"/>
    <n v="0"/>
    <n v="1"/>
    <n v="3"/>
    <n v="3"/>
    <n v="1"/>
    <n v="0"/>
    <n v="0"/>
    <n v="0"/>
  </r>
  <r>
    <n v="151"/>
    <n v="40"/>
    <s v="36-45"/>
    <x v="1"/>
    <s v="Travel_Frequently"/>
    <n v="1389"/>
    <x v="1"/>
    <n v="26"/>
    <s v="Medium"/>
    <s v="Medical"/>
    <s v="Medium"/>
    <s v="Female"/>
    <n v="54"/>
    <s v="High"/>
    <s v="Medium"/>
    <s v="Research Scientist"/>
    <s v="Medium"/>
    <s v="Divorced"/>
    <n v="5605"/>
    <n v="8504"/>
    <s v="Medium"/>
    <n v="1"/>
    <x v="1"/>
    <n v="11"/>
    <s v="High"/>
    <s v="Low"/>
    <n v="1"/>
    <n v="20"/>
    <n v="2"/>
    <n v="3"/>
    <n v="20"/>
    <n v="7"/>
    <n v="2"/>
    <n v="13"/>
  </r>
  <r>
    <n v="152"/>
    <n v="35"/>
    <s v="26-35"/>
    <x v="1"/>
    <s v="Travel_Rarely"/>
    <n v="1389"/>
    <x v="0"/>
    <n v="1"/>
    <s v="Excellent"/>
    <s v="Marketing"/>
    <s v="High"/>
    <s v="Male"/>
    <n v="94"/>
    <s v="High"/>
    <s v="High"/>
    <s v="Sales Executive"/>
    <s v="Medium"/>
    <s v="Married"/>
    <n v="7295"/>
    <n v="11439"/>
    <s v="Medium"/>
    <n v="1"/>
    <x v="1"/>
    <n v="13"/>
    <s v="High"/>
    <s v="Low"/>
    <n v="2"/>
    <n v="10"/>
    <n v="3"/>
    <n v="3"/>
    <n v="10"/>
    <n v="8"/>
    <n v="0"/>
    <n v="6"/>
  </r>
  <r>
    <n v="153"/>
    <n v="53"/>
    <s v="46-55"/>
    <x v="1"/>
    <s v="Travel_Rarely"/>
    <n v="1389"/>
    <x v="0"/>
    <n v="6"/>
    <s v="Good"/>
    <s v="Marketing"/>
    <s v="Medium"/>
    <s v="Male"/>
    <n v="34"/>
    <s v="High"/>
    <s v="Medium"/>
    <s v="Sales Representative"/>
    <s v="High"/>
    <s v="Married"/>
    <n v="2306"/>
    <n v="16047"/>
    <s v="Low"/>
    <n v="2"/>
    <x v="0"/>
    <n v="20"/>
    <s v="Excellent"/>
    <s v="Excellent"/>
    <n v="1"/>
    <n v="13"/>
    <n v="3"/>
    <n v="1"/>
    <n v="7"/>
    <n v="7"/>
    <n v="4"/>
    <n v="5"/>
  </r>
  <r>
    <n v="154"/>
    <n v="45"/>
    <s v="36-45"/>
    <x v="1"/>
    <s v="Travel_Rarely"/>
    <n v="1389"/>
    <x v="1"/>
    <n v="9"/>
    <s v="Medium"/>
    <s v="Life Sciences"/>
    <s v="Medium"/>
    <s v="Male"/>
    <n v="60"/>
    <s v="High"/>
    <s v="Medium"/>
    <s v="Laboratory Technician"/>
    <s v="Medium"/>
    <s v="Divorced"/>
    <n v="2348"/>
    <n v="10901"/>
    <s v="Low"/>
    <n v="8"/>
    <x v="1"/>
    <n v="18"/>
    <s v="High"/>
    <s v="High"/>
    <n v="1"/>
    <n v="20"/>
    <n v="2"/>
    <n v="1"/>
    <n v="17"/>
    <n v="9"/>
    <n v="0"/>
    <n v="15"/>
  </r>
  <r>
    <n v="155"/>
    <n v="32"/>
    <s v="26-35"/>
    <x v="1"/>
    <s v="Travel_Frequently"/>
    <n v="1389"/>
    <x v="0"/>
    <n v="8"/>
    <s v="Medium"/>
    <s v="Marketing"/>
    <s v="Medium"/>
    <s v="Female"/>
    <n v="43"/>
    <s v="High"/>
    <s v="High"/>
    <s v="Sales Executive"/>
    <s v="Excellent"/>
    <s v="Single"/>
    <n v="8998"/>
    <n v="15589"/>
    <s v="Medium"/>
    <n v="1"/>
    <x v="1"/>
    <n v="14"/>
    <s v="High"/>
    <s v="Excellent"/>
    <n v="0"/>
    <n v="9"/>
    <n v="2"/>
    <n v="3"/>
    <n v="9"/>
    <n v="8"/>
    <n v="3"/>
    <n v="7"/>
  </r>
  <r>
    <n v="156"/>
    <n v="29"/>
    <s v="26-35"/>
    <x v="1"/>
    <s v="Non-Travel"/>
    <n v="1389"/>
    <x v="1"/>
    <n v="1"/>
    <s v="Low"/>
    <s v="Technical Degree"/>
    <s v="Excellent"/>
    <s v="Male"/>
    <n v="41"/>
    <s v="High"/>
    <s v="Medium"/>
    <s v="Manufacturing Director"/>
    <s v="High"/>
    <s v="Married"/>
    <n v="4319"/>
    <n v="26283"/>
    <s v="Low"/>
    <n v="1"/>
    <x v="1"/>
    <n v="13"/>
    <s v="High"/>
    <s v="Low"/>
    <n v="1"/>
    <n v="10"/>
    <n v="1"/>
    <n v="3"/>
    <n v="10"/>
    <n v="7"/>
    <n v="0"/>
    <n v="9"/>
  </r>
  <r>
    <n v="157"/>
    <n v="51"/>
    <s v="46-55"/>
    <x v="1"/>
    <s v="Travel_Rarely"/>
    <n v="1389"/>
    <x v="1"/>
    <n v="7"/>
    <s v="High"/>
    <s v="Medical"/>
    <s v="Medium"/>
    <s v="Male"/>
    <n v="34"/>
    <s v="Medium"/>
    <s v="Medium"/>
    <s v="Manufacturing Director"/>
    <s v="High"/>
    <s v="Married"/>
    <n v="6132"/>
    <n v="13983"/>
    <s v="Medium"/>
    <n v="2"/>
    <x v="1"/>
    <n v="17"/>
    <s v="High"/>
    <s v="High"/>
    <n v="0"/>
    <n v="10"/>
    <n v="2"/>
    <n v="3"/>
    <n v="1"/>
    <n v="0"/>
    <n v="0"/>
    <n v="0"/>
  </r>
  <r>
    <n v="158"/>
    <n v="58"/>
    <s v="55+"/>
    <x v="1"/>
    <s v="Travel_Rarely"/>
    <n v="1389"/>
    <x v="1"/>
    <n v="9"/>
    <s v="Medium"/>
    <s v="Medical"/>
    <s v="Medium"/>
    <s v="Female"/>
    <n v="75"/>
    <s v="Medium"/>
    <s v="Low"/>
    <s v="Research Scientist"/>
    <s v="Medium"/>
    <s v="Married"/>
    <n v="3346"/>
    <n v="11873"/>
    <s v="Low"/>
    <n v="4"/>
    <x v="0"/>
    <n v="20"/>
    <s v="Excellent"/>
    <s v="Medium"/>
    <n v="1"/>
    <n v="9"/>
    <n v="3"/>
    <n v="2"/>
    <n v="1"/>
    <n v="0"/>
    <n v="0"/>
    <n v="0"/>
  </r>
  <r>
    <n v="159"/>
    <n v="40"/>
    <s v="36-45"/>
    <x v="1"/>
    <s v="Travel_Rarely"/>
    <n v="1389"/>
    <x v="0"/>
    <n v="4"/>
    <s v="High"/>
    <s v="Marketing"/>
    <s v="High"/>
    <s v="Male"/>
    <n v="67"/>
    <s v="Medium"/>
    <s v="High"/>
    <s v="Sales Executive"/>
    <s v="Excellent"/>
    <s v="Married"/>
    <n v="10855"/>
    <n v="8552"/>
    <s v="High"/>
    <n v="7"/>
    <x v="1"/>
    <n v="11"/>
    <s v="High"/>
    <s v="Low"/>
    <n v="1"/>
    <n v="15"/>
    <n v="2"/>
    <n v="2"/>
    <n v="12"/>
    <n v="11"/>
    <n v="2"/>
    <n v="11"/>
  </r>
  <r>
    <n v="160"/>
    <n v="34"/>
    <s v="26-35"/>
    <x v="1"/>
    <s v="Travel_Frequently"/>
    <n v="1389"/>
    <x v="0"/>
    <n v="2"/>
    <s v="High"/>
    <s v="Marketing"/>
    <s v="High"/>
    <s v="Female"/>
    <n v="75"/>
    <s v="High"/>
    <s v="Low"/>
    <s v="Sales Representative"/>
    <s v="High"/>
    <s v="Married"/>
    <n v="2231"/>
    <n v="11314"/>
    <s v="Low"/>
    <n v="6"/>
    <x v="1"/>
    <n v="18"/>
    <s v="High"/>
    <s v="Excellent"/>
    <n v="1"/>
    <n v="6"/>
    <n v="3"/>
    <n v="3"/>
    <n v="4"/>
    <n v="3"/>
    <n v="1"/>
    <n v="2"/>
  </r>
  <r>
    <n v="161"/>
    <n v="22"/>
    <s v="18-25"/>
    <x v="1"/>
    <s v="Travel_Rarely"/>
    <n v="1389"/>
    <x v="1"/>
    <n v="19"/>
    <s v="Low"/>
    <s v="Medical"/>
    <s v="High"/>
    <s v="Male"/>
    <n v="80"/>
    <s v="High"/>
    <s v="Low"/>
    <s v="Research Scientist"/>
    <s v="Excellent"/>
    <s v="Married"/>
    <n v="2323"/>
    <n v="11992"/>
    <s v="Low"/>
    <n v="1"/>
    <x v="1"/>
    <n v="24"/>
    <s v="Excellent"/>
    <s v="Low"/>
    <n v="2"/>
    <n v="2"/>
    <n v="6"/>
    <n v="3"/>
    <n v="2"/>
    <n v="2"/>
    <n v="2"/>
    <n v="2"/>
  </r>
  <r>
    <n v="162"/>
    <n v="27"/>
    <s v="26-35"/>
    <x v="1"/>
    <s v="Non-Travel"/>
    <n v="1389"/>
    <x v="1"/>
    <n v="9"/>
    <s v="Medium"/>
    <s v="Medical"/>
    <s v="Excellent"/>
    <s v="Male"/>
    <n v="57"/>
    <s v="High"/>
    <s v="Low"/>
    <s v="Research Scientist"/>
    <s v="Medium"/>
    <s v="Divorced"/>
    <n v="2024"/>
    <n v="5970"/>
    <s v="Low"/>
    <n v="6"/>
    <x v="1"/>
    <n v="18"/>
    <s v="High"/>
    <s v="Excellent"/>
    <n v="1"/>
    <n v="6"/>
    <n v="1"/>
    <n v="1"/>
    <n v="2"/>
    <n v="2"/>
    <n v="2"/>
    <n v="2"/>
  </r>
  <r>
    <n v="163"/>
    <n v="28"/>
    <s v="26-35"/>
    <x v="1"/>
    <s v="Travel_Rarely"/>
    <n v="1389"/>
    <x v="1"/>
    <n v="21"/>
    <s v="Medium"/>
    <s v="Medical"/>
    <s v="High"/>
    <s v="Male"/>
    <n v="42"/>
    <s v="High"/>
    <s v="Low"/>
    <s v="Research Scientist"/>
    <s v="Excellent"/>
    <s v="Married"/>
    <n v="2713"/>
    <n v="6672"/>
    <s v="Low"/>
    <n v="1"/>
    <x v="1"/>
    <n v="11"/>
    <s v="High"/>
    <s v="High"/>
    <n v="1"/>
    <n v="5"/>
    <n v="2"/>
    <n v="1"/>
    <n v="5"/>
    <n v="2"/>
    <n v="0"/>
    <n v="2"/>
  </r>
  <r>
    <n v="164"/>
    <n v="57"/>
    <s v="55+"/>
    <x v="1"/>
    <s v="Travel_Rarely"/>
    <n v="1389"/>
    <x v="1"/>
    <n v="24"/>
    <s v="Good"/>
    <s v="Life Sciences"/>
    <s v="High"/>
    <s v="Male"/>
    <n v="83"/>
    <s v="Excellent"/>
    <s v="High"/>
    <s v="Healthcare Representative"/>
    <s v="Excellent"/>
    <s v="Divorced"/>
    <n v="9439"/>
    <n v="23402"/>
    <s v="Medium"/>
    <n v="3"/>
    <x v="0"/>
    <n v="16"/>
    <s v="High"/>
    <s v="Medium"/>
    <n v="1"/>
    <n v="12"/>
    <n v="2"/>
    <n v="1"/>
    <n v="5"/>
    <n v="3"/>
    <n v="1"/>
    <n v="4"/>
  </r>
  <r>
    <n v="165"/>
    <n v="27"/>
    <s v="26-35"/>
    <x v="1"/>
    <s v="Non-Travel"/>
    <n v="1389"/>
    <x v="1"/>
    <n v="3"/>
    <s v="Medium"/>
    <s v="Medical"/>
    <s v="High"/>
    <s v="Male"/>
    <n v="79"/>
    <s v="Medium"/>
    <s v="Low"/>
    <s v="Research Scientist"/>
    <s v="High"/>
    <s v="Divorced"/>
    <n v="2566"/>
    <n v="25326"/>
    <s v="Low"/>
    <n v="1"/>
    <x v="0"/>
    <n v="15"/>
    <s v="High"/>
    <s v="Excellent"/>
    <n v="1"/>
    <n v="1"/>
    <n v="2"/>
    <n v="2"/>
    <n v="1"/>
    <n v="1"/>
    <n v="0"/>
    <n v="1"/>
  </r>
  <r>
    <n v="166"/>
    <n v="50"/>
    <s v="46-55"/>
    <x v="1"/>
    <s v="Travel_Rarely"/>
    <n v="1389"/>
    <x v="1"/>
    <n v="11"/>
    <s v="Medium"/>
    <s v="Life Sciences"/>
    <s v="High"/>
    <s v="Female"/>
    <n v="53"/>
    <s v="High"/>
    <e v="#N/A"/>
    <s v="Manager"/>
    <s v="Medium"/>
    <s v="Single"/>
    <n v="19926"/>
    <n v="17053"/>
    <s v="High"/>
    <n v="3"/>
    <x v="1"/>
    <n v="15"/>
    <s v="High"/>
    <s v="Medium"/>
    <n v="0"/>
    <n v="21"/>
    <n v="5"/>
    <n v="3"/>
    <n v="5"/>
    <n v="4"/>
    <n v="4"/>
    <n v="4"/>
  </r>
  <r>
    <n v="167"/>
    <n v="41"/>
    <s v="36-45"/>
    <x v="1"/>
    <s v="Travel_Rarely"/>
    <n v="1389"/>
    <x v="1"/>
    <n v="14"/>
    <s v="Medium"/>
    <s v="Life Sciences"/>
    <s v="Low"/>
    <s v="Male"/>
    <n v="56"/>
    <s v="High"/>
    <s v="Low"/>
    <s v="Research Scientist"/>
    <s v="High"/>
    <s v="Divorced"/>
    <n v="2451"/>
    <n v="4609"/>
    <s v="Low"/>
    <n v="4"/>
    <x v="1"/>
    <n v="12"/>
    <s v="High"/>
    <s v="Low"/>
    <n v="1"/>
    <n v="13"/>
    <n v="2"/>
    <n v="3"/>
    <n v="9"/>
    <n v="8"/>
    <n v="1"/>
    <n v="8"/>
  </r>
  <r>
    <n v="168"/>
    <n v="30"/>
    <s v="26-35"/>
    <x v="1"/>
    <s v="Travel_Rarely"/>
    <n v="1389"/>
    <x v="0"/>
    <n v="5"/>
    <s v="Medium"/>
    <s v="Life Sciences"/>
    <s v="Medium"/>
    <s v="Female"/>
    <n v="41"/>
    <s v="High"/>
    <s v="High"/>
    <s v="Sales Executive"/>
    <s v="Excellent"/>
    <s v="Married"/>
    <n v="9419"/>
    <n v="8053"/>
    <s v="Medium"/>
    <n v="2"/>
    <x v="1"/>
    <n v="12"/>
    <s v="High"/>
    <s v="High"/>
    <n v="1"/>
    <n v="12"/>
    <n v="2"/>
    <n v="3"/>
    <n v="10"/>
    <n v="9"/>
    <n v="7"/>
    <n v="4"/>
  </r>
  <r>
    <n v="169"/>
    <n v="38"/>
    <s v="36-45"/>
    <x v="1"/>
    <s v="Travel_Rarely"/>
    <n v="1389"/>
    <x v="0"/>
    <n v="1"/>
    <s v="High"/>
    <s v="Life Sciences"/>
    <s v="Low"/>
    <s v="Female"/>
    <n v="59"/>
    <s v="Medium"/>
    <s v="Medium"/>
    <s v="Sales Executive"/>
    <s v="Excellent"/>
    <s v="Single"/>
    <n v="8686"/>
    <n v="12930"/>
    <s v="Medium"/>
    <n v="4"/>
    <x v="1"/>
    <n v="22"/>
    <s v="Excellent"/>
    <s v="High"/>
    <n v="0"/>
    <n v="12"/>
    <n v="2"/>
    <n v="4"/>
    <n v="8"/>
    <n v="3"/>
    <n v="0"/>
    <n v="7"/>
  </r>
  <r>
    <n v="170"/>
    <n v="32"/>
    <s v="26-35"/>
    <x v="1"/>
    <s v="Travel_Rarely"/>
    <n v="1389"/>
    <x v="1"/>
    <n v="6"/>
    <s v="Excellent"/>
    <s v="Life Sciences"/>
    <s v="High"/>
    <s v="Male"/>
    <n v="43"/>
    <s v="High"/>
    <s v="Low"/>
    <s v="Research Scientist"/>
    <s v="High"/>
    <s v="Single"/>
    <n v="3038"/>
    <n v="12430"/>
    <s v="Low"/>
    <n v="3"/>
    <x v="1"/>
    <n v="20"/>
    <s v="Excellent"/>
    <s v="Low"/>
    <n v="0"/>
    <n v="8"/>
    <n v="2"/>
    <n v="3"/>
    <n v="5"/>
    <n v="4"/>
    <n v="1"/>
    <n v="4"/>
  </r>
  <r>
    <n v="171"/>
    <n v="27"/>
    <s v="26-35"/>
    <x v="1"/>
    <s v="Travel_Rarely"/>
    <n v="1389"/>
    <x v="1"/>
    <n v="17"/>
    <s v="Medium"/>
    <s v="Technical Degree"/>
    <s v="High"/>
    <s v="Male"/>
    <n v="51"/>
    <s v="High"/>
    <s v="Low"/>
    <s v="Research Scientist"/>
    <s v="Medium"/>
    <s v="Married"/>
    <n v="3058"/>
    <n v="13364"/>
    <s v="Low"/>
    <n v="0"/>
    <x v="0"/>
    <n v="16"/>
    <s v="High"/>
    <s v="Excellent"/>
    <n v="1"/>
    <n v="6"/>
    <n v="3"/>
    <n v="2"/>
    <n v="5"/>
    <n v="2"/>
    <n v="1"/>
    <n v="1"/>
  </r>
  <r>
    <n v="172"/>
    <n v="19"/>
    <s v="18-25"/>
    <x v="0"/>
    <s v="Travel_Frequently"/>
    <n v="1389"/>
    <x v="0"/>
    <n v="1"/>
    <s v="Low"/>
    <s v="Technical Degree"/>
    <s v="High"/>
    <s v="Female"/>
    <n v="100"/>
    <s v="Low"/>
    <s v="Low"/>
    <s v="Sales Representative"/>
    <s v="Low"/>
    <s v="Single"/>
    <n v="2325"/>
    <n v="20989"/>
    <s v="Low"/>
    <n v="0"/>
    <x v="1"/>
    <n v="21"/>
    <s v="Excellent"/>
    <s v="Low"/>
    <n v="0"/>
    <n v="1"/>
    <n v="5"/>
    <n v="4"/>
    <n v="0"/>
    <n v="0"/>
    <n v="0"/>
    <n v="0"/>
  </r>
  <r>
    <n v="173"/>
    <n v="36"/>
    <s v="36-45"/>
    <x v="1"/>
    <s v="Travel_Frequently"/>
    <n v="1389"/>
    <x v="1"/>
    <n v="3"/>
    <s v="Good"/>
    <s v="Medical"/>
    <s v="Excellent"/>
    <s v="Male"/>
    <n v="30"/>
    <s v="High"/>
    <s v="Low"/>
    <s v="Laboratory Technician"/>
    <s v="Medium"/>
    <s v="Single"/>
    <n v="2088"/>
    <n v="15062"/>
    <s v="Low"/>
    <n v="4"/>
    <x v="1"/>
    <n v="12"/>
    <s v="High"/>
    <s v="High"/>
    <n v="0"/>
    <n v="13"/>
    <n v="3"/>
    <n v="2"/>
    <n v="8"/>
    <n v="7"/>
    <n v="7"/>
    <n v="2"/>
  </r>
  <r>
    <n v="174"/>
    <n v="30"/>
    <s v="26-35"/>
    <x v="1"/>
    <s v="Non-Travel"/>
    <n v="1389"/>
    <x v="1"/>
    <n v="9"/>
    <s v="Medium"/>
    <s v="Medical"/>
    <s v="High"/>
    <s v="Male"/>
    <n v="66"/>
    <s v="High"/>
    <s v="Medium"/>
    <s v="Laboratory Technician"/>
    <s v="Low"/>
    <s v="Divorced"/>
    <n v="3072"/>
    <n v="11012"/>
    <s v="Low"/>
    <n v="1"/>
    <x v="1"/>
    <n v="11"/>
    <s v="High"/>
    <s v="High"/>
    <n v="2"/>
    <n v="12"/>
    <n v="4"/>
    <n v="3"/>
    <n v="12"/>
    <n v="9"/>
    <n v="6"/>
    <n v="10"/>
  </r>
  <r>
    <n v="175"/>
    <n v="45"/>
    <s v="36-45"/>
    <x v="1"/>
    <s v="Travel_Rarely"/>
    <n v="1389"/>
    <x v="0"/>
    <n v="4"/>
    <s v="Good"/>
    <s v="Life Sciences"/>
    <s v="High"/>
    <s v="Female"/>
    <n v="30"/>
    <s v="High"/>
    <s v="Medium"/>
    <s v="Sales Executive"/>
    <s v="Low"/>
    <s v="Divorced"/>
    <n v="5006"/>
    <n v="6319"/>
    <s v="Medium"/>
    <n v="4"/>
    <x v="0"/>
    <n v="11"/>
    <s v="High"/>
    <s v="Low"/>
    <n v="1"/>
    <n v="9"/>
    <n v="3"/>
    <n v="4"/>
    <n v="5"/>
    <n v="4"/>
    <n v="0"/>
    <n v="3"/>
  </r>
  <r>
    <n v="176"/>
    <n v="56"/>
    <s v="55+"/>
    <x v="1"/>
    <s v="Travel_Rarely"/>
    <n v="1389"/>
    <x v="1"/>
    <n v="8"/>
    <s v="Medium"/>
    <s v="Life Sciences"/>
    <s v="High"/>
    <s v="Female"/>
    <n v="67"/>
    <s v="High"/>
    <s v="Low"/>
    <s v="Research Scientist"/>
    <s v="Low"/>
    <s v="Divorced"/>
    <n v="4257"/>
    <n v="13939"/>
    <s v="Low"/>
    <n v="4"/>
    <x v="0"/>
    <n v="18"/>
    <s v="High"/>
    <s v="High"/>
    <n v="1"/>
    <n v="19"/>
    <n v="3"/>
    <n v="3"/>
    <n v="2"/>
    <n v="2"/>
    <n v="2"/>
    <n v="2"/>
  </r>
  <r>
    <n v="177"/>
    <n v="33"/>
    <s v="26-35"/>
    <x v="1"/>
    <s v="Travel_Rarely"/>
    <n v="1389"/>
    <x v="1"/>
    <n v="2"/>
    <s v="Medium"/>
    <s v="Life Sciences"/>
    <s v="High"/>
    <s v="Male"/>
    <n v="90"/>
    <s v="High"/>
    <s v="Low"/>
    <s v="Research Scientist"/>
    <s v="Excellent"/>
    <s v="Single"/>
    <n v="2500"/>
    <n v="10515"/>
    <s v="Low"/>
    <n v="0"/>
    <x v="1"/>
    <n v="14"/>
    <s v="High"/>
    <s v="Low"/>
    <n v="0"/>
    <n v="4"/>
    <n v="2"/>
    <n v="4"/>
    <n v="3"/>
    <n v="1"/>
    <n v="0"/>
    <n v="2"/>
  </r>
  <r>
    <n v="178"/>
    <n v="19"/>
    <s v="18-25"/>
    <x v="0"/>
    <s v="Travel_Rarely"/>
    <n v="1389"/>
    <x v="1"/>
    <n v="2"/>
    <s v="Medium"/>
    <s v="Life Sciences"/>
    <s v="Medium"/>
    <s v="Male"/>
    <n v="47"/>
    <s v="Medium"/>
    <s v="Low"/>
    <s v="Laboratory Technician"/>
    <s v="Excellent"/>
    <s v="Single"/>
    <n v="1102"/>
    <n v="9241"/>
    <s v="Low"/>
    <n v="1"/>
    <x v="1"/>
    <n v="22"/>
    <s v="Excellent"/>
    <s v="High"/>
    <n v="0"/>
    <n v="1"/>
    <n v="3"/>
    <n v="2"/>
    <n v="1"/>
    <n v="0"/>
    <n v="1"/>
    <n v="0"/>
  </r>
  <r>
    <n v="179"/>
    <n v="46"/>
    <s v="46-55"/>
    <x v="1"/>
    <s v="Travel_Rarely"/>
    <n v="1389"/>
    <x v="0"/>
    <n v="1"/>
    <s v="Good"/>
    <s v="Marketing"/>
    <s v="Medium"/>
    <s v="Female"/>
    <n v="92"/>
    <s v="High"/>
    <s v="High"/>
    <s v="Sales Executive"/>
    <s v="Low"/>
    <s v="Divorced"/>
    <n v="10453"/>
    <n v="2137"/>
    <s v="High"/>
    <n v="1"/>
    <x v="1"/>
    <n v="25"/>
    <s v="Excellent"/>
    <s v="High"/>
    <n v="3"/>
    <n v="24"/>
    <n v="2"/>
    <n v="3"/>
    <n v="24"/>
    <n v="13"/>
    <n v="15"/>
    <n v="7"/>
  </r>
  <r>
    <n v="180"/>
    <n v="38"/>
    <s v="36-45"/>
    <x v="1"/>
    <s v="Travel_Rarely"/>
    <n v="1389"/>
    <x v="1"/>
    <n v="9"/>
    <s v="Good"/>
    <s v="Life Sciences"/>
    <s v="High"/>
    <s v="Female"/>
    <n v="75"/>
    <s v="High"/>
    <s v="Low"/>
    <s v="Laboratory Technician"/>
    <s v="Excellent"/>
    <s v="Single"/>
    <n v="2288"/>
    <n v="6319"/>
    <s v="Low"/>
    <n v="1"/>
    <x v="1"/>
    <n v="12"/>
    <s v="High"/>
    <s v="High"/>
    <n v="0"/>
    <n v="2"/>
    <n v="3"/>
    <n v="3"/>
    <n v="2"/>
    <n v="2"/>
    <n v="2"/>
    <n v="1"/>
  </r>
  <r>
    <n v="181"/>
    <n v="31"/>
    <s v="26-35"/>
    <x v="1"/>
    <s v="Travel_Rarely"/>
    <n v="1389"/>
    <x v="1"/>
    <n v="12"/>
    <s v="Low"/>
    <s v="Medical"/>
    <s v="High"/>
    <s v="Female"/>
    <n v="95"/>
    <s v="High"/>
    <s v="Low"/>
    <s v="Research Scientist"/>
    <s v="Excellent"/>
    <s v="Married"/>
    <n v="3929"/>
    <n v="6984"/>
    <s v="Low"/>
    <n v="8"/>
    <x v="0"/>
    <n v="23"/>
    <s v="Excellent"/>
    <s v="High"/>
    <n v="1"/>
    <n v="7"/>
    <n v="0"/>
    <n v="3"/>
    <n v="4"/>
    <n v="2"/>
    <n v="0"/>
    <n v="2"/>
  </r>
  <r>
    <n v="182"/>
    <n v="34"/>
    <s v="26-35"/>
    <x v="1"/>
    <s v="Travel_Rarely"/>
    <n v="1389"/>
    <x v="1"/>
    <n v="27"/>
    <s v="Good"/>
    <s v="Medical"/>
    <s v="Excellent"/>
    <s v="Female"/>
    <n v="95"/>
    <s v="High"/>
    <s v="Low"/>
    <s v="Research Scientist"/>
    <s v="Medium"/>
    <s v="Single"/>
    <n v="2311"/>
    <n v="5711"/>
    <s v="Low"/>
    <n v="2"/>
    <x v="1"/>
    <n v="15"/>
    <s v="High"/>
    <s v="Excellent"/>
    <n v="0"/>
    <n v="9"/>
    <n v="3"/>
    <n v="3"/>
    <n v="3"/>
    <n v="2"/>
    <n v="1"/>
    <n v="2"/>
  </r>
  <r>
    <n v="183"/>
    <n v="41"/>
    <s v="36-45"/>
    <x v="0"/>
    <s v="Travel_Rarely"/>
    <n v="1389"/>
    <x v="0"/>
    <n v="20"/>
    <s v="Good"/>
    <s v="Marketing"/>
    <s v="Medium"/>
    <s v="Female"/>
    <n v="70"/>
    <s v="High"/>
    <s v="Low"/>
    <s v="Sales Representative"/>
    <s v="Medium"/>
    <s v="Single"/>
    <n v="3140"/>
    <n v="21728"/>
    <s v="Low"/>
    <n v="1"/>
    <x v="0"/>
    <n v="22"/>
    <s v="Excellent"/>
    <s v="Excellent"/>
    <n v="0"/>
    <n v="4"/>
    <n v="5"/>
    <n v="2"/>
    <n v="4"/>
    <n v="3"/>
    <n v="0"/>
    <n v="2"/>
  </r>
  <r>
    <n v="184"/>
    <n v="50"/>
    <s v="46-55"/>
    <x v="1"/>
    <s v="Travel_Rarely"/>
    <n v="1389"/>
    <x v="1"/>
    <n v="1"/>
    <s v="Medium"/>
    <s v="Medical"/>
    <s v="High"/>
    <s v="Male"/>
    <n v="86"/>
    <s v="Medium"/>
    <s v="Low"/>
    <s v="Laboratory Technician"/>
    <s v="High"/>
    <s v="Married"/>
    <n v="3690"/>
    <n v="3425"/>
    <s v="Low"/>
    <n v="2"/>
    <x v="1"/>
    <n v="15"/>
    <s v="High"/>
    <s v="Excellent"/>
    <n v="1"/>
    <n v="5"/>
    <n v="2"/>
    <n v="2"/>
    <n v="3"/>
    <n v="2"/>
    <n v="0"/>
    <n v="2"/>
  </r>
  <r>
    <n v="185"/>
    <n v="53"/>
    <s v="46-55"/>
    <x v="1"/>
    <s v="Travel_Rarely"/>
    <n v="1389"/>
    <x v="1"/>
    <n v="13"/>
    <s v="Good"/>
    <s v="Medical"/>
    <s v="Excellent"/>
    <s v="Female"/>
    <n v="57"/>
    <s v="Excellent"/>
    <s v="Medium"/>
    <s v="Manufacturing Director"/>
    <s v="Low"/>
    <s v="Divorced"/>
    <n v="4450"/>
    <n v="26250"/>
    <s v="Low"/>
    <n v="1"/>
    <x v="1"/>
    <n v="11"/>
    <s v="High"/>
    <s v="High"/>
    <n v="2"/>
    <n v="5"/>
    <n v="3"/>
    <n v="3"/>
    <n v="4"/>
    <n v="2"/>
    <n v="1"/>
    <n v="3"/>
  </r>
  <r>
    <n v="186"/>
    <n v="33"/>
    <s v="26-35"/>
    <x v="1"/>
    <s v="Travel_Rarely"/>
    <n v="1389"/>
    <x v="1"/>
    <n v="14"/>
    <s v="Medium"/>
    <s v="Medical"/>
    <s v="Excellent"/>
    <s v="Female"/>
    <n v="72"/>
    <s v="High"/>
    <s v="Low"/>
    <s v="Research Scientist"/>
    <s v="Medium"/>
    <s v="Married"/>
    <n v="2756"/>
    <n v="4673"/>
    <s v="Low"/>
    <n v="1"/>
    <x v="1"/>
    <n v="13"/>
    <s v="High"/>
    <s v="Excellent"/>
    <n v="1"/>
    <n v="8"/>
    <n v="5"/>
    <n v="3"/>
    <n v="8"/>
    <n v="7"/>
    <n v="1"/>
    <n v="6"/>
  </r>
  <r>
    <n v="187"/>
    <n v="40"/>
    <s v="36-45"/>
    <x v="1"/>
    <s v="Travel_Rarely"/>
    <n v="1389"/>
    <x v="1"/>
    <n v="4"/>
    <s v="Low"/>
    <s v="Medical"/>
    <s v="Excellent"/>
    <s v="Female"/>
    <n v="46"/>
    <s v="High"/>
    <e v="#N/A"/>
    <s v="Manager"/>
    <s v="High"/>
    <s v="Married"/>
    <n v="19033"/>
    <n v="6499"/>
    <s v="High"/>
    <n v="1"/>
    <x v="1"/>
    <n v="14"/>
    <s v="High"/>
    <s v="Medium"/>
    <n v="1"/>
    <n v="21"/>
    <n v="2"/>
    <n v="3"/>
    <n v="20"/>
    <n v="8"/>
    <n v="9"/>
    <n v="9"/>
  </r>
  <r>
    <n v="188"/>
    <n v="55"/>
    <s v="46-55"/>
    <x v="1"/>
    <s v="Travel_Rarely"/>
    <n v="1389"/>
    <x v="1"/>
    <n v="14"/>
    <s v="High"/>
    <s v="Medical"/>
    <s v="High"/>
    <s v="Male"/>
    <n v="61"/>
    <s v="Excellent"/>
    <e v="#N/A"/>
    <s v="Research Director"/>
    <s v="Medium"/>
    <s v="Single"/>
    <n v="18722"/>
    <n v="13339"/>
    <s v="High"/>
    <n v="8"/>
    <x v="1"/>
    <n v="11"/>
    <s v="High"/>
    <s v="Excellent"/>
    <n v="0"/>
    <n v="36"/>
    <n v="3"/>
    <n v="3"/>
    <n v="24"/>
    <n v="15"/>
    <n v="2"/>
    <n v="15"/>
  </r>
  <r>
    <n v="189"/>
    <n v="34"/>
    <s v="26-35"/>
    <x v="1"/>
    <s v="Travel_Frequently"/>
    <n v="1389"/>
    <x v="1"/>
    <n v="2"/>
    <s v="Low"/>
    <s v="Life Sciences"/>
    <s v="Excellent"/>
    <s v="Male"/>
    <n v="45"/>
    <s v="Medium"/>
    <s v="Medium"/>
    <s v="Manufacturing Director"/>
    <s v="High"/>
    <s v="Married"/>
    <n v="9547"/>
    <n v="14074"/>
    <s v="Medium"/>
    <n v="1"/>
    <x v="1"/>
    <n v="17"/>
    <s v="High"/>
    <s v="High"/>
    <n v="0"/>
    <n v="10"/>
    <n v="2"/>
    <n v="2"/>
    <n v="10"/>
    <n v="9"/>
    <n v="1"/>
    <n v="9"/>
  </r>
  <r>
    <n v="190"/>
    <n v="51"/>
    <s v="46-55"/>
    <x v="1"/>
    <s v="Travel_Rarely"/>
    <n v="1389"/>
    <x v="1"/>
    <n v="3"/>
    <s v="Medium"/>
    <s v="Medical"/>
    <s v="Excellent"/>
    <s v="Female"/>
    <n v="98"/>
    <s v="High"/>
    <s v="Excellent"/>
    <s v="Healthcare Representative"/>
    <s v="Medium"/>
    <s v="Single"/>
    <n v="13734"/>
    <n v="7192"/>
    <s v="High"/>
    <n v="3"/>
    <x v="1"/>
    <n v="18"/>
    <s v="High"/>
    <s v="High"/>
    <n v="0"/>
    <n v="21"/>
    <n v="6"/>
    <n v="3"/>
    <n v="7"/>
    <n v="7"/>
    <n v="1"/>
    <n v="0"/>
  </r>
  <r>
    <n v="191"/>
    <n v="52"/>
    <s v="46-55"/>
    <x v="1"/>
    <s v="Travel_Rarely"/>
    <n v="1389"/>
    <x v="1"/>
    <n v="1"/>
    <s v="High"/>
    <s v="Life Sciences"/>
    <s v="High"/>
    <s v="Male"/>
    <n v="65"/>
    <s v="Medium"/>
    <e v="#N/A"/>
    <s v="Manager"/>
    <s v="High"/>
    <s v="Married"/>
    <n v="19999"/>
    <n v="5678"/>
    <s v="High"/>
    <n v="0"/>
    <x v="1"/>
    <n v="14"/>
    <s v="High"/>
    <s v="Low"/>
    <n v="1"/>
    <n v="34"/>
    <n v="5"/>
    <n v="3"/>
    <n v="33"/>
    <n v="18"/>
    <n v="11"/>
    <n v="9"/>
  </r>
  <r>
    <n v="192"/>
    <n v="27"/>
    <s v="26-35"/>
    <x v="1"/>
    <s v="Travel_Rarely"/>
    <n v="1389"/>
    <x v="1"/>
    <n v="9"/>
    <s v="Medium"/>
    <s v="Medical"/>
    <s v="Excellent"/>
    <s v="Female"/>
    <n v="99"/>
    <s v="High"/>
    <s v="Low"/>
    <s v="Research Scientist"/>
    <s v="Medium"/>
    <s v="Single"/>
    <n v="2279"/>
    <n v="11781"/>
    <s v="Low"/>
    <n v="1"/>
    <x v="1"/>
    <n v="16"/>
    <s v="High"/>
    <s v="Excellent"/>
    <n v="0"/>
    <n v="7"/>
    <n v="2"/>
    <n v="2"/>
    <n v="7"/>
    <n v="7"/>
    <n v="0"/>
    <n v="3"/>
  </r>
  <r>
    <n v="193"/>
    <n v="35"/>
    <s v="26-35"/>
    <x v="0"/>
    <s v="Travel_Rarely"/>
    <n v="1389"/>
    <x v="1"/>
    <n v="23"/>
    <s v="Good"/>
    <s v="Life Sciences"/>
    <s v="Medium"/>
    <s v="Male"/>
    <n v="50"/>
    <s v="Medium"/>
    <s v="Medium"/>
    <s v="Manufacturing Director"/>
    <s v="High"/>
    <s v="Married"/>
    <n v="5916"/>
    <n v="15497"/>
    <s v="Medium"/>
    <n v="3"/>
    <x v="0"/>
    <n v="13"/>
    <s v="High"/>
    <s v="Low"/>
    <n v="0"/>
    <n v="8"/>
    <n v="1"/>
    <n v="3"/>
    <n v="1"/>
    <n v="0"/>
    <n v="0"/>
    <n v="1"/>
  </r>
  <r>
    <n v="194"/>
    <n v="43"/>
    <s v="36-45"/>
    <x v="1"/>
    <s v="Non-Travel"/>
    <n v="1389"/>
    <x v="1"/>
    <n v="7"/>
    <s v="Medium"/>
    <s v="Medical"/>
    <s v="Excellent"/>
    <s v="Male"/>
    <n v="37"/>
    <s v="Excellent"/>
    <s v="Low"/>
    <s v="Research Scientist"/>
    <s v="Excellent"/>
    <s v="Divorced"/>
    <n v="2089"/>
    <n v="5228"/>
    <s v="Low"/>
    <n v="4"/>
    <x v="1"/>
    <n v="14"/>
    <s v="High"/>
    <s v="Excellent"/>
    <n v="3"/>
    <n v="7"/>
    <n v="3"/>
    <n v="4"/>
    <n v="5"/>
    <n v="4"/>
    <n v="2"/>
    <n v="2"/>
  </r>
  <r>
    <n v="195"/>
    <n v="45"/>
    <s v="36-45"/>
    <x v="1"/>
    <s v="Non-Travel"/>
    <n v="1389"/>
    <x v="1"/>
    <n v="2"/>
    <s v="Good"/>
    <s v="Medical"/>
    <s v="Low"/>
    <s v="Male"/>
    <n v="65"/>
    <s v="Medium"/>
    <s v="Excellent"/>
    <s v="Manager"/>
    <s v="Excellent"/>
    <s v="Married"/>
    <n v="16792"/>
    <n v="20462"/>
    <s v="High"/>
    <n v="9"/>
    <x v="1"/>
    <n v="23"/>
    <s v="Excellent"/>
    <s v="Excellent"/>
    <n v="1"/>
    <n v="22"/>
    <n v="1"/>
    <n v="3"/>
    <n v="20"/>
    <n v="8"/>
    <n v="11"/>
    <n v="8"/>
  </r>
  <r>
    <n v="196"/>
    <n v="37"/>
    <s v="36-45"/>
    <x v="1"/>
    <s v="Travel_Rarely"/>
    <n v="1389"/>
    <x v="1"/>
    <n v="21"/>
    <s v="Medium"/>
    <s v="Life Sciences"/>
    <s v="Medium"/>
    <s v="Male"/>
    <n v="65"/>
    <s v="Excellent"/>
    <s v="Low"/>
    <s v="Research Scientist"/>
    <s v="Low"/>
    <s v="Married"/>
    <n v="3564"/>
    <n v="22977"/>
    <s v="Low"/>
    <n v="1"/>
    <x v="0"/>
    <n v="12"/>
    <s v="High"/>
    <s v="Low"/>
    <n v="1"/>
    <n v="8"/>
    <n v="3"/>
    <n v="2"/>
    <n v="8"/>
    <n v="7"/>
    <n v="1"/>
    <n v="7"/>
  </r>
  <r>
    <n v="197"/>
    <n v="35"/>
    <s v="26-35"/>
    <x v="1"/>
    <s v="Travel_Frequently"/>
    <n v="1389"/>
    <x v="1"/>
    <n v="2"/>
    <s v="Medium"/>
    <s v="Medical"/>
    <s v="Medium"/>
    <s v="Female"/>
    <n v="37"/>
    <s v="High"/>
    <s v="Medium"/>
    <s v="Laboratory Technician"/>
    <s v="Medium"/>
    <s v="Single"/>
    <n v="4425"/>
    <n v="15986"/>
    <s v="Low"/>
    <n v="5"/>
    <x v="1"/>
    <n v="11"/>
    <s v="High"/>
    <s v="Excellent"/>
    <n v="0"/>
    <n v="10"/>
    <n v="5"/>
    <n v="3"/>
    <n v="6"/>
    <n v="2"/>
    <n v="1"/>
    <n v="2"/>
  </r>
  <r>
    <n v="198"/>
    <n v="42"/>
    <s v="36-45"/>
    <x v="1"/>
    <s v="Non-Travel"/>
    <n v="1389"/>
    <x v="1"/>
    <n v="21"/>
    <s v="Good"/>
    <s v="Medical"/>
    <s v="High"/>
    <s v="Female"/>
    <n v="36"/>
    <s v="High"/>
    <s v="Medium"/>
    <s v="Manufacturing Director"/>
    <s v="High"/>
    <s v="Divorced"/>
    <n v="5265"/>
    <n v="16439"/>
    <s v="Medium"/>
    <n v="2"/>
    <x v="1"/>
    <n v="16"/>
    <s v="High"/>
    <s v="Medium"/>
    <n v="1"/>
    <n v="11"/>
    <n v="5"/>
    <n v="3"/>
    <n v="5"/>
    <n v="3"/>
    <n v="0"/>
    <n v="2"/>
  </r>
  <r>
    <n v="199"/>
    <n v="38"/>
    <s v="36-45"/>
    <x v="1"/>
    <s v="Travel_Rarely"/>
    <n v="1389"/>
    <x v="1"/>
    <n v="2"/>
    <s v="High"/>
    <s v="Life Sciences"/>
    <s v="Excellent"/>
    <s v="Male"/>
    <n v="88"/>
    <s v="High"/>
    <s v="Medium"/>
    <s v="Manufacturing Director"/>
    <s v="High"/>
    <s v="Married"/>
    <n v="6553"/>
    <n v="7259"/>
    <s v="Medium"/>
    <n v="9"/>
    <x v="1"/>
    <n v="14"/>
    <s v="High"/>
    <s v="Medium"/>
    <n v="0"/>
    <n v="14"/>
    <n v="3"/>
    <n v="3"/>
    <n v="1"/>
    <n v="0"/>
    <n v="0"/>
    <n v="0"/>
  </r>
  <r>
    <n v="200"/>
    <n v="38"/>
    <s v="36-45"/>
    <x v="1"/>
    <s v="Travel_Rarely"/>
    <n v="1389"/>
    <x v="1"/>
    <n v="29"/>
    <s v="Medium"/>
    <s v="Technical Degree"/>
    <s v="Excellent"/>
    <s v="Male"/>
    <n v="54"/>
    <s v="High"/>
    <s v="Medium"/>
    <s v="Manufacturing Director"/>
    <s v="Excellent"/>
    <s v="Married"/>
    <n v="6261"/>
    <n v="4185"/>
    <s v="Medium"/>
    <n v="3"/>
    <x v="1"/>
    <n v="18"/>
    <s v="High"/>
    <s v="Low"/>
    <n v="1"/>
    <n v="9"/>
    <n v="3"/>
    <n v="1"/>
    <n v="7"/>
    <n v="7"/>
    <n v="1"/>
    <n v="7"/>
  </r>
  <r>
    <n v="201"/>
    <n v="27"/>
    <s v="26-35"/>
    <x v="1"/>
    <s v="Travel_Frequently"/>
    <n v="1389"/>
    <x v="1"/>
    <n v="1"/>
    <s v="Low"/>
    <s v="Technical Degree"/>
    <s v="High"/>
    <s v="Male"/>
    <n v="60"/>
    <s v="Medium"/>
    <s v="Medium"/>
    <s v="Manufacturing Director"/>
    <s v="Low"/>
    <s v="Married"/>
    <n v="4298"/>
    <n v="9679"/>
    <s v="Low"/>
    <n v="5"/>
    <x v="1"/>
    <n v="19"/>
    <s v="High"/>
    <s v="High"/>
    <n v="1"/>
    <n v="6"/>
    <n v="1"/>
    <n v="3"/>
    <n v="2"/>
    <n v="2"/>
    <n v="2"/>
    <n v="0"/>
  </r>
  <r>
    <n v="202"/>
    <n v="49"/>
    <s v="46-55"/>
    <x v="1"/>
    <s v="Non-Travel"/>
    <n v="1389"/>
    <x v="1"/>
    <n v="18"/>
    <s v="High"/>
    <s v="Life Sciences"/>
    <s v="Excellent"/>
    <s v="Male"/>
    <n v="92"/>
    <s v="High"/>
    <s v="Medium"/>
    <s v="Manufacturing Director"/>
    <s v="Excellent"/>
    <s v="Divorced"/>
    <n v="6804"/>
    <n v="23793"/>
    <s v="Medium"/>
    <n v="1"/>
    <x v="0"/>
    <n v="15"/>
    <s v="High"/>
    <s v="Low"/>
    <n v="2"/>
    <n v="7"/>
    <n v="0"/>
    <n v="3"/>
    <n v="7"/>
    <n v="7"/>
    <n v="1"/>
    <n v="7"/>
  </r>
  <r>
    <n v="203"/>
    <n v="34"/>
    <s v="26-35"/>
    <x v="1"/>
    <s v="Travel_Frequently"/>
    <n v="1389"/>
    <x v="1"/>
    <n v="10"/>
    <s v="High"/>
    <s v="Medical"/>
    <s v="Excellent"/>
    <s v="Male"/>
    <n v="43"/>
    <s v="High"/>
    <s v="Low"/>
    <s v="Research Scientist"/>
    <s v="High"/>
    <s v="Divorced"/>
    <n v="3815"/>
    <n v="5972"/>
    <s v="Low"/>
    <n v="1"/>
    <x v="0"/>
    <n v="17"/>
    <s v="High"/>
    <s v="Excellent"/>
    <n v="1"/>
    <n v="5"/>
    <n v="4"/>
    <n v="4"/>
    <n v="5"/>
    <n v="3"/>
    <n v="2"/>
    <n v="0"/>
  </r>
  <r>
    <n v="204"/>
    <n v="40"/>
    <s v="36-45"/>
    <x v="1"/>
    <s v="Travel_Rarely"/>
    <n v="1389"/>
    <x v="1"/>
    <n v="19"/>
    <s v="Good"/>
    <s v="Medical"/>
    <s v="High"/>
    <s v="Male"/>
    <n v="99"/>
    <s v="High"/>
    <s v="Medium"/>
    <s v="Laboratory Technician"/>
    <s v="Excellent"/>
    <s v="Married"/>
    <n v="2741"/>
    <n v="16523"/>
    <s v="Low"/>
    <n v="8"/>
    <x v="0"/>
    <n v="15"/>
    <s v="High"/>
    <s v="High"/>
    <n v="1"/>
    <n v="15"/>
    <n v="2"/>
    <n v="4"/>
    <n v="7"/>
    <n v="2"/>
    <n v="3"/>
    <n v="7"/>
  </r>
  <r>
    <n v="205"/>
    <n v="38"/>
    <s v="36-45"/>
    <x v="0"/>
    <s v="Travel_Rarely"/>
    <n v="1389"/>
    <x v="1"/>
    <n v="29"/>
    <s v="Low"/>
    <s v="Medical"/>
    <s v="Medium"/>
    <s v="Male"/>
    <n v="70"/>
    <s v="High"/>
    <s v="Medium"/>
    <s v="Healthcare Representative"/>
    <s v="Low"/>
    <s v="Married"/>
    <n v="6673"/>
    <n v="11354"/>
    <s v="Medium"/>
    <n v="7"/>
    <x v="0"/>
    <n v="19"/>
    <s v="High"/>
    <s v="Medium"/>
    <n v="0"/>
    <n v="17"/>
    <n v="2"/>
    <n v="3"/>
    <n v="1"/>
    <n v="0"/>
    <n v="0"/>
    <n v="0"/>
  </r>
  <r>
    <n v="206"/>
    <n v="29"/>
    <s v="26-35"/>
    <x v="0"/>
    <s v="Travel_Rarely"/>
    <n v="1389"/>
    <x v="0"/>
    <n v="27"/>
    <s v="Medium"/>
    <s v="Marketing"/>
    <s v="Medium"/>
    <s v="Female"/>
    <n v="35"/>
    <s v="High"/>
    <s v="High"/>
    <s v="Sales Executive"/>
    <s v="Excellent"/>
    <s v="Married"/>
    <n v="7639"/>
    <n v="24525"/>
    <s v="Medium"/>
    <n v="1"/>
    <x v="1"/>
    <n v="22"/>
    <s v="Excellent"/>
    <s v="Excellent"/>
    <n v="3"/>
    <n v="10"/>
    <n v="3"/>
    <n v="2"/>
    <n v="10"/>
    <n v="4"/>
    <n v="1"/>
    <n v="9"/>
  </r>
  <r>
    <n v="207"/>
    <n v="22"/>
    <s v="18-25"/>
    <x v="1"/>
    <s v="Travel_Rarely"/>
    <n v="1389"/>
    <x v="1"/>
    <n v="5"/>
    <s v="Medium"/>
    <s v="Life Sciences"/>
    <s v="Excellent"/>
    <s v="Male"/>
    <n v="60"/>
    <s v="Excellent"/>
    <s v="Low"/>
    <s v="Research Scientist"/>
    <s v="Medium"/>
    <s v="Divorced"/>
    <n v="2328"/>
    <n v="12392"/>
    <s v="Low"/>
    <n v="1"/>
    <x v="0"/>
    <n v="16"/>
    <s v="High"/>
    <s v="Low"/>
    <n v="1"/>
    <n v="4"/>
    <n v="2"/>
    <n v="2"/>
    <n v="4"/>
    <n v="2"/>
    <n v="2"/>
    <n v="2"/>
  </r>
  <r>
    <n v="208"/>
    <n v="36"/>
    <s v="36-45"/>
    <x v="1"/>
    <s v="Travel_Frequently"/>
    <n v="1389"/>
    <x v="1"/>
    <n v="18"/>
    <s v="Low"/>
    <s v="Medical"/>
    <s v="Medium"/>
    <s v="Female"/>
    <n v="73"/>
    <s v="High"/>
    <s v="Low"/>
    <s v="Laboratory Technician"/>
    <s v="Excellent"/>
    <s v="Single"/>
    <n v="2153"/>
    <n v="7703"/>
    <s v="Low"/>
    <n v="1"/>
    <x v="1"/>
    <n v="13"/>
    <s v="High"/>
    <s v="Low"/>
    <n v="0"/>
    <n v="8"/>
    <n v="2"/>
    <n v="3"/>
    <n v="8"/>
    <n v="1"/>
    <n v="1"/>
    <n v="7"/>
  </r>
  <r>
    <n v="209"/>
    <n v="40"/>
    <s v="36-45"/>
    <x v="1"/>
    <s v="Non-Travel"/>
    <n v="1389"/>
    <x v="1"/>
    <n v="9"/>
    <s v="Excellent"/>
    <s v="Life Sciences"/>
    <s v="Excellent"/>
    <s v="Male"/>
    <n v="63"/>
    <s v="Medium"/>
    <s v="Medium"/>
    <s v="Healthcare Representative"/>
    <s v="Excellent"/>
    <s v="Married"/>
    <n v="4876"/>
    <n v="14242"/>
    <s v="Low"/>
    <n v="9"/>
    <x v="1"/>
    <n v="14"/>
    <s v="High"/>
    <s v="Excellent"/>
    <n v="1"/>
    <n v="5"/>
    <n v="5"/>
    <n v="1"/>
    <n v="3"/>
    <n v="2"/>
    <n v="0"/>
    <n v="2"/>
  </r>
  <r>
    <n v="210"/>
    <n v="46"/>
    <s v="46-55"/>
    <x v="1"/>
    <s v="Travel_Rarely"/>
    <n v="1389"/>
    <x v="1"/>
    <n v="1"/>
    <s v="High"/>
    <s v="Medical"/>
    <s v="Excellent"/>
    <s v="Male"/>
    <n v="97"/>
    <s v="High"/>
    <s v="High"/>
    <s v="Healthcare Representative"/>
    <s v="Low"/>
    <s v="Divorced"/>
    <n v="9396"/>
    <n v="12368"/>
    <s v="Medium"/>
    <n v="7"/>
    <x v="1"/>
    <n v="16"/>
    <s v="High"/>
    <s v="High"/>
    <n v="1"/>
    <n v="17"/>
    <n v="3"/>
    <n v="3"/>
    <n v="4"/>
    <n v="2"/>
    <n v="0"/>
    <n v="3"/>
  </r>
  <r>
    <n v="211"/>
    <n v="32"/>
    <s v="26-35"/>
    <x v="0"/>
    <s v="Travel_Rarely"/>
    <n v="1389"/>
    <x v="0"/>
    <n v="4"/>
    <s v="High"/>
    <s v="Medical"/>
    <s v="Excellent"/>
    <s v="Male"/>
    <n v="32"/>
    <s v="Low"/>
    <s v="High"/>
    <s v="Sales Executive"/>
    <s v="Excellent"/>
    <s v="Married"/>
    <n v="10400"/>
    <n v="25812"/>
    <s v="High"/>
    <n v="1"/>
    <x v="1"/>
    <n v="11"/>
    <s v="High"/>
    <s v="High"/>
    <n v="0"/>
    <n v="14"/>
    <n v="2"/>
    <n v="2"/>
    <n v="14"/>
    <n v="8"/>
    <n v="9"/>
    <n v="8"/>
  </r>
  <r>
    <n v="212"/>
    <n v="30"/>
    <s v="26-35"/>
    <x v="1"/>
    <s v="Non-Travel"/>
    <n v="1389"/>
    <x v="1"/>
    <n v="1"/>
    <s v="Low"/>
    <s v="Life Sciences"/>
    <s v="High"/>
    <s v="Male"/>
    <n v="88"/>
    <s v="Medium"/>
    <s v="High"/>
    <s v="Manufacturing Director"/>
    <s v="High"/>
    <s v="Single"/>
    <n v="8474"/>
    <n v="20925"/>
    <s v="Medium"/>
    <n v="1"/>
    <x v="1"/>
    <n v="22"/>
    <s v="Excellent"/>
    <s v="High"/>
    <n v="0"/>
    <n v="12"/>
    <n v="2"/>
    <n v="3"/>
    <n v="11"/>
    <n v="8"/>
    <n v="5"/>
    <n v="8"/>
  </r>
  <r>
    <n v="213"/>
    <n v="27"/>
    <s v="26-35"/>
    <x v="1"/>
    <s v="Travel_Frequently"/>
    <n v="1389"/>
    <x v="0"/>
    <n v="20"/>
    <s v="Medium"/>
    <s v="Life Sciences"/>
    <s v="Excellent"/>
    <s v="Female"/>
    <n v="90"/>
    <s v="High"/>
    <s v="Medium"/>
    <s v="Sales Executive"/>
    <s v="High"/>
    <s v="Single"/>
    <n v="9981"/>
    <n v="12916"/>
    <s v="Medium"/>
    <n v="1"/>
    <x v="1"/>
    <n v="14"/>
    <s v="High"/>
    <s v="Excellent"/>
    <n v="0"/>
    <n v="7"/>
    <n v="2"/>
    <n v="3"/>
    <n v="7"/>
    <n v="7"/>
    <n v="0"/>
    <n v="7"/>
  </r>
  <r>
    <n v="214"/>
    <n v="51"/>
    <s v="46-55"/>
    <x v="1"/>
    <s v="Travel_Rarely"/>
    <n v="1389"/>
    <x v="1"/>
    <n v="8"/>
    <s v="High"/>
    <s v="Life Sciences"/>
    <s v="Medium"/>
    <s v="Male"/>
    <n v="81"/>
    <s v="Medium"/>
    <s v="High"/>
    <s v="Research Director"/>
    <s v="Medium"/>
    <s v="Married"/>
    <n v="12490"/>
    <n v="15736"/>
    <s v="High"/>
    <n v="5"/>
    <x v="1"/>
    <n v="16"/>
    <s v="High"/>
    <s v="Excellent"/>
    <n v="2"/>
    <n v="16"/>
    <n v="5"/>
    <n v="1"/>
    <n v="10"/>
    <n v="9"/>
    <n v="4"/>
    <n v="7"/>
  </r>
  <r>
    <n v="215"/>
    <n v="30"/>
    <s v="26-35"/>
    <x v="0"/>
    <s v="Travel_Rarely"/>
    <n v="1389"/>
    <x v="1"/>
    <n v="3"/>
    <s v="Medium"/>
    <s v="Technical Degree"/>
    <s v="Excellent"/>
    <s v="Female"/>
    <n v="88"/>
    <s v="High"/>
    <s v="Low"/>
    <s v="Research Scientist"/>
    <s v="Low"/>
    <s v="Single"/>
    <n v="2657"/>
    <n v="8556"/>
    <s v="Low"/>
    <n v="5"/>
    <x v="0"/>
    <n v="11"/>
    <s v="High"/>
    <s v="High"/>
    <n v="0"/>
    <n v="8"/>
    <n v="5"/>
    <n v="3"/>
    <n v="5"/>
    <n v="2"/>
    <n v="0"/>
    <n v="4"/>
  </r>
  <r>
    <n v="216"/>
    <n v="41"/>
    <s v="36-45"/>
    <x v="1"/>
    <s v="Travel_Rarely"/>
    <n v="1389"/>
    <x v="0"/>
    <n v="6"/>
    <s v="Medium"/>
    <s v="Life Sciences"/>
    <s v="Excellent"/>
    <s v="Female"/>
    <n v="75"/>
    <s v="High"/>
    <s v="High"/>
    <s v="Manager"/>
    <s v="Excellent"/>
    <s v="Single"/>
    <n v="13591"/>
    <n v="14674"/>
    <s v="High"/>
    <n v="3"/>
    <x v="0"/>
    <n v="18"/>
    <s v="High"/>
    <s v="High"/>
    <n v="0"/>
    <n v="16"/>
    <n v="3"/>
    <n v="3"/>
    <n v="1"/>
    <n v="0"/>
    <n v="0"/>
    <n v="0"/>
  </r>
  <r>
    <n v="217"/>
    <n v="30"/>
    <s v="26-35"/>
    <x v="0"/>
    <s v="Travel_Frequently"/>
    <n v="1389"/>
    <x v="0"/>
    <n v="26"/>
    <s v="High"/>
    <s v="Marketing"/>
    <s v="High"/>
    <s v="Female"/>
    <n v="52"/>
    <s v="Medium"/>
    <s v="Medium"/>
    <s v="Sales Executive"/>
    <s v="Low"/>
    <s v="Single"/>
    <n v="6696"/>
    <n v="22967"/>
    <s v="Medium"/>
    <n v="5"/>
    <x v="1"/>
    <n v="15"/>
    <s v="High"/>
    <s v="High"/>
    <n v="0"/>
    <n v="9"/>
    <n v="5"/>
    <n v="2"/>
    <n v="6"/>
    <n v="3"/>
    <n v="0"/>
    <n v="1"/>
  </r>
  <r>
    <n v="218"/>
    <n v="29"/>
    <s v="26-35"/>
    <x v="0"/>
    <s v="Travel_Rarely"/>
    <n v="1389"/>
    <x v="1"/>
    <n v="1"/>
    <s v="Medium"/>
    <s v="Technical Degree"/>
    <s v="High"/>
    <s v="Male"/>
    <n v="85"/>
    <s v="High"/>
    <s v="Low"/>
    <s v="Research Scientist"/>
    <s v="High"/>
    <s v="Single"/>
    <n v="2058"/>
    <n v="19757"/>
    <s v="Low"/>
    <n v="0"/>
    <x v="1"/>
    <n v="14"/>
    <s v="High"/>
    <s v="Excellent"/>
    <n v="0"/>
    <n v="7"/>
    <n v="1"/>
    <n v="2"/>
    <n v="6"/>
    <n v="2"/>
    <n v="1"/>
    <n v="5"/>
  </r>
  <r>
    <n v="219"/>
    <n v="45"/>
    <s v="36-45"/>
    <x v="1"/>
    <s v="Non-Travel"/>
    <n v="1389"/>
    <x v="0"/>
    <n v="6"/>
    <s v="Medium"/>
    <s v="Medical"/>
    <s v="Excellent"/>
    <s v="Female"/>
    <n v="57"/>
    <s v="Medium"/>
    <s v="High"/>
    <s v="Sales Executive"/>
    <s v="Excellent"/>
    <s v="Single"/>
    <n v="8865"/>
    <n v="16840"/>
    <s v="Medium"/>
    <n v="6"/>
    <x v="1"/>
    <n v="12"/>
    <s v="High"/>
    <s v="Excellent"/>
    <n v="0"/>
    <n v="23"/>
    <n v="2"/>
    <n v="3"/>
    <n v="19"/>
    <n v="7"/>
    <n v="12"/>
    <n v="8"/>
  </r>
  <r>
    <n v="220"/>
    <n v="54"/>
    <s v="46-55"/>
    <x v="1"/>
    <s v="Travel_Rarely"/>
    <n v="1389"/>
    <x v="0"/>
    <n v="3"/>
    <s v="Medium"/>
    <s v="Marketing"/>
    <s v="Excellent"/>
    <s v="Female"/>
    <n v="52"/>
    <s v="High"/>
    <s v="Medium"/>
    <s v="Sales Executive"/>
    <s v="Low"/>
    <s v="Married"/>
    <n v="5940"/>
    <n v="17011"/>
    <s v="Medium"/>
    <n v="2"/>
    <x v="1"/>
    <n v="14"/>
    <s v="High"/>
    <s v="Excellent"/>
    <n v="1"/>
    <n v="16"/>
    <n v="4"/>
    <n v="3"/>
    <n v="6"/>
    <n v="2"/>
    <n v="0"/>
    <n v="5"/>
  </r>
  <r>
    <n v="221"/>
    <n v="36"/>
    <s v="36-45"/>
    <x v="1"/>
    <s v="Travel_Rarely"/>
    <n v="1389"/>
    <x v="1"/>
    <n v="5"/>
    <s v="Good"/>
    <s v="Life Sciences"/>
    <s v="Excellent"/>
    <s v="Male"/>
    <n v="62"/>
    <s v="High"/>
    <s v="Medium"/>
    <s v="Laboratory Technician"/>
    <s v="Medium"/>
    <s v="Single"/>
    <n v="5914"/>
    <n v="9945"/>
    <s v="Medium"/>
    <n v="8"/>
    <x v="1"/>
    <n v="16"/>
    <s v="High"/>
    <s v="Excellent"/>
    <n v="0"/>
    <n v="16"/>
    <n v="3"/>
    <n v="4"/>
    <n v="13"/>
    <n v="11"/>
    <n v="3"/>
    <n v="7"/>
  </r>
  <r>
    <n v="222"/>
    <n v="33"/>
    <s v="26-35"/>
    <x v="1"/>
    <s v="Travel_Rarely"/>
    <n v="1389"/>
    <x v="1"/>
    <n v="4"/>
    <s v="High"/>
    <s v="Medical"/>
    <s v="High"/>
    <s v="Female"/>
    <n v="47"/>
    <s v="Medium"/>
    <s v="Low"/>
    <s v="Research Scientist"/>
    <s v="Medium"/>
    <s v="Married"/>
    <n v="2622"/>
    <n v="13248"/>
    <s v="Low"/>
    <n v="6"/>
    <x v="1"/>
    <n v="21"/>
    <s v="Excellent"/>
    <s v="Excellent"/>
    <n v="0"/>
    <n v="7"/>
    <n v="3"/>
    <n v="3"/>
    <n v="3"/>
    <n v="2"/>
    <n v="1"/>
    <n v="1"/>
  </r>
  <r>
    <n v="223"/>
    <n v="37"/>
    <s v="36-45"/>
    <x v="1"/>
    <s v="Travel_Frequently"/>
    <n v="1389"/>
    <x v="1"/>
    <n v="11"/>
    <s v="Medium"/>
    <s v="Other"/>
    <s v="Medium"/>
    <s v="Male"/>
    <n v="47"/>
    <s v="High"/>
    <s v="High"/>
    <s v="Research Director"/>
    <s v="Excellent"/>
    <s v="Divorced"/>
    <n v="12185"/>
    <n v="10056"/>
    <s v="High"/>
    <n v="1"/>
    <x v="0"/>
    <n v="14"/>
    <s v="High"/>
    <s v="High"/>
    <n v="3"/>
    <n v="10"/>
    <n v="1"/>
    <n v="3"/>
    <n v="10"/>
    <n v="8"/>
    <n v="0"/>
    <n v="7"/>
  </r>
  <r>
    <n v="224"/>
    <n v="38"/>
    <s v="36-45"/>
    <x v="1"/>
    <s v="Travel_Rarely"/>
    <n v="1389"/>
    <x v="0"/>
    <n v="3"/>
    <s v="Medium"/>
    <s v="Life Sciences"/>
    <s v="Low"/>
    <s v="Male"/>
    <n v="76"/>
    <s v="High"/>
    <s v="High"/>
    <s v="Sales Executive"/>
    <s v="High"/>
    <s v="Divorced"/>
    <n v="10609"/>
    <n v="9647"/>
    <s v="High"/>
    <n v="0"/>
    <x v="1"/>
    <n v="12"/>
    <s v="High"/>
    <s v="High"/>
    <n v="2"/>
    <n v="17"/>
    <n v="6"/>
    <n v="2"/>
    <n v="16"/>
    <n v="10"/>
    <n v="5"/>
    <n v="13"/>
  </r>
  <r>
    <n v="225"/>
    <n v="31"/>
    <s v="26-35"/>
    <x v="1"/>
    <s v="Non-Travel"/>
    <n v="1389"/>
    <x v="1"/>
    <n v="1"/>
    <s v="High"/>
    <s v="Medical"/>
    <s v="High"/>
    <s v="Male"/>
    <n v="90"/>
    <s v="Low"/>
    <s v="Medium"/>
    <s v="Manufacturing Director"/>
    <s v="High"/>
    <s v="Married"/>
    <n v="4345"/>
    <n v="4381"/>
    <s v="Low"/>
    <n v="0"/>
    <x v="1"/>
    <n v="12"/>
    <s v="High"/>
    <s v="Excellent"/>
    <n v="1"/>
    <n v="6"/>
    <n v="2"/>
    <n v="3"/>
    <n v="5"/>
    <n v="4"/>
    <n v="1"/>
    <n v="4"/>
  </r>
  <r>
    <n v="226"/>
    <n v="59"/>
    <s v="55+"/>
    <x v="1"/>
    <s v="Travel_Rarely"/>
    <n v="1389"/>
    <x v="1"/>
    <n v="3"/>
    <s v="Medium"/>
    <s v="Life Sciences"/>
    <s v="High"/>
    <s v="Male"/>
    <n v="70"/>
    <s v="Medium"/>
    <s v="Low"/>
    <s v="Research Scientist"/>
    <s v="Excellent"/>
    <s v="Married"/>
    <n v="2177"/>
    <n v="8456"/>
    <s v="Low"/>
    <n v="3"/>
    <x v="1"/>
    <n v="17"/>
    <s v="High"/>
    <s v="Low"/>
    <n v="1"/>
    <n v="7"/>
    <n v="6"/>
    <n v="3"/>
    <n v="1"/>
    <n v="0"/>
    <n v="0"/>
    <n v="0"/>
  </r>
  <r>
    <n v="227"/>
    <n v="37"/>
    <s v="36-45"/>
    <x v="1"/>
    <s v="Travel_Frequently"/>
    <n v="1389"/>
    <x v="0"/>
    <n v="4"/>
    <s v="High"/>
    <s v="Marketing"/>
    <s v="Low"/>
    <s v="Male"/>
    <n v="41"/>
    <s v="High"/>
    <s v="Low"/>
    <s v="Sales Representative"/>
    <s v="Excellent"/>
    <s v="Divorced"/>
    <n v="2793"/>
    <n v="2539"/>
    <s v="Low"/>
    <n v="4"/>
    <x v="1"/>
    <n v="17"/>
    <s v="High"/>
    <s v="High"/>
    <n v="1"/>
    <n v="13"/>
    <n v="2"/>
    <n v="3"/>
    <n v="9"/>
    <n v="8"/>
    <n v="5"/>
    <n v="8"/>
  </r>
  <r>
    <n v="228"/>
    <n v="29"/>
    <s v="26-35"/>
    <x v="1"/>
    <s v="Travel_Frequently"/>
    <n v="1389"/>
    <x v="0"/>
    <n v="1"/>
    <s v="Low"/>
    <s v="Medical"/>
    <s v="Medium"/>
    <s v="Female"/>
    <n v="42"/>
    <s v="High"/>
    <s v="High"/>
    <s v="Sales Executive"/>
    <s v="Excellent"/>
    <s v="Married"/>
    <n v="7918"/>
    <n v="6599"/>
    <s v="Medium"/>
    <n v="1"/>
    <x v="1"/>
    <n v="14"/>
    <s v="High"/>
    <s v="Excellent"/>
    <n v="1"/>
    <n v="11"/>
    <n v="5"/>
    <n v="3"/>
    <n v="11"/>
    <n v="10"/>
    <n v="4"/>
    <n v="1"/>
  </r>
  <r>
    <n v="229"/>
    <n v="35"/>
    <s v="26-35"/>
    <x v="1"/>
    <s v="Travel_Frequently"/>
    <n v="1389"/>
    <x v="0"/>
    <n v="1"/>
    <s v="Medium"/>
    <s v="Marketing"/>
    <s v="High"/>
    <s v="Female"/>
    <n v="92"/>
    <s v="High"/>
    <s v="High"/>
    <s v="Sales Executive"/>
    <s v="High"/>
    <s v="Single"/>
    <n v="8789"/>
    <n v="9096"/>
    <s v="Medium"/>
    <n v="1"/>
    <x v="1"/>
    <n v="14"/>
    <s v="High"/>
    <s v="Low"/>
    <n v="0"/>
    <n v="10"/>
    <n v="3"/>
    <n v="4"/>
    <n v="10"/>
    <n v="7"/>
    <n v="0"/>
    <n v="8"/>
  </r>
  <r>
    <n v="230"/>
    <n v="29"/>
    <s v="26-35"/>
    <x v="0"/>
    <s v="Travel_Rarely"/>
    <n v="1389"/>
    <x v="1"/>
    <n v="18"/>
    <s v="Low"/>
    <s v="Medical"/>
    <s v="High"/>
    <s v="Male"/>
    <n v="86"/>
    <s v="Medium"/>
    <s v="Low"/>
    <s v="Research Scientist"/>
    <s v="Excellent"/>
    <s v="Single"/>
    <n v="2389"/>
    <n v="14961"/>
    <s v="Low"/>
    <n v="1"/>
    <x v="0"/>
    <n v="13"/>
    <s v="High"/>
    <s v="High"/>
    <n v="0"/>
    <n v="4"/>
    <n v="3"/>
    <n v="2"/>
    <n v="4"/>
    <n v="3"/>
    <n v="0"/>
    <n v="1"/>
  </r>
  <r>
    <n v="231"/>
    <n v="52"/>
    <s v="46-55"/>
    <x v="1"/>
    <s v="Travel_Rarely"/>
    <n v="1389"/>
    <x v="1"/>
    <n v="2"/>
    <s v="Medium"/>
    <s v="Life Sciences"/>
    <s v="High"/>
    <s v="Female"/>
    <n v="89"/>
    <s v="Medium"/>
    <s v="Low"/>
    <s v="Laboratory Technician"/>
    <s v="Excellent"/>
    <s v="Single"/>
    <n v="3212"/>
    <n v="3300"/>
    <s v="Low"/>
    <n v="7"/>
    <x v="1"/>
    <n v="15"/>
    <s v="High"/>
    <s v="Medium"/>
    <n v="0"/>
    <n v="6"/>
    <n v="3"/>
    <n v="2"/>
    <n v="2"/>
    <n v="2"/>
    <n v="2"/>
    <n v="2"/>
  </r>
  <r>
    <n v="232"/>
    <n v="42"/>
    <s v="36-45"/>
    <x v="1"/>
    <s v="Travel_Rarely"/>
    <n v="1389"/>
    <x v="1"/>
    <n v="4"/>
    <s v="Good"/>
    <s v="Technical Degree"/>
    <s v="High"/>
    <s v="Male"/>
    <n v="58"/>
    <s v="High"/>
    <e v="#N/A"/>
    <s v="Manager"/>
    <s v="Excellent"/>
    <s v="Married"/>
    <n v="19232"/>
    <n v="4933"/>
    <s v="High"/>
    <n v="1"/>
    <x v="1"/>
    <n v="11"/>
    <s v="High"/>
    <s v="Excellent"/>
    <n v="0"/>
    <n v="22"/>
    <n v="3"/>
    <n v="3"/>
    <n v="22"/>
    <n v="17"/>
    <n v="11"/>
    <n v="15"/>
  </r>
  <r>
    <n v="233"/>
    <n v="59"/>
    <s v="55+"/>
    <x v="1"/>
    <s v="Travel_Rarely"/>
    <n v="1389"/>
    <x v="2"/>
    <n v="6"/>
    <s v="Good"/>
    <s v="Medical"/>
    <s v="Medium"/>
    <s v="Male"/>
    <n v="52"/>
    <s v="High"/>
    <s v="Low"/>
    <s v="Human Resources"/>
    <s v="High"/>
    <s v="Married"/>
    <n v="2267"/>
    <n v="25657"/>
    <s v="Low"/>
    <n v="8"/>
    <x v="1"/>
    <n v="17"/>
    <s v="High"/>
    <s v="Excellent"/>
    <n v="0"/>
    <n v="7"/>
    <n v="2"/>
    <n v="2"/>
    <n v="2"/>
    <n v="2"/>
    <n v="2"/>
    <n v="2"/>
  </r>
  <r>
    <n v="234"/>
    <n v="50"/>
    <s v="46-55"/>
    <x v="1"/>
    <s v="Travel_Rarely"/>
    <n v="1389"/>
    <x v="0"/>
    <n v="1"/>
    <s v="High"/>
    <s v="Medical"/>
    <s v="Excellent"/>
    <s v="Female"/>
    <n v="68"/>
    <s v="High"/>
    <e v="#N/A"/>
    <s v="Manager"/>
    <s v="Excellent"/>
    <s v="Divorced"/>
    <n v="19517"/>
    <n v="24118"/>
    <s v="High"/>
    <n v="3"/>
    <x v="1"/>
    <n v="11"/>
    <s v="High"/>
    <s v="High"/>
    <n v="1"/>
    <n v="32"/>
    <n v="3"/>
    <n v="2"/>
    <n v="7"/>
    <n v="0"/>
    <n v="0"/>
    <n v="6"/>
  </r>
  <r>
    <n v="235"/>
    <n v="33"/>
    <s v="26-35"/>
    <x v="0"/>
    <s v="Travel_Rarely"/>
    <n v="1389"/>
    <x v="1"/>
    <n v="14"/>
    <s v="Medium"/>
    <s v="Medical"/>
    <s v="High"/>
    <s v="Male"/>
    <n v="58"/>
    <s v="High"/>
    <s v="Low"/>
    <s v="Laboratory Technician"/>
    <s v="Excellent"/>
    <s v="Married"/>
    <n v="2436"/>
    <n v="22149"/>
    <s v="Low"/>
    <n v="5"/>
    <x v="0"/>
    <n v="13"/>
    <s v="High"/>
    <s v="High"/>
    <n v="1"/>
    <n v="8"/>
    <n v="2"/>
    <n v="1"/>
    <n v="5"/>
    <n v="4"/>
    <n v="0"/>
    <n v="4"/>
  </r>
  <r>
    <n v="236"/>
    <n v="43"/>
    <s v="36-45"/>
    <x v="1"/>
    <s v="Travel_Rarely"/>
    <n v="1389"/>
    <x v="0"/>
    <n v="16"/>
    <s v="Medium"/>
    <s v="Marketing"/>
    <s v="Excellent"/>
    <s v="Female"/>
    <n v="80"/>
    <s v="High"/>
    <s v="Excellent"/>
    <s v="Manager"/>
    <s v="Excellent"/>
    <s v="Married"/>
    <n v="16064"/>
    <n v="7744"/>
    <s v="High"/>
    <n v="5"/>
    <x v="0"/>
    <n v="22"/>
    <s v="Excellent"/>
    <s v="High"/>
    <n v="1"/>
    <n v="22"/>
    <n v="3"/>
    <n v="3"/>
    <n v="17"/>
    <n v="13"/>
    <n v="1"/>
    <n v="9"/>
  </r>
  <r>
    <n v="237"/>
    <n v="33"/>
    <s v="26-35"/>
    <x v="0"/>
    <s v="Travel_Rarely"/>
    <n v="1389"/>
    <x v="1"/>
    <n v="2"/>
    <s v="Good"/>
    <s v="Life Sciences"/>
    <s v="Low"/>
    <s v="Female"/>
    <n v="39"/>
    <s v="High"/>
    <s v="Low"/>
    <s v="Laboratory Technician"/>
    <s v="Low"/>
    <s v="Married"/>
    <n v="2707"/>
    <n v="21509"/>
    <s v="Low"/>
    <n v="7"/>
    <x v="1"/>
    <n v="20"/>
    <s v="Excellent"/>
    <s v="Low"/>
    <n v="0"/>
    <n v="13"/>
    <n v="3"/>
    <n v="4"/>
    <n v="9"/>
    <n v="7"/>
    <n v="1"/>
    <n v="7"/>
  </r>
  <r>
    <n v="238"/>
    <n v="52"/>
    <s v="46-55"/>
    <x v="1"/>
    <s v="Non-Travel"/>
    <n v="1389"/>
    <x v="0"/>
    <n v="2"/>
    <s v="High"/>
    <s v="Life Sciences"/>
    <s v="Low"/>
    <s v="Male"/>
    <n v="79"/>
    <s v="Medium"/>
    <e v="#N/A"/>
    <s v="Manager"/>
    <s v="High"/>
    <s v="Single"/>
    <n v="19068"/>
    <n v="21030"/>
    <s v="High"/>
    <n v="1"/>
    <x v="0"/>
    <n v="18"/>
    <s v="High"/>
    <s v="Excellent"/>
    <n v="0"/>
    <n v="33"/>
    <n v="2"/>
    <n v="4"/>
    <n v="33"/>
    <n v="7"/>
    <n v="15"/>
    <n v="12"/>
  </r>
  <r>
    <n v="239"/>
    <n v="32"/>
    <s v="26-35"/>
    <x v="1"/>
    <s v="Travel_Rarely"/>
    <n v="1389"/>
    <x v="0"/>
    <n v="4"/>
    <s v="Good"/>
    <s v="Life Sciences"/>
    <s v="High"/>
    <s v="Female"/>
    <n v="56"/>
    <s v="High"/>
    <s v="Low"/>
    <s v="Sales Representative"/>
    <s v="Medium"/>
    <s v="Married"/>
    <n v="3931"/>
    <n v="20990"/>
    <s v="Low"/>
    <n v="2"/>
    <x v="1"/>
    <n v="11"/>
    <s v="High"/>
    <s v="Low"/>
    <n v="1"/>
    <n v="6"/>
    <n v="5"/>
    <n v="3"/>
    <n v="4"/>
    <n v="3"/>
    <n v="1"/>
    <n v="2"/>
  </r>
  <r>
    <n v="240"/>
    <n v="32"/>
    <s v="26-35"/>
    <x v="0"/>
    <s v="Travel_Rarely"/>
    <n v="1389"/>
    <x v="1"/>
    <n v="1"/>
    <s v="Medium"/>
    <s v="Life Sciences"/>
    <s v="Excellent"/>
    <s v="Male"/>
    <n v="62"/>
    <s v="Medium"/>
    <s v="Low"/>
    <s v="Laboratory Technician"/>
    <s v="High"/>
    <s v="Single"/>
    <n v="3730"/>
    <n v="9571"/>
    <s v="Low"/>
    <n v="0"/>
    <x v="0"/>
    <n v="14"/>
    <s v="High"/>
    <s v="Excellent"/>
    <n v="0"/>
    <n v="4"/>
    <n v="2"/>
    <n v="1"/>
    <n v="3"/>
    <n v="2"/>
    <n v="1"/>
    <n v="2"/>
  </r>
  <r>
    <n v="241"/>
    <n v="39"/>
    <s v="36-45"/>
    <x v="1"/>
    <s v="Travel_Rarely"/>
    <n v="1389"/>
    <x v="1"/>
    <n v="1"/>
    <s v="High"/>
    <s v="Medical"/>
    <s v="High"/>
    <s v="Female"/>
    <n v="96"/>
    <s v="High"/>
    <s v="Low"/>
    <s v="Laboratory Technician"/>
    <s v="High"/>
    <s v="Divorced"/>
    <n v="2232"/>
    <n v="15417"/>
    <s v="Low"/>
    <n v="7"/>
    <x v="1"/>
    <n v="14"/>
    <s v="High"/>
    <s v="High"/>
    <n v="3"/>
    <n v="7"/>
    <n v="1"/>
    <n v="3"/>
    <n v="3"/>
    <n v="2"/>
    <n v="1"/>
    <n v="2"/>
  </r>
  <r>
    <n v="242"/>
    <n v="32"/>
    <s v="26-35"/>
    <x v="1"/>
    <s v="Non-Travel"/>
    <n v="1389"/>
    <x v="0"/>
    <n v="26"/>
    <s v="High"/>
    <s v="Marketing"/>
    <s v="High"/>
    <s v="Male"/>
    <n v="100"/>
    <s v="High"/>
    <s v="Medium"/>
    <s v="Sales Executive"/>
    <s v="Excellent"/>
    <s v="Married"/>
    <n v="4465"/>
    <n v="12069"/>
    <s v="Low"/>
    <n v="0"/>
    <x v="1"/>
    <n v="18"/>
    <s v="High"/>
    <s v="Low"/>
    <n v="0"/>
    <n v="4"/>
    <n v="2"/>
    <n v="3"/>
    <n v="3"/>
    <n v="2"/>
    <n v="2"/>
    <n v="2"/>
  </r>
  <r>
    <n v="243"/>
    <n v="41"/>
    <s v="36-45"/>
    <x v="1"/>
    <s v="Travel_Rarely"/>
    <n v="1389"/>
    <x v="1"/>
    <n v="19"/>
    <s v="Good"/>
    <s v="Life Sciences"/>
    <s v="High"/>
    <s v="Male"/>
    <n v="36"/>
    <s v="High"/>
    <s v="Medium"/>
    <s v="Research Scientist"/>
    <s v="Low"/>
    <s v="Divorced"/>
    <n v="3072"/>
    <n v="19877"/>
    <s v="Low"/>
    <n v="2"/>
    <x v="1"/>
    <n v="16"/>
    <s v="High"/>
    <s v="Low"/>
    <n v="2"/>
    <n v="17"/>
    <n v="2"/>
    <n v="2"/>
    <n v="1"/>
    <n v="0"/>
    <n v="0"/>
    <n v="0"/>
  </r>
  <r>
    <n v="244"/>
    <n v="40"/>
    <s v="36-45"/>
    <x v="1"/>
    <s v="Travel_Rarely"/>
    <n v="1389"/>
    <x v="1"/>
    <n v="24"/>
    <s v="Good"/>
    <s v="Technical Degree"/>
    <s v="Low"/>
    <s v="Male"/>
    <n v="62"/>
    <s v="High"/>
    <s v="Medium"/>
    <s v="Research Scientist"/>
    <s v="Excellent"/>
    <s v="Divorced"/>
    <n v="3319"/>
    <n v="24447"/>
    <s v="Low"/>
    <n v="1"/>
    <x v="1"/>
    <n v="17"/>
    <s v="High"/>
    <s v="Low"/>
    <n v="2"/>
    <n v="9"/>
    <n v="3"/>
    <n v="3"/>
    <n v="9"/>
    <n v="8"/>
    <n v="4"/>
    <n v="7"/>
  </r>
  <r>
    <n v="245"/>
    <n v="45"/>
    <s v="36-45"/>
    <x v="1"/>
    <s v="Travel_Rarely"/>
    <n v="1389"/>
    <x v="1"/>
    <n v="1"/>
    <s v="Medium"/>
    <s v="Other"/>
    <s v="High"/>
    <s v="Male"/>
    <n v="70"/>
    <s v="Excellent"/>
    <e v="#N/A"/>
    <s v="Manager"/>
    <s v="Excellent"/>
    <s v="Married"/>
    <n v="19202"/>
    <n v="15970"/>
    <s v="High"/>
    <n v="0"/>
    <x v="1"/>
    <n v="11"/>
    <s v="High"/>
    <s v="High"/>
    <n v="1"/>
    <n v="25"/>
    <n v="2"/>
    <n v="3"/>
    <n v="24"/>
    <n v="0"/>
    <n v="1"/>
    <n v="7"/>
  </r>
  <r>
    <n v="246"/>
    <n v="31"/>
    <s v="26-35"/>
    <x v="1"/>
    <s v="Travel_Frequently"/>
    <n v="1389"/>
    <x v="1"/>
    <n v="3"/>
    <s v="High"/>
    <s v="Medical"/>
    <s v="Medium"/>
    <s v="Male"/>
    <n v="73"/>
    <s v="High"/>
    <s v="High"/>
    <s v="Research Director"/>
    <s v="High"/>
    <s v="Divorced"/>
    <n v="13675"/>
    <n v="13523"/>
    <s v="High"/>
    <n v="9"/>
    <x v="1"/>
    <n v="12"/>
    <s v="High"/>
    <s v="Low"/>
    <n v="1"/>
    <n v="9"/>
    <n v="3"/>
    <n v="3"/>
    <n v="2"/>
    <n v="2"/>
    <n v="2"/>
    <n v="2"/>
  </r>
  <r>
    <n v="247"/>
    <n v="33"/>
    <s v="26-35"/>
    <x v="1"/>
    <s v="Travel_Rarely"/>
    <n v="1389"/>
    <x v="1"/>
    <n v="5"/>
    <s v="High"/>
    <s v="Life Sciences"/>
    <s v="High"/>
    <s v="Female"/>
    <n v="63"/>
    <s v="Medium"/>
    <s v="Low"/>
    <s v="Research Scientist"/>
    <s v="Excellent"/>
    <s v="Married"/>
    <n v="2911"/>
    <n v="14776"/>
    <s v="Low"/>
    <n v="1"/>
    <x v="1"/>
    <n v="13"/>
    <s v="High"/>
    <s v="High"/>
    <n v="1"/>
    <n v="2"/>
    <n v="2"/>
    <n v="2"/>
    <n v="2"/>
    <n v="2"/>
    <n v="0"/>
    <n v="2"/>
  </r>
  <r>
    <n v="248"/>
    <n v="34"/>
    <s v="26-35"/>
    <x v="1"/>
    <s v="Travel_Rarely"/>
    <n v="1389"/>
    <x v="1"/>
    <n v="2"/>
    <s v="High"/>
    <s v="Life Sciences"/>
    <s v="Excellent"/>
    <s v="Male"/>
    <n v="84"/>
    <s v="Medium"/>
    <s v="Medium"/>
    <s v="Manufacturing Director"/>
    <s v="Low"/>
    <s v="Married"/>
    <n v="5957"/>
    <n v="23687"/>
    <s v="Medium"/>
    <n v="6"/>
    <x v="1"/>
    <n v="13"/>
    <s v="High"/>
    <s v="Medium"/>
    <n v="1"/>
    <n v="13"/>
    <n v="3"/>
    <n v="3"/>
    <n v="11"/>
    <n v="9"/>
    <n v="5"/>
    <n v="9"/>
  </r>
  <r>
    <n v="249"/>
    <n v="37"/>
    <s v="36-45"/>
    <x v="1"/>
    <s v="Travel_Rarely"/>
    <n v="1389"/>
    <x v="1"/>
    <n v="1"/>
    <s v="Good"/>
    <s v="Medical"/>
    <s v="High"/>
    <s v="Female"/>
    <n v="83"/>
    <s v="Medium"/>
    <s v="Low"/>
    <s v="Research Scientist"/>
    <s v="Low"/>
    <s v="Married"/>
    <n v="3920"/>
    <n v="18697"/>
    <s v="Low"/>
    <n v="2"/>
    <x v="1"/>
    <n v="14"/>
    <s v="High"/>
    <s v="Low"/>
    <n v="1"/>
    <n v="17"/>
    <n v="2"/>
    <n v="2"/>
    <n v="3"/>
    <n v="1"/>
    <n v="0"/>
    <n v="2"/>
  </r>
  <r>
    <n v="250"/>
    <n v="45"/>
    <s v="36-45"/>
    <x v="1"/>
    <s v="Travel_Frequently"/>
    <n v="1389"/>
    <x v="1"/>
    <n v="7"/>
    <s v="High"/>
    <s v="Life Sciences"/>
    <s v="Low"/>
    <s v="Male"/>
    <n v="77"/>
    <s v="Excellent"/>
    <s v="Medium"/>
    <s v="Manufacturing Director"/>
    <s v="High"/>
    <s v="Married"/>
    <n v="6434"/>
    <n v="5118"/>
    <s v="Medium"/>
    <n v="4"/>
    <x v="1"/>
    <n v="17"/>
    <s v="High"/>
    <s v="Excellent"/>
    <n v="1"/>
    <n v="9"/>
    <n v="1"/>
    <n v="3"/>
    <n v="3"/>
    <n v="2"/>
    <n v="0"/>
    <n v="2"/>
  </r>
  <r>
    <n v="251"/>
    <n v="37"/>
    <s v="36-45"/>
    <x v="0"/>
    <s v="Travel_Frequently"/>
    <n v="1389"/>
    <x v="1"/>
    <n v="10"/>
    <s v="Medium"/>
    <s v="Medical"/>
    <s v="Low"/>
    <s v="Male"/>
    <n v="61"/>
    <s v="High"/>
    <s v="High"/>
    <s v="Manufacturing Director"/>
    <s v="High"/>
    <s v="Divorced"/>
    <n v="10048"/>
    <n v="22573"/>
    <s v="High"/>
    <n v="6"/>
    <x v="1"/>
    <n v="11"/>
    <s v="High"/>
    <s v="Medium"/>
    <n v="2"/>
    <n v="17"/>
    <n v="5"/>
    <n v="3"/>
    <n v="1"/>
    <n v="0"/>
    <n v="0"/>
    <n v="0"/>
  </r>
  <r>
    <n v="252"/>
    <n v="39"/>
    <s v="36-45"/>
    <x v="1"/>
    <s v="Travel_Frequently"/>
    <n v="1389"/>
    <x v="1"/>
    <n v="2"/>
    <s v="High"/>
    <s v="Technical Degree"/>
    <s v="High"/>
    <s v="Female"/>
    <n v="64"/>
    <s v="High"/>
    <s v="High"/>
    <s v="Healthcare Representative"/>
    <s v="High"/>
    <s v="Single"/>
    <n v="10938"/>
    <n v="6420"/>
    <s v="High"/>
    <n v="0"/>
    <x v="1"/>
    <n v="25"/>
    <s v="Excellent"/>
    <s v="Excellent"/>
    <n v="0"/>
    <n v="20"/>
    <n v="1"/>
    <n v="3"/>
    <n v="19"/>
    <n v="6"/>
    <n v="11"/>
    <n v="8"/>
  </r>
  <r>
    <n v="253"/>
    <n v="29"/>
    <s v="26-35"/>
    <x v="1"/>
    <s v="Travel_Rarely"/>
    <n v="1389"/>
    <x v="1"/>
    <n v="15"/>
    <s v="Medium"/>
    <s v="Life Sciences"/>
    <s v="High"/>
    <s v="Male"/>
    <n v="60"/>
    <s v="High"/>
    <s v="Low"/>
    <s v="Research Scientist"/>
    <s v="Excellent"/>
    <s v="Single"/>
    <n v="2340"/>
    <n v="22673"/>
    <s v="Low"/>
    <n v="1"/>
    <x v="1"/>
    <n v="19"/>
    <s v="High"/>
    <s v="Low"/>
    <n v="0"/>
    <n v="6"/>
    <n v="1"/>
    <n v="3"/>
    <n v="6"/>
    <n v="5"/>
    <n v="1"/>
    <n v="5"/>
  </r>
  <r>
    <n v="254"/>
    <n v="42"/>
    <s v="36-45"/>
    <x v="1"/>
    <s v="Travel_Rarely"/>
    <n v="1389"/>
    <x v="1"/>
    <n v="17"/>
    <s v="Good"/>
    <s v="Life Sciences"/>
    <s v="Excellent"/>
    <s v="Female"/>
    <n v="82"/>
    <s v="Excellent"/>
    <s v="Medium"/>
    <s v="Research Scientist"/>
    <s v="Low"/>
    <s v="Single"/>
    <n v="6545"/>
    <n v="23016"/>
    <s v="Medium"/>
    <n v="3"/>
    <x v="0"/>
    <n v="13"/>
    <s v="High"/>
    <s v="High"/>
    <n v="0"/>
    <n v="10"/>
    <n v="1"/>
    <n v="3"/>
    <n v="3"/>
    <n v="2"/>
    <n v="0"/>
    <n v="2"/>
  </r>
  <r>
    <n v="255"/>
    <n v="29"/>
    <s v="26-35"/>
    <x v="1"/>
    <s v="Travel_Rarely"/>
    <n v="1389"/>
    <x v="0"/>
    <n v="20"/>
    <s v="Good"/>
    <s v="Marketing"/>
    <s v="Excellent"/>
    <s v="Male"/>
    <n v="45"/>
    <s v="High"/>
    <s v="Medium"/>
    <s v="Sales Executive"/>
    <s v="Excellent"/>
    <s v="Divorced"/>
    <n v="6931"/>
    <n v="10732"/>
    <s v="Medium"/>
    <n v="2"/>
    <x v="1"/>
    <n v="14"/>
    <s v="High"/>
    <s v="Excellent"/>
    <n v="1"/>
    <n v="10"/>
    <n v="2"/>
    <n v="3"/>
    <n v="3"/>
    <n v="2"/>
    <n v="0"/>
    <n v="2"/>
  </r>
  <r>
    <n v="256"/>
    <n v="25"/>
    <s v="18-25"/>
    <x v="1"/>
    <s v="Travel_Rarely"/>
    <n v="1389"/>
    <x v="1"/>
    <n v="1"/>
    <s v="Medium"/>
    <s v="Life Sciences"/>
    <s v="Low"/>
    <s v="Female"/>
    <n v="62"/>
    <s v="High"/>
    <s v="Medium"/>
    <s v="Manufacturing Director"/>
    <s v="High"/>
    <s v="Married"/>
    <n v="4898"/>
    <n v="7505"/>
    <s v="Low"/>
    <n v="0"/>
    <x v="1"/>
    <n v="12"/>
    <s v="High"/>
    <s v="Excellent"/>
    <n v="2"/>
    <n v="5"/>
    <n v="3"/>
    <n v="3"/>
    <n v="4"/>
    <n v="2"/>
    <n v="1"/>
    <n v="2"/>
  </r>
  <r>
    <n v="257"/>
    <n v="42"/>
    <s v="36-45"/>
    <x v="1"/>
    <s v="Travel_Rarely"/>
    <n v="1389"/>
    <x v="1"/>
    <n v="2"/>
    <s v="Medium"/>
    <s v="Medical"/>
    <s v="Excellent"/>
    <s v="Female"/>
    <n v="56"/>
    <s v="Medium"/>
    <s v="Low"/>
    <s v="Laboratory Technician"/>
    <s v="Low"/>
    <s v="Divorced"/>
    <n v="2593"/>
    <n v="8007"/>
    <s v="Low"/>
    <n v="0"/>
    <x v="0"/>
    <n v="11"/>
    <s v="High"/>
    <s v="High"/>
    <n v="1"/>
    <n v="10"/>
    <n v="4"/>
    <n v="3"/>
    <n v="9"/>
    <n v="6"/>
    <n v="7"/>
    <n v="8"/>
  </r>
  <r>
    <n v="258"/>
    <n v="40"/>
    <s v="36-45"/>
    <x v="1"/>
    <s v="Travel_Rarely"/>
    <n v="1389"/>
    <x v="1"/>
    <n v="2"/>
    <s v="Good"/>
    <s v="Medical"/>
    <s v="Low"/>
    <s v="Male"/>
    <n v="49"/>
    <s v="High"/>
    <e v="#N/A"/>
    <s v="Research Director"/>
    <s v="High"/>
    <s v="Divorced"/>
    <n v="19436"/>
    <n v="5949"/>
    <s v="High"/>
    <n v="0"/>
    <x v="1"/>
    <n v="19"/>
    <s v="High"/>
    <s v="Excellent"/>
    <n v="1"/>
    <n v="22"/>
    <n v="5"/>
    <n v="3"/>
    <n v="21"/>
    <n v="7"/>
    <n v="3"/>
    <n v="9"/>
  </r>
  <r>
    <n v="259"/>
    <n v="51"/>
    <s v="46-55"/>
    <x v="1"/>
    <s v="Travel_Rarely"/>
    <n v="1389"/>
    <x v="1"/>
    <n v="1"/>
    <s v="Medium"/>
    <s v="Life Sciences"/>
    <s v="High"/>
    <s v="Male"/>
    <n v="96"/>
    <s v="High"/>
    <s v="Low"/>
    <s v="Research Scientist"/>
    <s v="Excellent"/>
    <s v="Married"/>
    <n v="2723"/>
    <n v="23231"/>
    <s v="Low"/>
    <n v="1"/>
    <x v="1"/>
    <n v="11"/>
    <s v="High"/>
    <s v="Medium"/>
    <n v="0"/>
    <n v="1"/>
    <n v="0"/>
    <n v="2"/>
    <n v="1"/>
    <n v="0"/>
    <n v="0"/>
    <n v="0"/>
  </r>
  <r>
    <n v="260"/>
    <n v="31"/>
    <s v="26-35"/>
    <x v="0"/>
    <s v="Travel_Frequently"/>
    <n v="1389"/>
    <x v="1"/>
    <n v="29"/>
    <s v="Good"/>
    <s v="Medical"/>
    <s v="High"/>
    <s v="Male"/>
    <n v="71"/>
    <s v="Medium"/>
    <s v="Low"/>
    <s v="Laboratory Technician"/>
    <s v="Medium"/>
    <s v="Single"/>
    <n v="3479"/>
    <n v="11652"/>
    <s v="Low"/>
    <n v="0"/>
    <x v="1"/>
    <n v="11"/>
    <s v="High"/>
    <s v="Medium"/>
    <n v="0"/>
    <n v="6"/>
    <n v="2"/>
    <n v="4"/>
    <n v="5"/>
    <n v="4"/>
    <n v="1"/>
    <n v="4"/>
  </r>
  <r>
    <n v="261"/>
    <n v="32"/>
    <s v="26-35"/>
    <x v="1"/>
    <s v="Travel_Frequently"/>
    <n v="1389"/>
    <x v="1"/>
    <n v="7"/>
    <s v="Medium"/>
    <s v="Life Sciences"/>
    <s v="Medium"/>
    <s v="Male"/>
    <n v="100"/>
    <s v="Excellent"/>
    <s v="Low"/>
    <s v="Laboratory Technician"/>
    <s v="Medium"/>
    <s v="Married"/>
    <n v="2794"/>
    <n v="26062"/>
    <s v="Low"/>
    <n v="1"/>
    <x v="1"/>
    <n v="20"/>
    <s v="Excellent"/>
    <s v="High"/>
    <n v="0"/>
    <n v="5"/>
    <n v="3"/>
    <n v="1"/>
    <n v="5"/>
    <n v="1"/>
    <n v="0"/>
    <n v="3"/>
  </r>
  <r>
    <n v="262"/>
    <n v="38"/>
    <s v="36-45"/>
    <x v="1"/>
    <s v="Non-Travel"/>
    <n v="1389"/>
    <x v="0"/>
    <n v="2"/>
    <s v="Good"/>
    <s v="Life Sciences"/>
    <s v="Excellent"/>
    <s v="Male"/>
    <n v="39"/>
    <s v="Medium"/>
    <s v="Medium"/>
    <s v="Sales Executive"/>
    <s v="Excellent"/>
    <s v="Married"/>
    <n v="5249"/>
    <n v="19682"/>
    <s v="Medium"/>
    <n v="3"/>
    <x v="1"/>
    <n v="18"/>
    <s v="High"/>
    <s v="Excellent"/>
    <n v="1"/>
    <n v="13"/>
    <n v="0"/>
    <n v="3"/>
    <n v="8"/>
    <n v="7"/>
    <n v="7"/>
    <n v="5"/>
  </r>
  <r>
    <n v="263"/>
    <n v="32"/>
    <s v="26-35"/>
    <x v="1"/>
    <s v="Travel_Rarely"/>
    <n v="1389"/>
    <x v="1"/>
    <n v="2"/>
    <s v="Low"/>
    <s v="Technical Degree"/>
    <s v="Excellent"/>
    <s v="Male"/>
    <n v="84"/>
    <s v="Medium"/>
    <s v="Medium"/>
    <s v="Laboratory Technician"/>
    <s v="Low"/>
    <s v="Single"/>
    <n v="2176"/>
    <n v="19737"/>
    <s v="Low"/>
    <n v="4"/>
    <x v="1"/>
    <n v="13"/>
    <s v="High"/>
    <s v="Excellent"/>
    <n v="0"/>
    <n v="9"/>
    <n v="5"/>
    <n v="3"/>
    <n v="6"/>
    <n v="2"/>
    <n v="0"/>
    <n v="4"/>
  </r>
  <r>
    <n v="264"/>
    <n v="46"/>
    <s v="46-55"/>
    <x v="1"/>
    <s v="Travel_Rarely"/>
    <n v="1389"/>
    <x v="0"/>
    <n v="2"/>
    <s v="Medium"/>
    <s v="Technical Degree"/>
    <s v="High"/>
    <s v="Female"/>
    <n v="75"/>
    <s v="Low"/>
    <s v="Excellent"/>
    <s v="Manager"/>
    <s v="Medium"/>
    <s v="Married"/>
    <n v="16872"/>
    <n v="14977"/>
    <s v="High"/>
    <n v="3"/>
    <x v="0"/>
    <n v="12"/>
    <s v="High"/>
    <s v="Medium"/>
    <n v="1"/>
    <n v="28"/>
    <n v="2"/>
    <n v="2"/>
    <n v="7"/>
    <n v="7"/>
    <n v="7"/>
    <n v="7"/>
  </r>
  <r>
    <n v="265"/>
    <n v="28"/>
    <s v="26-35"/>
    <x v="0"/>
    <s v="Travel_Rarely"/>
    <n v="1389"/>
    <x v="1"/>
    <n v="2"/>
    <s v="High"/>
    <s v="Life Sciences"/>
    <s v="Low"/>
    <s v="Male"/>
    <n v="79"/>
    <s v="High"/>
    <s v="Low"/>
    <s v="Laboratory Technician"/>
    <s v="High"/>
    <s v="Single"/>
    <n v="3485"/>
    <n v="14935"/>
    <s v="Low"/>
    <n v="2"/>
    <x v="1"/>
    <n v="11"/>
    <s v="High"/>
    <s v="High"/>
    <n v="0"/>
    <n v="5"/>
    <n v="5"/>
    <n v="1"/>
    <n v="0"/>
    <n v="0"/>
    <n v="0"/>
    <n v="0"/>
  </r>
  <r>
    <n v="266"/>
    <n v="29"/>
    <s v="26-35"/>
    <x v="1"/>
    <s v="Travel_Rarely"/>
    <n v="1389"/>
    <x v="0"/>
    <n v="2"/>
    <s v="Medium"/>
    <s v="Medical"/>
    <s v="Low"/>
    <s v="Male"/>
    <n v="78"/>
    <s v="Medium"/>
    <s v="Medium"/>
    <s v="Sales Executive"/>
    <s v="Medium"/>
    <s v="Married"/>
    <n v="6644"/>
    <n v="3687"/>
    <s v="Medium"/>
    <n v="2"/>
    <x v="1"/>
    <n v="19"/>
    <s v="High"/>
    <s v="Medium"/>
    <n v="2"/>
    <n v="10"/>
    <n v="2"/>
    <n v="3"/>
    <n v="0"/>
    <n v="0"/>
    <n v="0"/>
    <n v="0"/>
  </r>
  <r>
    <n v="267"/>
    <n v="31"/>
    <s v="26-35"/>
    <x v="1"/>
    <s v="Travel_Rarely"/>
    <n v="1389"/>
    <x v="1"/>
    <n v="23"/>
    <s v="Medium"/>
    <s v="Medical"/>
    <s v="Medium"/>
    <s v="Male"/>
    <n v="64"/>
    <s v="Medium"/>
    <s v="Medium"/>
    <s v="Healthcare Representative"/>
    <s v="Excellent"/>
    <s v="Married"/>
    <n v="5582"/>
    <n v="14408"/>
    <s v="Medium"/>
    <n v="0"/>
    <x v="1"/>
    <n v="21"/>
    <s v="Excellent"/>
    <s v="Medium"/>
    <n v="1"/>
    <n v="10"/>
    <n v="2"/>
    <n v="3"/>
    <n v="9"/>
    <n v="0"/>
    <n v="7"/>
    <n v="8"/>
  </r>
  <r>
    <n v="268"/>
    <n v="25"/>
    <s v="18-25"/>
    <x v="1"/>
    <s v="Non-Travel"/>
    <n v="1389"/>
    <x v="1"/>
    <n v="5"/>
    <s v="Good"/>
    <s v="Life Sciences"/>
    <s v="Medium"/>
    <s v="Male"/>
    <n v="85"/>
    <s v="Excellent"/>
    <s v="Medium"/>
    <s v="Healthcare Representative"/>
    <s v="Low"/>
    <s v="Divorced"/>
    <n v="4000"/>
    <n v="18384"/>
    <s v="Low"/>
    <n v="1"/>
    <x v="1"/>
    <n v="12"/>
    <s v="High"/>
    <s v="Excellent"/>
    <n v="2"/>
    <n v="6"/>
    <n v="2"/>
    <n v="3"/>
    <n v="6"/>
    <n v="3"/>
    <n v="1"/>
    <n v="5"/>
  </r>
  <r>
    <n v="269"/>
    <n v="45"/>
    <s v="36-45"/>
    <x v="1"/>
    <s v="Travel_Rarely"/>
    <n v="1389"/>
    <x v="1"/>
    <n v="20"/>
    <s v="Good"/>
    <s v="Medical"/>
    <s v="High"/>
    <s v="Male"/>
    <n v="79"/>
    <s v="High"/>
    <s v="Excellent"/>
    <s v="Healthcare Representative"/>
    <s v="Excellent"/>
    <s v="Married"/>
    <n v="13496"/>
    <n v="7501"/>
    <s v="High"/>
    <n v="0"/>
    <x v="0"/>
    <n v="14"/>
    <s v="High"/>
    <s v="Medium"/>
    <n v="0"/>
    <n v="21"/>
    <n v="2"/>
    <n v="3"/>
    <n v="20"/>
    <n v="7"/>
    <n v="4"/>
    <n v="10"/>
  </r>
  <r>
    <n v="270"/>
    <n v="36"/>
    <s v="36-45"/>
    <x v="1"/>
    <s v="Travel_Rarely"/>
    <n v="1389"/>
    <x v="1"/>
    <n v="6"/>
    <s v="Medium"/>
    <s v="Life Sciences"/>
    <s v="Excellent"/>
    <s v="Male"/>
    <n v="47"/>
    <s v="High"/>
    <s v="Low"/>
    <s v="Laboratory Technician"/>
    <s v="Excellent"/>
    <s v="Married"/>
    <n v="3210"/>
    <n v="20251"/>
    <s v="Low"/>
    <n v="0"/>
    <x v="1"/>
    <n v="11"/>
    <s v="High"/>
    <s v="High"/>
    <n v="1"/>
    <n v="16"/>
    <n v="4"/>
    <n v="3"/>
    <n v="15"/>
    <n v="13"/>
    <n v="10"/>
    <n v="11"/>
  </r>
  <r>
    <n v="271"/>
    <n v="55"/>
    <s v="46-55"/>
    <x v="1"/>
    <s v="Travel_Rarely"/>
    <n v="1389"/>
    <x v="1"/>
    <n v="1"/>
    <s v="Medium"/>
    <s v="Medical"/>
    <s v="Excellent"/>
    <s v="Male"/>
    <n v="81"/>
    <s v="High"/>
    <e v="#N/A"/>
    <s v="Manager"/>
    <s v="Low"/>
    <s v="Single"/>
    <n v="19045"/>
    <n v="18938"/>
    <s v="High"/>
    <n v="0"/>
    <x v="0"/>
    <n v="14"/>
    <s v="High"/>
    <s v="High"/>
    <n v="0"/>
    <n v="37"/>
    <n v="2"/>
    <n v="3"/>
    <n v="36"/>
    <n v="10"/>
    <n v="4"/>
    <n v="13"/>
  </r>
  <r>
    <n v="272"/>
    <n v="47"/>
    <s v="46-55"/>
    <x v="0"/>
    <s v="Non-Travel"/>
    <n v="1389"/>
    <x v="1"/>
    <n v="29"/>
    <s v="High"/>
    <s v="Life Sciences"/>
    <s v="Low"/>
    <s v="Male"/>
    <n v="88"/>
    <s v="High"/>
    <s v="High"/>
    <s v="Manager"/>
    <s v="Medium"/>
    <s v="Married"/>
    <n v="11849"/>
    <n v="10268"/>
    <s v="High"/>
    <n v="1"/>
    <x v="0"/>
    <n v="12"/>
    <s v="High"/>
    <s v="Excellent"/>
    <n v="1"/>
    <n v="10"/>
    <n v="2"/>
    <n v="2"/>
    <n v="10"/>
    <n v="7"/>
    <n v="9"/>
    <n v="9"/>
  </r>
  <r>
    <n v="273"/>
    <n v="28"/>
    <s v="26-35"/>
    <x v="1"/>
    <s v="Travel_Rarely"/>
    <n v="1389"/>
    <x v="1"/>
    <n v="9"/>
    <s v="Medium"/>
    <s v="Medical"/>
    <s v="Excellent"/>
    <s v="Male"/>
    <n v="94"/>
    <s v="High"/>
    <s v="Low"/>
    <s v="Research Scientist"/>
    <s v="Excellent"/>
    <s v="Married"/>
    <n v="2070"/>
    <n v="2613"/>
    <s v="Low"/>
    <n v="1"/>
    <x v="1"/>
    <n v="23"/>
    <s v="Excellent"/>
    <s v="Excellent"/>
    <n v="1"/>
    <n v="5"/>
    <n v="3"/>
    <n v="2"/>
    <n v="5"/>
    <n v="2"/>
    <n v="0"/>
    <n v="4"/>
  </r>
  <r>
    <n v="274"/>
    <n v="37"/>
    <s v="36-45"/>
    <x v="1"/>
    <s v="Travel_Rarely"/>
    <n v="1389"/>
    <x v="0"/>
    <n v="6"/>
    <s v="High"/>
    <s v="Medical"/>
    <s v="High"/>
    <s v="Male"/>
    <n v="98"/>
    <s v="High"/>
    <s v="Medium"/>
    <s v="Sales Executive"/>
    <s v="Excellent"/>
    <s v="Married"/>
    <n v="6502"/>
    <n v="22825"/>
    <s v="Medium"/>
    <n v="4"/>
    <x v="1"/>
    <n v="14"/>
    <s v="High"/>
    <s v="Medium"/>
    <n v="1"/>
    <n v="7"/>
    <n v="5"/>
    <n v="4"/>
    <n v="5"/>
    <n v="4"/>
    <n v="0"/>
    <n v="1"/>
  </r>
  <r>
    <n v="275"/>
    <n v="21"/>
    <s v="18-25"/>
    <x v="1"/>
    <s v="Travel_Rarely"/>
    <n v="1389"/>
    <x v="1"/>
    <n v="3"/>
    <s v="Good"/>
    <s v="Medical"/>
    <s v="Excellent"/>
    <s v="Male"/>
    <n v="100"/>
    <s v="Medium"/>
    <s v="Low"/>
    <s v="Research Scientist"/>
    <s v="High"/>
    <s v="Single"/>
    <n v="3230"/>
    <n v="10531"/>
    <s v="Low"/>
    <n v="1"/>
    <x v="1"/>
    <n v="17"/>
    <s v="High"/>
    <s v="Low"/>
    <n v="0"/>
    <n v="3"/>
    <n v="4"/>
    <n v="4"/>
    <n v="3"/>
    <n v="2"/>
    <n v="1"/>
    <n v="0"/>
  </r>
  <r>
    <n v="276"/>
    <n v="37"/>
    <s v="36-45"/>
    <x v="1"/>
    <s v="Non-Travel"/>
    <n v="1389"/>
    <x v="1"/>
    <n v="1"/>
    <s v="High"/>
    <s v="Medical"/>
    <s v="Low"/>
    <s v="Female"/>
    <n v="80"/>
    <s v="High"/>
    <s v="High"/>
    <s v="Research Director"/>
    <s v="Excellent"/>
    <s v="Divorced"/>
    <n v="13603"/>
    <n v="11677"/>
    <s v="High"/>
    <n v="2"/>
    <x v="0"/>
    <n v="18"/>
    <s v="High"/>
    <s v="Low"/>
    <n v="2"/>
    <n v="15"/>
    <n v="2"/>
    <n v="3"/>
    <n v="5"/>
    <n v="2"/>
    <n v="0"/>
    <n v="2"/>
  </r>
  <r>
    <n v="277"/>
    <n v="35"/>
    <s v="26-35"/>
    <x v="1"/>
    <s v="Travel_Rarely"/>
    <n v="1389"/>
    <x v="1"/>
    <n v="22"/>
    <s v="Medium"/>
    <s v="Life Sciences"/>
    <s v="Medium"/>
    <s v="Female"/>
    <n v="71"/>
    <s v="Excellent"/>
    <s v="High"/>
    <s v="Manager"/>
    <s v="Medium"/>
    <s v="Divorced"/>
    <n v="11996"/>
    <n v="19100"/>
    <s v="High"/>
    <n v="7"/>
    <x v="1"/>
    <n v="18"/>
    <s v="High"/>
    <s v="Medium"/>
    <n v="1"/>
    <n v="10"/>
    <n v="6"/>
    <n v="2"/>
    <n v="7"/>
    <n v="7"/>
    <n v="6"/>
    <n v="2"/>
  </r>
  <r>
    <n v="278"/>
    <n v="38"/>
    <s v="36-45"/>
    <x v="1"/>
    <s v="Travel_Rarely"/>
    <n v="1389"/>
    <x v="0"/>
    <n v="7"/>
    <s v="Good"/>
    <s v="Medical"/>
    <s v="Low"/>
    <s v="Female"/>
    <n v="44"/>
    <s v="Excellent"/>
    <s v="Medium"/>
    <s v="Sales Executive"/>
    <s v="Low"/>
    <s v="Divorced"/>
    <n v="5605"/>
    <n v="19191"/>
    <s v="Medium"/>
    <n v="1"/>
    <x v="0"/>
    <n v="24"/>
    <s v="Excellent"/>
    <s v="High"/>
    <n v="1"/>
    <n v="8"/>
    <n v="3"/>
    <n v="3"/>
    <n v="8"/>
    <n v="0"/>
    <n v="7"/>
    <n v="7"/>
  </r>
  <r>
    <n v="279"/>
    <n v="26"/>
    <s v="26-35"/>
    <x v="1"/>
    <s v="Travel_Frequently"/>
    <n v="1389"/>
    <x v="1"/>
    <n v="1"/>
    <s v="Medium"/>
    <s v="Life Sciences"/>
    <s v="High"/>
    <s v="Female"/>
    <n v="84"/>
    <s v="High"/>
    <s v="Medium"/>
    <s v="Manufacturing Director"/>
    <s v="Medium"/>
    <s v="Divorced"/>
    <n v="6397"/>
    <n v="26767"/>
    <s v="Medium"/>
    <n v="1"/>
    <x v="1"/>
    <n v="20"/>
    <s v="Excellent"/>
    <s v="Low"/>
    <n v="1"/>
    <n v="6"/>
    <n v="6"/>
    <n v="1"/>
    <n v="6"/>
    <n v="5"/>
    <n v="1"/>
    <n v="4"/>
  </r>
  <r>
    <n v="280"/>
    <n v="50"/>
    <s v="46-55"/>
    <x v="1"/>
    <s v="Travel_Rarely"/>
    <n v="1389"/>
    <x v="1"/>
    <n v="4"/>
    <s v="Low"/>
    <s v="Life Sciences"/>
    <s v="Low"/>
    <s v="Male"/>
    <n v="96"/>
    <s v="High"/>
    <e v="#N/A"/>
    <s v="Research Director"/>
    <s v="Medium"/>
    <s v="Divorced"/>
    <n v="19144"/>
    <n v="15815"/>
    <s v="High"/>
    <n v="3"/>
    <x v="1"/>
    <n v="14"/>
    <s v="High"/>
    <s v="Low"/>
    <n v="2"/>
    <n v="28"/>
    <n v="4"/>
    <n v="2"/>
    <n v="10"/>
    <n v="4"/>
    <n v="1"/>
    <n v="6"/>
  </r>
  <r>
    <n v="281"/>
    <n v="53"/>
    <s v="46-55"/>
    <x v="1"/>
    <s v="Travel_Rarely"/>
    <n v="1389"/>
    <x v="1"/>
    <n v="3"/>
    <s v="High"/>
    <s v="Medical"/>
    <s v="High"/>
    <s v="Male"/>
    <n v="45"/>
    <s v="High"/>
    <s v="Excellent"/>
    <s v="Research Director"/>
    <s v="High"/>
    <s v="Married"/>
    <n v="17584"/>
    <n v="21016"/>
    <s v="High"/>
    <n v="3"/>
    <x v="0"/>
    <n v="16"/>
    <s v="High"/>
    <s v="Excellent"/>
    <n v="3"/>
    <n v="21"/>
    <n v="5"/>
    <n v="2"/>
    <n v="5"/>
    <n v="3"/>
    <n v="1"/>
    <n v="3"/>
  </r>
  <r>
    <n v="282"/>
    <n v="42"/>
    <s v="36-45"/>
    <x v="1"/>
    <s v="Travel_Rarely"/>
    <n v="1389"/>
    <x v="0"/>
    <n v="1"/>
    <s v="Low"/>
    <s v="Life Sciences"/>
    <s v="Medium"/>
    <s v="Male"/>
    <n v="99"/>
    <s v="High"/>
    <s v="Medium"/>
    <s v="Sales Executive"/>
    <s v="High"/>
    <s v="Married"/>
    <n v="4907"/>
    <n v="24532"/>
    <s v="Low"/>
    <n v="1"/>
    <x v="1"/>
    <n v="25"/>
    <s v="Excellent"/>
    <s v="High"/>
    <n v="0"/>
    <n v="20"/>
    <n v="3"/>
    <n v="3"/>
    <n v="20"/>
    <n v="16"/>
    <n v="11"/>
    <n v="6"/>
  </r>
  <r>
    <n v="283"/>
    <n v="29"/>
    <s v="26-35"/>
    <x v="1"/>
    <s v="Travel_Frequently"/>
    <n v="1389"/>
    <x v="0"/>
    <n v="2"/>
    <s v="Good"/>
    <s v="Life Sciences"/>
    <s v="Medium"/>
    <s v="Male"/>
    <n v="44"/>
    <s v="High"/>
    <s v="Medium"/>
    <s v="Sales Executive"/>
    <s v="Excellent"/>
    <s v="Single"/>
    <n v="4554"/>
    <n v="20260"/>
    <s v="Low"/>
    <n v="1"/>
    <x v="1"/>
    <n v="18"/>
    <s v="High"/>
    <s v="Low"/>
    <n v="0"/>
    <n v="10"/>
    <n v="3"/>
    <n v="2"/>
    <n v="10"/>
    <n v="7"/>
    <n v="0"/>
    <n v="9"/>
  </r>
  <r>
    <n v="284"/>
    <n v="55"/>
    <s v="46-55"/>
    <x v="1"/>
    <s v="Travel_Rarely"/>
    <n v="1389"/>
    <x v="1"/>
    <n v="20"/>
    <s v="Good"/>
    <s v="Technical Degree"/>
    <s v="Medium"/>
    <s v="Male"/>
    <n v="37"/>
    <s v="High"/>
    <s v="Medium"/>
    <s v="Laboratory Technician"/>
    <s v="Excellent"/>
    <s v="Married"/>
    <n v="5415"/>
    <n v="15972"/>
    <s v="Medium"/>
    <n v="3"/>
    <x v="0"/>
    <n v="19"/>
    <s v="High"/>
    <s v="Excellent"/>
    <n v="1"/>
    <n v="12"/>
    <n v="4"/>
    <n v="3"/>
    <n v="10"/>
    <n v="7"/>
    <n v="0"/>
    <n v="8"/>
  </r>
  <r>
    <n v="285"/>
    <n v="26"/>
    <s v="26-35"/>
    <x v="1"/>
    <s v="Travel_Frequently"/>
    <n v="1389"/>
    <x v="1"/>
    <n v="11"/>
    <s v="Good"/>
    <s v="Medical"/>
    <s v="Low"/>
    <s v="Male"/>
    <n v="60"/>
    <s v="High"/>
    <s v="Medium"/>
    <s v="Healthcare Representative"/>
    <s v="Low"/>
    <s v="Married"/>
    <n v="4741"/>
    <n v="22722"/>
    <s v="Low"/>
    <n v="1"/>
    <x v="0"/>
    <n v="13"/>
    <s v="High"/>
    <s v="High"/>
    <n v="1"/>
    <n v="5"/>
    <n v="3"/>
    <n v="3"/>
    <n v="5"/>
    <n v="3"/>
    <n v="3"/>
    <n v="3"/>
  </r>
  <r>
    <n v="286"/>
    <n v="37"/>
    <s v="36-45"/>
    <x v="1"/>
    <s v="Travel_Rarely"/>
    <n v="1389"/>
    <x v="1"/>
    <n v="1"/>
    <s v="Medium"/>
    <s v="Life Sciences"/>
    <s v="Excellent"/>
    <s v="Female"/>
    <n v="42"/>
    <s v="High"/>
    <s v="Low"/>
    <s v="Research Scientist"/>
    <s v="Excellent"/>
    <s v="Single"/>
    <n v="2115"/>
    <n v="15881"/>
    <s v="Low"/>
    <n v="1"/>
    <x v="1"/>
    <n v="12"/>
    <s v="High"/>
    <s v="Medium"/>
    <n v="0"/>
    <n v="17"/>
    <n v="3"/>
    <n v="3"/>
    <n v="17"/>
    <n v="12"/>
    <n v="5"/>
    <n v="7"/>
  </r>
  <r>
    <n v="287"/>
    <n v="44"/>
    <s v="36-45"/>
    <x v="0"/>
    <s v="Travel_Frequently"/>
    <n v="1389"/>
    <x v="1"/>
    <n v="24"/>
    <s v="Medium"/>
    <s v="Life Sciences"/>
    <s v="Excellent"/>
    <s v="Male"/>
    <n v="43"/>
    <s v="High"/>
    <s v="Low"/>
    <s v="Laboratory Technician"/>
    <s v="High"/>
    <s v="Divorced"/>
    <n v="3161"/>
    <n v="19920"/>
    <s v="Low"/>
    <n v="3"/>
    <x v="0"/>
    <n v="22"/>
    <s v="Excellent"/>
    <s v="Excellent"/>
    <n v="1"/>
    <n v="19"/>
    <n v="0"/>
    <n v="1"/>
    <n v="1"/>
    <n v="0"/>
    <n v="0"/>
    <n v="0"/>
  </r>
  <r>
    <n v="288"/>
    <n v="38"/>
    <s v="36-45"/>
    <x v="1"/>
    <s v="Travel_Rarely"/>
    <n v="1389"/>
    <x v="1"/>
    <n v="23"/>
    <s v="High"/>
    <s v="Life Sciences"/>
    <s v="Excellent"/>
    <s v="Male"/>
    <n v="82"/>
    <s v="High"/>
    <s v="Medium"/>
    <s v="Healthcare Representative"/>
    <s v="Excellent"/>
    <s v="Divorced"/>
    <n v="5745"/>
    <n v="18899"/>
    <s v="Medium"/>
    <n v="9"/>
    <x v="1"/>
    <n v="14"/>
    <s v="High"/>
    <s v="Medium"/>
    <n v="1"/>
    <n v="10"/>
    <n v="2"/>
    <n v="3"/>
    <n v="2"/>
    <n v="2"/>
    <n v="1"/>
    <n v="2"/>
  </r>
  <r>
    <n v="289"/>
    <n v="26"/>
    <s v="26-35"/>
    <x v="0"/>
    <s v="Travel_Rarely"/>
    <n v="1389"/>
    <x v="1"/>
    <n v="16"/>
    <s v="High"/>
    <s v="Medical"/>
    <s v="Low"/>
    <s v="Male"/>
    <n v="45"/>
    <s v="High"/>
    <s v="Low"/>
    <s v="Laboratory Technician"/>
    <s v="Medium"/>
    <s v="Divorced"/>
    <n v="2373"/>
    <n v="14180"/>
    <s v="Low"/>
    <n v="2"/>
    <x v="0"/>
    <n v="13"/>
    <s v="High"/>
    <s v="Excellent"/>
    <n v="1"/>
    <n v="5"/>
    <n v="2"/>
    <n v="3"/>
    <n v="3"/>
    <n v="2"/>
    <n v="0"/>
    <n v="2"/>
  </r>
  <r>
    <n v="290"/>
    <n v="28"/>
    <s v="26-35"/>
    <x v="1"/>
    <s v="Travel_Rarely"/>
    <n v="1389"/>
    <x v="1"/>
    <n v="8"/>
    <s v="Good"/>
    <s v="Life Sciences"/>
    <s v="Excellent"/>
    <s v="Female"/>
    <n v="66"/>
    <s v="High"/>
    <s v="Low"/>
    <s v="Research Scientist"/>
    <s v="Excellent"/>
    <s v="Single"/>
    <n v="3310"/>
    <n v="4488"/>
    <s v="Low"/>
    <n v="1"/>
    <x v="1"/>
    <n v="21"/>
    <s v="Excellent"/>
    <s v="Excellent"/>
    <n v="0"/>
    <n v="5"/>
    <n v="3"/>
    <n v="3"/>
    <n v="5"/>
    <n v="3"/>
    <n v="0"/>
    <n v="2"/>
  </r>
  <r>
    <n v="291"/>
    <n v="49"/>
    <s v="46-55"/>
    <x v="1"/>
    <s v="Travel_Frequently"/>
    <n v="1389"/>
    <x v="1"/>
    <n v="10"/>
    <s v="High"/>
    <s v="Life Sciences"/>
    <s v="High"/>
    <s v="Female"/>
    <n v="35"/>
    <s v="High"/>
    <e v="#N/A"/>
    <s v="Research Director"/>
    <s v="Low"/>
    <s v="Single"/>
    <n v="18665"/>
    <n v="25594"/>
    <s v="High"/>
    <n v="9"/>
    <x v="0"/>
    <n v="11"/>
    <s v="High"/>
    <s v="Excellent"/>
    <n v="0"/>
    <n v="22"/>
    <n v="4"/>
    <n v="3"/>
    <n v="3"/>
    <n v="2"/>
    <n v="1"/>
    <n v="2"/>
  </r>
  <r>
    <n v="292"/>
    <n v="36"/>
    <s v="36-45"/>
    <x v="1"/>
    <s v="Travel_Rarely"/>
    <n v="1389"/>
    <x v="1"/>
    <n v="3"/>
    <s v="Medium"/>
    <s v="Technical Degree"/>
    <s v="High"/>
    <s v="Male"/>
    <n v="30"/>
    <s v="High"/>
    <s v="Medium"/>
    <s v="Research Scientist"/>
    <s v="Medium"/>
    <s v="Single"/>
    <n v="4485"/>
    <n v="26285"/>
    <s v="Low"/>
    <n v="4"/>
    <x v="1"/>
    <n v="12"/>
    <s v="High"/>
    <s v="Excellent"/>
    <n v="0"/>
    <n v="10"/>
    <n v="2"/>
    <n v="3"/>
    <n v="8"/>
    <n v="0"/>
    <n v="7"/>
    <n v="7"/>
  </r>
  <r>
    <n v="293"/>
    <n v="31"/>
    <s v="26-35"/>
    <x v="1"/>
    <s v="Travel_Frequently"/>
    <n v="1389"/>
    <x v="0"/>
    <n v="5"/>
    <s v="Medium"/>
    <s v="Marketing"/>
    <s v="Excellent"/>
    <s v="Female"/>
    <n v="84"/>
    <s v="High"/>
    <s v="Low"/>
    <s v="Sales Representative"/>
    <s v="Medium"/>
    <s v="Divorced"/>
    <n v="2789"/>
    <n v="3909"/>
    <s v="Low"/>
    <n v="1"/>
    <x v="1"/>
    <n v="11"/>
    <s v="High"/>
    <s v="High"/>
    <n v="1"/>
    <n v="2"/>
    <n v="5"/>
    <n v="2"/>
    <n v="2"/>
    <n v="2"/>
    <n v="2"/>
    <n v="2"/>
  </r>
  <r>
    <n v="294"/>
    <n v="26"/>
    <s v="26-35"/>
    <x v="0"/>
    <s v="Travel_Rarely"/>
    <n v="1389"/>
    <x v="0"/>
    <n v="4"/>
    <s v="High"/>
    <s v="Marketing"/>
    <s v="Excellent"/>
    <s v="Male"/>
    <n v="48"/>
    <s v="Medium"/>
    <s v="Medium"/>
    <s v="Sales Executive"/>
    <s v="Excellent"/>
    <s v="Single"/>
    <n v="5828"/>
    <n v="8450"/>
    <s v="Medium"/>
    <n v="1"/>
    <x v="0"/>
    <n v="12"/>
    <s v="High"/>
    <s v="Medium"/>
    <n v="0"/>
    <n v="8"/>
    <n v="0"/>
    <n v="3"/>
    <n v="8"/>
    <n v="7"/>
    <n v="7"/>
    <n v="4"/>
  </r>
  <r>
    <n v="295"/>
    <n v="37"/>
    <s v="36-45"/>
    <x v="1"/>
    <s v="Travel_Frequently"/>
    <n v="1389"/>
    <x v="1"/>
    <n v="9"/>
    <s v="Medium"/>
    <s v="Medical"/>
    <s v="Medium"/>
    <s v="Male"/>
    <n v="53"/>
    <s v="High"/>
    <s v="Low"/>
    <s v="Research Scientist"/>
    <s v="Excellent"/>
    <s v="Married"/>
    <n v="2326"/>
    <n v="11411"/>
    <s v="Low"/>
    <n v="1"/>
    <x v="0"/>
    <n v="12"/>
    <s v="High"/>
    <s v="High"/>
    <n v="3"/>
    <n v="4"/>
    <n v="3"/>
    <n v="2"/>
    <n v="4"/>
    <n v="2"/>
    <n v="1"/>
    <n v="2"/>
  </r>
  <r>
    <n v="296"/>
    <n v="42"/>
    <s v="36-45"/>
    <x v="1"/>
    <s v="Travel_Frequently"/>
    <n v="1389"/>
    <x v="0"/>
    <n v="26"/>
    <s v="Medium"/>
    <s v="Marketing"/>
    <s v="High"/>
    <s v="Female"/>
    <n v="77"/>
    <s v="High"/>
    <s v="Excellent"/>
    <s v="Sales Executive"/>
    <s v="Medium"/>
    <s v="Married"/>
    <n v="13525"/>
    <n v="14864"/>
    <s v="High"/>
    <n v="5"/>
    <x v="1"/>
    <n v="14"/>
    <s v="High"/>
    <s v="Excellent"/>
    <n v="1"/>
    <n v="23"/>
    <n v="2"/>
    <n v="4"/>
    <n v="20"/>
    <n v="4"/>
    <n v="4"/>
    <n v="8"/>
  </r>
  <r>
    <n v="297"/>
    <n v="18"/>
    <s v="18-25"/>
    <x v="0"/>
    <s v="Travel_Rarely"/>
    <n v="1389"/>
    <x v="1"/>
    <n v="3"/>
    <s v="Medium"/>
    <s v="Life Sciences"/>
    <s v="High"/>
    <s v="Male"/>
    <n v="54"/>
    <s v="High"/>
    <s v="Low"/>
    <s v="Laboratory Technician"/>
    <s v="High"/>
    <s v="Single"/>
    <n v="1420"/>
    <n v="25233"/>
    <s v="Low"/>
    <n v="1"/>
    <x v="1"/>
    <n v="13"/>
    <s v="High"/>
    <s v="High"/>
    <n v="0"/>
    <n v="0"/>
    <n v="2"/>
    <n v="3"/>
    <n v="0"/>
    <n v="0"/>
    <n v="0"/>
    <n v="0"/>
  </r>
  <r>
    <n v="298"/>
    <n v="35"/>
    <s v="26-35"/>
    <x v="1"/>
    <s v="Travel_Rarely"/>
    <n v="1389"/>
    <x v="0"/>
    <n v="16"/>
    <s v="Medium"/>
    <s v="Marketing"/>
    <s v="High"/>
    <s v="Male"/>
    <n v="96"/>
    <s v="High"/>
    <s v="High"/>
    <s v="Sales Executive"/>
    <s v="Medium"/>
    <s v="Married"/>
    <n v="8020"/>
    <n v="5100"/>
    <s v="Medium"/>
    <n v="0"/>
    <x v="1"/>
    <n v="15"/>
    <s v="High"/>
    <s v="High"/>
    <n v="2"/>
    <n v="12"/>
    <n v="3"/>
    <n v="2"/>
    <n v="11"/>
    <n v="9"/>
    <n v="6"/>
    <n v="9"/>
  </r>
  <r>
    <n v="299"/>
    <n v="36"/>
    <s v="36-45"/>
    <x v="1"/>
    <s v="Travel_Frequently"/>
    <n v="1389"/>
    <x v="1"/>
    <n v="18"/>
    <s v="High"/>
    <s v="Life Sciences"/>
    <s v="High"/>
    <s v="Male"/>
    <n v="81"/>
    <s v="Excellent"/>
    <s v="Low"/>
    <s v="Laboratory Technician"/>
    <s v="Excellent"/>
    <s v="Married"/>
    <n v="3688"/>
    <n v="7122"/>
    <s v="Low"/>
    <n v="4"/>
    <x v="1"/>
    <n v="18"/>
    <s v="High"/>
    <s v="Excellent"/>
    <n v="2"/>
    <n v="4"/>
    <n v="2"/>
    <n v="3"/>
    <n v="1"/>
    <n v="0"/>
    <n v="0"/>
    <n v="0"/>
  </r>
  <r>
    <n v="300"/>
    <n v="51"/>
    <s v="46-55"/>
    <x v="1"/>
    <s v="Travel_Rarely"/>
    <n v="1389"/>
    <x v="1"/>
    <n v="2"/>
    <s v="Medium"/>
    <s v="Medical"/>
    <s v="Excellent"/>
    <s v="Male"/>
    <n v="84"/>
    <s v="Low"/>
    <s v="Medium"/>
    <s v="Manufacturing Director"/>
    <s v="Medium"/>
    <s v="Divorced"/>
    <n v="5482"/>
    <n v="16321"/>
    <s v="Medium"/>
    <n v="5"/>
    <x v="1"/>
    <n v="18"/>
    <s v="High"/>
    <s v="Excellent"/>
    <n v="1"/>
    <n v="13"/>
    <n v="3"/>
    <n v="3"/>
    <n v="4"/>
    <n v="1"/>
    <n v="1"/>
    <n v="2"/>
  </r>
  <r>
    <n v="301"/>
    <n v="41"/>
    <s v="36-45"/>
    <x v="1"/>
    <s v="Travel_Rarely"/>
    <n v="1389"/>
    <x v="0"/>
    <n v="2"/>
    <s v="High"/>
    <s v="Life Sciences"/>
    <s v="Excellent"/>
    <s v="Male"/>
    <n v="88"/>
    <s v="High"/>
    <s v="Excellent"/>
    <s v="Manager"/>
    <s v="Medium"/>
    <s v="Single"/>
    <n v="16015"/>
    <n v="15896"/>
    <s v="High"/>
    <n v="1"/>
    <x v="1"/>
    <n v="19"/>
    <s v="High"/>
    <s v="Medium"/>
    <n v="0"/>
    <n v="22"/>
    <n v="2"/>
    <n v="3"/>
    <n v="22"/>
    <n v="10"/>
    <n v="0"/>
    <n v="4"/>
  </r>
  <r>
    <n v="302"/>
    <n v="18"/>
    <s v="18-25"/>
    <x v="1"/>
    <s v="Travel_Rarely"/>
    <n v="1389"/>
    <x v="0"/>
    <n v="10"/>
    <s v="Medium"/>
    <s v="Medical"/>
    <s v="Excellent"/>
    <s v="Female"/>
    <n v="69"/>
    <s v="Medium"/>
    <s v="Low"/>
    <s v="Sales Representative"/>
    <s v="High"/>
    <s v="Single"/>
    <n v="1200"/>
    <n v="9724"/>
    <s v="Low"/>
    <n v="1"/>
    <x v="1"/>
    <n v="12"/>
    <s v="High"/>
    <s v="Low"/>
    <n v="0"/>
    <n v="0"/>
    <n v="2"/>
    <n v="3"/>
    <n v="0"/>
    <n v="0"/>
    <n v="0"/>
    <n v="0"/>
  </r>
  <r>
    <n v="303"/>
    <n v="28"/>
    <s v="26-35"/>
    <x v="1"/>
    <s v="Travel_Rarely"/>
    <n v="1389"/>
    <x v="1"/>
    <n v="16"/>
    <s v="Good"/>
    <s v="Medical"/>
    <s v="Medium"/>
    <s v="Male"/>
    <n v="68"/>
    <s v="Excellent"/>
    <s v="Medium"/>
    <s v="Healthcare Representative"/>
    <s v="Low"/>
    <s v="Single"/>
    <n v="5661"/>
    <n v="4824"/>
    <s v="Medium"/>
    <n v="0"/>
    <x v="1"/>
    <n v="19"/>
    <s v="High"/>
    <s v="High"/>
    <n v="0"/>
    <n v="9"/>
    <n v="2"/>
    <n v="3"/>
    <n v="8"/>
    <n v="3"/>
    <n v="0"/>
    <n v="7"/>
  </r>
  <r>
    <n v="304"/>
    <n v="31"/>
    <s v="26-35"/>
    <x v="1"/>
    <s v="Travel_Rarely"/>
    <n v="1389"/>
    <x v="0"/>
    <n v="7"/>
    <s v="Medium"/>
    <s v="Technical Degree"/>
    <s v="Medium"/>
    <s v="Male"/>
    <n v="100"/>
    <s v="Excellent"/>
    <s v="Medium"/>
    <s v="Sales Executive"/>
    <s v="Excellent"/>
    <s v="Married"/>
    <n v="6929"/>
    <n v="12241"/>
    <s v="Medium"/>
    <n v="4"/>
    <x v="1"/>
    <n v="11"/>
    <s v="High"/>
    <s v="Medium"/>
    <n v="1"/>
    <n v="10"/>
    <n v="3"/>
    <n v="2"/>
    <n v="8"/>
    <n v="7"/>
    <n v="7"/>
    <n v="7"/>
  </r>
  <r>
    <n v="305"/>
    <n v="39"/>
    <s v="36-45"/>
    <x v="1"/>
    <s v="Travel_Rarely"/>
    <n v="1389"/>
    <x v="1"/>
    <n v="1"/>
    <s v="Medium"/>
    <s v="Medical"/>
    <s v="High"/>
    <s v="Male"/>
    <n v="48"/>
    <s v="Excellent"/>
    <s v="High"/>
    <s v="Healthcare Representative"/>
    <s v="Excellent"/>
    <s v="Divorced"/>
    <n v="9613"/>
    <n v="10942"/>
    <s v="Medium"/>
    <n v="0"/>
    <x v="1"/>
    <n v="17"/>
    <s v="High"/>
    <s v="Low"/>
    <n v="3"/>
    <n v="19"/>
    <n v="5"/>
    <n v="2"/>
    <n v="18"/>
    <n v="10"/>
    <n v="3"/>
    <n v="7"/>
  </r>
  <r>
    <n v="306"/>
    <n v="36"/>
    <s v="36-45"/>
    <x v="1"/>
    <s v="Non-Travel"/>
    <n v="1389"/>
    <x v="1"/>
    <n v="24"/>
    <s v="High"/>
    <s v="Life Sciences"/>
    <s v="Medium"/>
    <s v="Female"/>
    <n v="47"/>
    <s v="High"/>
    <s v="Medium"/>
    <s v="Laboratory Technician"/>
    <s v="Medium"/>
    <s v="Married"/>
    <n v="5674"/>
    <n v="6927"/>
    <s v="Medium"/>
    <n v="7"/>
    <x v="1"/>
    <n v="15"/>
    <s v="High"/>
    <s v="High"/>
    <n v="1"/>
    <n v="11"/>
    <n v="3"/>
    <n v="3"/>
    <n v="9"/>
    <n v="8"/>
    <n v="0"/>
    <n v="8"/>
  </r>
  <r>
    <n v="307"/>
    <n v="32"/>
    <s v="26-35"/>
    <x v="1"/>
    <s v="Travel_Rarely"/>
    <n v="1389"/>
    <x v="0"/>
    <n v="7"/>
    <s v="Medium"/>
    <s v="Life Sciences"/>
    <s v="Excellent"/>
    <s v="Male"/>
    <n v="91"/>
    <s v="Medium"/>
    <s v="Medium"/>
    <s v="Sales Executive"/>
    <s v="High"/>
    <s v="Married"/>
    <n v="5484"/>
    <n v="16985"/>
    <s v="Medium"/>
    <n v="1"/>
    <x v="1"/>
    <n v="14"/>
    <s v="High"/>
    <s v="High"/>
    <n v="1"/>
    <n v="13"/>
    <n v="3"/>
    <n v="2"/>
    <n v="13"/>
    <n v="8"/>
    <n v="4"/>
    <n v="8"/>
  </r>
  <r>
    <n v="308"/>
    <n v="38"/>
    <s v="36-45"/>
    <x v="1"/>
    <s v="Travel_Rarely"/>
    <n v="1389"/>
    <x v="1"/>
    <n v="25"/>
    <s v="Good"/>
    <s v="Life Sciences"/>
    <s v="Low"/>
    <s v="Female"/>
    <n v="81"/>
    <s v="Medium"/>
    <s v="High"/>
    <s v="Research Director"/>
    <s v="Medium"/>
    <s v="Married"/>
    <n v="12061"/>
    <n v="26707"/>
    <s v="High"/>
    <n v="3"/>
    <x v="1"/>
    <n v="17"/>
    <s v="High"/>
    <s v="High"/>
    <n v="1"/>
    <n v="19"/>
    <n v="2"/>
    <n v="3"/>
    <n v="10"/>
    <n v="8"/>
    <n v="0"/>
    <n v="1"/>
  </r>
  <r>
    <n v="309"/>
    <n v="58"/>
    <s v="55+"/>
    <x v="1"/>
    <s v="Non-Travel"/>
    <n v="1389"/>
    <x v="1"/>
    <n v="1"/>
    <s v="High"/>
    <s v="Life Sciences"/>
    <s v="Excellent"/>
    <s v="Male"/>
    <n v="32"/>
    <s v="Low"/>
    <s v="Medium"/>
    <s v="Healthcare Representative"/>
    <s v="High"/>
    <s v="Divorced"/>
    <n v="5660"/>
    <n v="17056"/>
    <s v="Medium"/>
    <n v="2"/>
    <x v="0"/>
    <n v="13"/>
    <s v="High"/>
    <s v="Excellent"/>
    <n v="1"/>
    <n v="12"/>
    <n v="2"/>
    <n v="3"/>
    <n v="5"/>
    <n v="3"/>
    <n v="1"/>
    <n v="2"/>
  </r>
  <r>
    <n v="310"/>
    <n v="31"/>
    <s v="26-35"/>
    <x v="1"/>
    <s v="Travel_Rarely"/>
    <n v="1389"/>
    <x v="1"/>
    <n v="5"/>
    <s v="High"/>
    <s v="Technical Degree"/>
    <s v="High"/>
    <s v="Male"/>
    <n v="86"/>
    <s v="High"/>
    <s v="Low"/>
    <s v="Research Scientist"/>
    <s v="Excellent"/>
    <s v="Married"/>
    <n v="4821"/>
    <n v="10077"/>
    <s v="Low"/>
    <n v="0"/>
    <x v="0"/>
    <n v="12"/>
    <s v="High"/>
    <s v="High"/>
    <n v="1"/>
    <n v="6"/>
    <n v="4"/>
    <n v="3"/>
    <n v="5"/>
    <n v="2"/>
    <n v="0"/>
    <n v="3"/>
  </r>
  <r>
    <n v="311"/>
    <n v="31"/>
    <s v="26-35"/>
    <x v="1"/>
    <s v="Travel_Rarely"/>
    <n v="1389"/>
    <x v="2"/>
    <n v="2"/>
    <s v="Medium"/>
    <s v="Human Resources"/>
    <s v="Low"/>
    <s v="Male"/>
    <n v="62"/>
    <s v="Medium"/>
    <s v="Medium"/>
    <s v="Human Resources"/>
    <s v="Low"/>
    <s v="Married"/>
    <n v="6410"/>
    <n v="17822"/>
    <s v="Medium"/>
    <n v="3"/>
    <x v="1"/>
    <n v="12"/>
    <s v="High"/>
    <s v="Excellent"/>
    <n v="0"/>
    <n v="9"/>
    <n v="1"/>
    <n v="3"/>
    <n v="2"/>
    <n v="2"/>
    <n v="1"/>
    <n v="0"/>
  </r>
  <r>
    <n v="312"/>
    <n v="45"/>
    <s v="36-45"/>
    <x v="1"/>
    <s v="Travel_Frequently"/>
    <n v="1389"/>
    <x v="1"/>
    <n v="7"/>
    <s v="Medium"/>
    <s v="Life Sciences"/>
    <s v="Low"/>
    <s v="Male"/>
    <n v="97"/>
    <s v="High"/>
    <s v="High"/>
    <s v="Laboratory Technician"/>
    <s v="Low"/>
    <s v="Divorced"/>
    <n v="5210"/>
    <n v="20308"/>
    <s v="Medium"/>
    <n v="1"/>
    <x v="1"/>
    <n v="18"/>
    <s v="High"/>
    <s v="Low"/>
    <n v="1"/>
    <n v="24"/>
    <n v="2"/>
    <n v="3"/>
    <n v="24"/>
    <n v="9"/>
    <n v="9"/>
    <n v="11"/>
  </r>
  <r>
    <n v="313"/>
    <n v="31"/>
    <s v="26-35"/>
    <x v="1"/>
    <s v="Travel_Rarely"/>
    <n v="1389"/>
    <x v="1"/>
    <n v="2"/>
    <s v="High"/>
    <s v="Life Sciences"/>
    <s v="High"/>
    <s v="Male"/>
    <n v="32"/>
    <s v="High"/>
    <s v="Low"/>
    <s v="Research Scientist"/>
    <s v="Excellent"/>
    <s v="Divorced"/>
    <n v="2695"/>
    <n v="7747"/>
    <s v="Low"/>
    <n v="0"/>
    <x v="0"/>
    <n v="18"/>
    <s v="High"/>
    <s v="Medium"/>
    <n v="1"/>
    <n v="3"/>
    <n v="2"/>
    <n v="1"/>
    <n v="2"/>
    <n v="2"/>
    <n v="2"/>
    <n v="2"/>
  </r>
  <r>
    <n v="314"/>
    <n v="33"/>
    <s v="26-35"/>
    <x v="1"/>
    <s v="Travel_Frequently"/>
    <n v="1389"/>
    <x v="1"/>
    <n v="5"/>
    <s v="High"/>
    <s v="Life Sciences"/>
    <s v="Excellent"/>
    <s v="Female"/>
    <n v="74"/>
    <s v="High"/>
    <s v="High"/>
    <s v="Manager"/>
    <s v="Medium"/>
    <s v="Married"/>
    <n v="11878"/>
    <n v="23364"/>
    <s v="High"/>
    <n v="6"/>
    <x v="1"/>
    <n v="11"/>
    <s v="High"/>
    <s v="Medium"/>
    <n v="2"/>
    <n v="12"/>
    <n v="2"/>
    <n v="3"/>
    <n v="10"/>
    <n v="6"/>
    <n v="8"/>
    <n v="8"/>
  </r>
  <r>
    <n v="315"/>
    <n v="39"/>
    <s v="36-45"/>
    <x v="1"/>
    <s v="Travel_Rarely"/>
    <n v="1389"/>
    <x v="1"/>
    <n v="10"/>
    <s v="Low"/>
    <s v="Medical"/>
    <s v="High"/>
    <s v="Male"/>
    <n v="99"/>
    <s v="High"/>
    <s v="Excellent"/>
    <s v="Manager"/>
    <s v="Low"/>
    <s v="Married"/>
    <n v="17068"/>
    <n v="5355"/>
    <s v="High"/>
    <n v="1"/>
    <x v="0"/>
    <n v="14"/>
    <s v="High"/>
    <s v="Excellent"/>
    <n v="0"/>
    <n v="21"/>
    <n v="3"/>
    <n v="3"/>
    <n v="21"/>
    <n v="9"/>
    <n v="11"/>
    <n v="10"/>
  </r>
  <r>
    <n v="316"/>
    <n v="43"/>
    <s v="36-45"/>
    <x v="1"/>
    <s v="Travel_Frequently"/>
    <n v="1389"/>
    <x v="1"/>
    <n v="10"/>
    <s v="High"/>
    <s v="Life Sciences"/>
    <s v="High"/>
    <s v="Female"/>
    <n v="33"/>
    <s v="High"/>
    <s v="Low"/>
    <s v="Laboratory Technician"/>
    <s v="Excellent"/>
    <s v="Single"/>
    <n v="2455"/>
    <n v="10675"/>
    <s v="Low"/>
    <n v="0"/>
    <x v="1"/>
    <n v="19"/>
    <s v="High"/>
    <s v="Low"/>
    <n v="0"/>
    <n v="9"/>
    <n v="5"/>
    <n v="3"/>
    <n v="8"/>
    <n v="7"/>
    <n v="1"/>
    <n v="7"/>
  </r>
  <r>
    <n v="317"/>
    <n v="49"/>
    <s v="46-55"/>
    <x v="1"/>
    <s v="Travel_Rarely"/>
    <n v="1389"/>
    <x v="1"/>
    <n v="1"/>
    <s v="Good"/>
    <s v="Technical Degree"/>
    <s v="High"/>
    <s v="Female"/>
    <n v="90"/>
    <s v="Medium"/>
    <s v="Excellent"/>
    <s v="Healthcare Representative"/>
    <s v="High"/>
    <s v="Single"/>
    <n v="13964"/>
    <n v="17810"/>
    <s v="High"/>
    <n v="7"/>
    <x v="0"/>
    <n v="12"/>
    <s v="High"/>
    <s v="Excellent"/>
    <n v="0"/>
    <n v="25"/>
    <n v="2"/>
    <n v="3"/>
    <n v="7"/>
    <n v="1"/>
    <n v="0"/>
    <n v="7"/>
  </r>
  <r>
    <n v="318"/>
    <n v="52"/>
    <s v="46-55"/>
    <x v="0"/>
    <s v="Travel_Rarely"/>
    <n v="1389"/>
    <x v="1"/>
    <n v="8"/>
    <s v="High"/>
    <s v="Medical"/>
    <s v="High"/>
    <s v="Male"/>
    <n v="85"/>
    <s v="Medium"/>
    <s v="Medium"/>
    <s v="Research Scientist"/>
    <s v="Medium"/>
    <s v="Married"/>
    <n v="4941"/>
    <n v="17747"/>
    <s v="Low"/>
    <n v="2"/>
    <x v="1"/>
    <n v="15"/>
    <s v="High"/>
    <s v="Low"/>
    <n v="0"/>
    <n v="11"/>
    <n v="3"/>
    <n v="2"/>
    <n v="8"/>
    <n v="2"/>
    <n v="7"/>
    <n v="7"/>
  </r>
  <r>
    <n v="319"/>
    <n v="27"/>
    <s v="26-35"/>
    <x v="1"/>
    <s v="Travel_Rarely"/>
    <n v="1389"/>
    <x v="1"/>
    <n v="5"/>
    <s v="Medium"/>
    <s v="Life Sciences"/>
    <s v="High"/>
    <s v="Female"/>
    <n v="85"/>
    <s v="High"/>
    <s v="Low"/>
    <s v="Research Scientist"/>
    <s v="Medium"/>
    <s v="Single"/>
    <n v="2478"/>
    <n v="20938"/>
    <s v="Low"/>
    <n v="1"/>
    <x v="0"/>
    <n v="12"/>
    <s v="High"/>
    <s v="Medium"/>
    <n v="0"/>
    <n v="4"/>
    <n v="2"/>
    <n v="2"/>
    <n v="4"/>
    <n v="3"/>
    <n v="1"/>
    <n v="2"/>
  </r>
  <r>
    <n v="320"/>
    <n v="32"/>
    <s v="26-35"/>
    <x v="1"/>
    <s v="Travel_Rarely"/>
    <n v="1389"/>
    <x v="0"/>
    <n v="8"/>
    <s v="Good"/>
    <s v="Technical Degree"/>
    <s v="High"/>
    <s v="Female"/>
    <n v="65"/>
    <s v="Medium"/>
    <s v="Medium"/>
    <s v="Sales Executive"/>
    <s v="Medium"/>
    <s v="Married"/>
    <n v="5228"/>
    <n v="24624"/>
    <s v="Medium"/>
    <n v="1"/>
    <x v="0"/>
    <n v="11"/>
    <s v="High"/>
    <s v="Excellent"/>
    <n v="0"/>
    <n v="13"/>
    <n v="2"/>
    <n v="3"/>
    <n v="13"/>
    <n v="12"/>
    <n v="11"/>
    <n v="9"/>
  </r>
  <r>
    <n v="321"/>
    <n v="27"/>
    <s v="26-35"/>
    <x v="1"/>
    <s v="Travel_Rarely"/>
    <n v="1389"/>
    <x v="0"/>
    <n v="2"/>
    <s v="Medium"/>
    <s v="Life Sciences"/>
    <s v="Excellent"/>
    <s v="Male"/>
    <n v="74"/>
    <s v="High"/>
    <s v="Medium"/>
    <s v="Sales Executive"/>
    <s v="High"/>
    <s v="Single"/>
    <n v="4478"/>
    <n v="5242"/>
    <s v="Low"/>
    <n v="1"/>
    <x v="0"/>
    <n v="11"/>
    <s v="High"/>
    <s v="Low"/>
    <n v="0"/>
    <n v="5"/>
    <n v="3"/>
    <n v="3"/>
    <n v="5"/>
    <n v="4"/>
    <n v="0"/>
    <n v="4"/>
  </r>
  <r>
    <n v="322"/>
    <n v="31"/>
    <s v="26-35"/>
    <x v="1"/>
    <s v="Travel_Rarely"/>
    <n v="1389"/>
    <x v="0"/>
    <n v="7"/>
    <s v="Medium"/>
    <s v="Marketing"/>
    <s v="Excellent"/>
    <s v="Male"/>
    <n v="73"/>
    <s v="High"/>
    <s v="Medium"/>
    <s v="Sales Executive"/>
    <s v="Excellent"/>
    <s v="Divorced"/>
    <n v="7547"/>
    <n v="7143"/>
    <s v="Medium"/>
    <n v="4"/>
    <x v="1"/>
    <n v="12"/>
    <s v="High"/>
    <s v="Excellent"/>
    <n v="3"/>
    <n v="13"/>
    <n v="3"/>
    <n v="3"/>
    <n v="7"/>
    <n v="7"/>
    <n v="1"/>
    <n v="7"/>
  </r>
  <r>
    <n v="323"/>
    <n v="32"/>
    <s v="26-35"/>
    <x v="1"/>
    <s v="Travel_Rarely"/>
    <n v="1389"/>
    <x v="1"/>
    <n v="2"/>
    <s v="High"/>
    <s v="Medical"/>
    <s v="Low"/>
    <s v="Female"/>
    <n v="74"/>
    <s v="Excellent"/>
    <s v="Medium"/>
    <s v="Research Scientist"/>
    <s v="Excellent"/>
    <s v="Single"/>
    <n v="5055"/>
    <n v="10557"/>
    <s v="Medium"/>
    <n v="7"/>
    <x v="1"/>
    <n v="16"/>
    <s v="High"/>
    <s v="High"/>
    <n v="0"/>
    <n v="10"/>
    <n v="0"/>
    <n v="2"/>
    <n v="7"/>
    <n v="7"/>
    <n v="0"/>
    <n v="7"/>
  </r>
  <r>
    <n v="324"/>
    <n v="28"/>
    <s v="26-35"/>
    <x v="0"/>
    <s v="Travel_Rarely"/>
    <n v="1389"/>
    <x v="1"/>
    <n v="2"/>
    <s v="High"/>
    <s v="Medical"/>
    <s v="Low"/>
    <s v="Male"/>
    <n v="84"/>
    <s v="Low"/>
    <s v="Low"/>
    <s v="Research Scientist"/>
    <s v="Excellent"/>
    <s v="Married"/>
    <n v="3464"/>
    <n v="24737"/>
    <s v="Low"/>
    <n v="5"/>
    <x v="0"/>
    <n v="13"/>
    <s v="High"/>
    <s v="Excellent"/>
    <n v="0"/>
    <n v="5"/>
    <n v="4"/>
    <n v="2"/>
    <n v="3"/>
    <n v="2"/>
    <n v="2"/>
    <n v="2"/>
  </r>
  <r>
    <n v="325"/>
    <n v="30"/>
    <s v="26-35"/>
    <x v="1"/>
    <s v="Travel_Rarely"/>
    <n v="1389"/>
    <x v="1"/>
    <n v="28"/>
    <s v="Good"/>
    <s v="Medical"/>
    <s v="Excellent"/>
    <s v="Female"/>
    <n v="64"/>
    <s v="High"/>
    <s v="Medium"/>
    <s v="Research Scientist"/>
    <s v="Excellent"/>
    <s v="Married"/>
    <n v="5775"/>
    <n v="11934"/>
    <s v="Medium"/>
    <n v="1"/>
    <x v="1"/>
    <n v="13"/>
    <s v="High"/>
    <s v="Excellent"/>
    <n v="2"/>
    <n v="11"/>
    <n v="2"/>
    <n v="3"/>
    <n v="10"/>
    <n v="8"/>
    <n v="1"/>
    <n v="9"/>
  </r>
  <r>
    <n v="326"/>
    <n v="31"/>
    <s v="26-35"/>
    <x v="1"/>
    <s v="Travel_Frequently"/>
    <n v="1389"/>
    <x v="1"/>
    <n v="7"/>
    <s v="Good"/>
    <s v="Life Sciences"/>
    <s v="High"/>
    <s v="Female"/>
    <n v="48"/>
    <s v="Medium"/>
    <s v="High"/>
    <s v="Manufacturing Director"/>
    <s v="High"/>
    <s v="Married"/>
    <n v="8943"/>
    <n v="14034"/>
    <s v="Medium"/>
    <n v="1"/>
    <x v="1"/>
    <n v="24"/>
    <s v="Excellent"/>
    <s v="Low"/>
    <n v="1"/>
    <n v="10"/>
    <n v="2"/>
    <n v="3"/>
    <n v="10"/>
    <n v="9"/>
    <n v="8"/>
    <n v="9"/>
  </r>
  <r>
    <n v="327"/>
    <n v="39"/>
    <s v="36-45"/>
    <x v="1"/>
    <s v="Travel_Frequently"/>
    <n v="1389"/>
    <x v="1"/>
    <n v="7"/>
    <s v="Good"/>
    <s v="Medical"/>
    <s v="High"/>
    <s v="Male"/>
    <n v="54"/>
    <s v="Medium"/>
    <e v="#N/A"/>
    <s v="Manager"/>
    <s v="Excellent"/>
    <s v="Married"/>
    <n v="19272"/>
    <n v="21141"/>
    <s v="High"/>
    <n v="1"/>
    <x v="1"/>
    <n v="15"/>
    <s v="High"/>
    <s v="Low"/>
    <n v="1"/>
    <n v="21"/>
    <n v="2"/>
    <n v="3"/>
    <n v="21"/>
    <n v="9"/>
    <n v="13"/>
    <n v="3"/>
  </r>
  <r>
    <n v="328"/>
    <n v="39"/>
    <s v="36-45"/>
    <x v="0"/>
    <s v="Travel_Rarely"/>
    <n v="1389"/>
    <x v="0"/>
    <n v="3"/>
    <s v="Good"/>
    <s v="Medical"/>
    <s v="Excellent"/>
    <s v="Female"/>
    <n v="41"/>
    <s v="High"/>
    <s v="Medium"/>
    <s v="Sales Executive"/>
    <s v="High"/>
    <s v="Married"/>
    <n v="5238"/>
    <n v="17778"/>
    <s v="Medium"/>
    <n v="4"/>
    <x v="0"/>
    <n v="18"/>
    <s v="High"/>
    <s v="Low"/>
    <n v="0"/>
    <n v="12"/>
    <n v="3"/>
    <n v="2"/>
    <n v="1"/>
    <n v="0"/>
    <n v="0"/>
    <n v="0"/>
  </r>
  <r>
    <n v="329"/>
    <n v="33"/>
    <s v="26-35"/>
    <x v="1"/>
    <s v="Travel_Frequently"/>
    <n v="1389"/>
    <x v="0"/>
    <n v="10"/>
    <s v="Medium"/>
    <s v="Marketing"/>
    <s v="Medium"/>
    <s v="Male"/>
    <n v="46"/>
    <s v="Medium"/>
    <s v="Medium"/>
    <s v="Sales Executive"/>
    <s v="Excellent"/>
    <s v="Single"/>
    <n v="4682"/>
    <n v="4317"/>
    <s v="Low"/>
    <n v="3"/>
    <x v="1"/>
    <n v="14"/>
    <s v="High"/>
    <s v="High"/>
    <n v="0"/>
    <n v="9"/>
    <n v="6"/>
    <n v="2"/>
    <n v="7"/>
    <n v="7"/>
    <n v="0"/>
    <n v="1"/>
  </r>
  <r>
    <n v="330"/>
    <n v="47"/>
    <s v="46-55"/>
    <x v="1"/>
    <s v="Travel_Rarely"/>
    <n v="1389"/>
    <x v="1"/>
    <n v="5"/>
    <s v="Excellent"/>
    <s v="Life Sciences"/>
    <s v="Excellent"/>
    <s v="Male"/>
    <n v="42"/>
    <s v="High"/>
    <e v="#N/A"/>
    <s v="Research Director"/>
    <s v="High"/>
    <s v="Married"/>
    <n v="18300"/>
    <n v="16375"/>
    <s v="High"/>
    <n v="4"/>
    <x v="1"/>
    <n v="11"/>
    <s v="High"/>
    <s v="Medium"/>
    <n v="1"/>
    <n v="21"/>
    <n v="2"/>
    <n v="3"/>
    <n v="3"/>
    <n v="2"/>
    <n v="1"/>
    <n v="1"/>
  </r>
  <r>
    <n v="331"/>
    <n v="43"/>
    <s v="36-45"/>
    <x v="1"/>
    <s v="Travel_Frequently"/>
    <n v="1389"/>
    <x v="1"/>
    <n v="10"/>
    <s v="High"/>
    <s v="Life Sciences"/>
    <s v="High"/>
    <s v="Female"/>
    <n v="82"/>
    <s v="Medium"/>
    <s v="Medium"/>
    <s v="Laboratory Technician"/>
    <s v="High"/>
    <s v="Divorced"/>
    <n v="5257"/>
    <n v="6227"/>
    <s v="Medium"/>
    <n v="1"/>
    <x v="1"/>
    <n v="11"/>
    <s v="High"/>
    <s v="Medium"/>
    <n v="1"/>
    <n v="9"/>
    <n v="3"/>
    <n v="4"/>
    <n v="9"/>
    <n v="7"/>
    <n v="0"/>
    <n v="0"/>
  </r>
  <r>
    <n v="332"/>
    <n v="27"/>
    <s v="26-35"/>
    <x v="1"/>
    <s v="Non-Travel"/>
    <n v="1389"/>
    <x v="0"/>
    <n v="1"/>
    <s v="Low"/>
    <s v="Marketing"/>
    <s v="High"/>
    <s v="Male"/>
    <n v="73"/>
    <s v="High"/>
    <s v="Medium"/>
    <s v="Sales Executive"/>
    <s v="Medium"/>
    <s v="Married"/>
    <n v="6349"/>
    <n v="22107"/>
    <s v="Medium"/>
    <n v="0"/>
    <x v="0"/>
    <n v="13"/>
    <s v="High"/>
    <s v="Excellent"/>
    <n v="1"/>
    <n v="6"/>
    <n v="0"/>
    <n v="3"/>
    <n v="5"/>
    <n v="4"/>
    <n v="1"/>
    <n v="4"/>
  </r>
  <r>
    <n v="333"/>
    <n v="54"/>
    <s v="46-55"/>
    <x v="1"/>
    <s v="Travel_Frequently"/>
    <n v="1389"/>
    <x v="1"/>
    <n v="20"/>
    <s v="High"/>
    <s v="Life Sciences"/>
    <s v="Excellent"/>
    <s v="Female"/>
    <n v="31"/>
    <s v="High"/>
    <s v="Medium"/>
    <s v="Research Scientist"/>
    <s v="High"/>
    <s v="Single"/>
    <n v="4869"/>
    <n v="16885"/>
    <s v="Low"/>
    <n v="3"/>
    <x v="1"/>
    <n v="12"/>
    <s v="High"/>
    <s v="Excellent"/>
    <n v="0"/>
    <n v="20"/>
    <n v="4"/>
    <n v="2"/>
    <n v="4"/>
    <n v="3"/>
    <n v="0"/>
    <n v="3"/>
  </r>
  <r>
    <n v="334"/>
    <n v="43"/>
    <s v="36-45"/>
    <x v="1"/>
    <s v="Travel_Rarely"/>
    <n v="1389"/>
    <x v="1"/>
    <n v="7"/>
    <s v="Medium"/>
    <s v="Life Sciences"/>
    <s v="High"/>
    <s v="Female"/>
    <n v="43"/>
    <s v="High"/>
    <s v="High"/>
    <s v="Healthcare Representative"/>
    <s v="Low"/>
    <s v="Married"/>
    <n v="9985"/>
    <n v="9262"/>
    <s v="Medium"/>
    <n v="8"/>
    <x v="1"/>
    <n v="16"/>
    <s v="High"/>
    <s v="Low"/>
    <n v="1"/>
    <n v="10"/>
    <n v="1"/>
    <n v="2"/>
    <n v="1"/>
    <n v="0"/>
    <n v="0"/>
    <n v="0"/>
  </r>
  <r>
    <n v="335"/>
    <n v="45"/>
    <s v="36-45"/>
    <x v="1"/>
    <s v="Travel_Rarely"/>
    <n v="1389"/>
    <x v="1"/>
    <n v="8"/>
    <s v="High"/>
    <s v="Other"/>
    <s v="Excellent"/>
    <s v="Male"/>
    <n v="75"/>
    <s v="High"/>
    <s v="Medium"/>
    <s v="Research Scientist"/>
    <s v="Excellent"/>
    <s v="Married"/>
    <n v="3697"/>
    <n v="9278"/>
    <s v="Low"/>
    <n v="9"/>
    <x v="1"/>
    <n v="14"/>
    <s v="High"/>
    <s v="Low"/>
    <n v="2"/>
    <n v="12"/>
    <n v="3"/>
    <n v="3"/>
    <n v="10"/>
    <n v="9"/>
    <n v="9"/>
    <n v="8"/>
  </r>
  <r>
    <n v="336"/>
    <n v="40"/>
    <s v="36-45"/>
    <x v="1"/>
    <s v="Travel_Rarely"/>
    <n v="1389"/>
    <x v="0"/>
    <n v="1"/>
    <s v="Good"/>
    <s v="Medical"/>
    <s v="Medium"/>
    <s v="Male"/>
    <n v="57"/>
    <s v="Low"/>
    <s v="Medium"/>
    <s v="Sales Executive"/>
    <s v="Excellent"/>
    <s v="Married"/>
    <n v="7457"/>
    <n v="13273"/>
    <s v="Medium"/>
    <n v="2"/>
    <x v="0"/>
    <n v="22"/>
    <s v="Excellent"/>
    <s v="High"/>
    <n v="3"/>
    <n v="6"/>
    <n v="2"/>
    <n v="2"/>
    <n v="4"/>
    <n v="3"/>
    <n v="0"/>
    <n v="2"/>
  </r>
  <r>
    <n v="337"/>
    <n v="29"/>
    <s v="26-35"/>
    <x v="0"/>
    <s v="Travel_Rarely"/>
    <n v="1389"/>
    <x v="1"/>
    <n v="8"/>
    <s v="High"/>
    <s v="Other"/>
    <s v="Medium"/>
    <s v="Male"/>
    <n v="77"/>
    <s v="Low"/>
    <s v="Low"/>
    <s v="Laboratory Technician"/>
    <s v="Low"/>
    <s v="Married"/>
    <n v="2119"/>
    <n v="4759"/>
    <s v="Low"/>
    <n v="1"/>
    <x v="0"/>
    <n v="11"/>
    <s v="High"/>
    <s v="Excellent"/>
    <n v="0"/>
    <n v="7"/>
    <n v="4"/>
    <n v="2"/>
    <n v="7"/>
    <n v="7"/>
    <n v="0"/>
    <n v="7"/>
  </r>
  <r>
    <n v="338"/>
    <n v="29"/>
    <s v="26-35"/>
    <x v="1"/>
    <s v="Travel_Rarely"/>
    <n v="1389"/>
    <x v="1"/>
    <n v="9"/>
    <s v="Excellent"/>
    <s v="Other"/>
    <s v="Medium"/>
    <s v="Male"/>
    <n v="30"/>
    <s v="Medium"/>
    <s v="Low"/>
    <s v="Laboratory Technician"/>
    <s v="Excellent"/>
    <s v="Single"/>
    <n v="3983"/>
    <n v="7621"/>
    <s v="Low"/>
    <n v="0"/>
    <x v="1"/>
    <n v="17"/>
    <s v="High"/>
    <s v="High"/>
    <n v="0"/>
    <n v="4"/>
    <n v="2"/>
    <n v="3"/>
    <n v="3"/>
    <n v="2"/>
    <n v="2"/>
    <n v="2"/>
  </r>
  <r>
    <n v="339"/>
    <n v="30"/>
    <s v="26-35"/>
    <x v="1"/>
    <s v="Travel_Rarely"/>
    <n v="1389"/>
    <x v="0"/>
    <n v="5"/>
    <s v="Medium"/>
    <s v="Marketing"/>
    <s v="Excellent"/>
    <s v="Female"/>
    <n v="30"/>
    <s v="Medium"/>
    <s v="Medium"/>
    <s v="Sales Executive"/>
    <s v="High"/>
    <s v="Divorced"/>
    <n v="6118"/>
    <n v="5431"/>
    <s v="Medium"/>
    <n v="1"/>
    <x v="1"/>
    <n v="13"/>
    <s v="High"/>
    <s v="High"/>
    <n v="3"/>
    <n v="10"/>
    <n v="2"/>
    <n v="3"/>
    <n v="10"/>
    <n v="9"/>
    <n v="1"/>
    <n v="2"/>
  </r>
  <r>
    <n v="340"/>
    <n v="27"/>
    <s v="26-35"/>
    <x v="1"/>
    <s v="Travel_Rarely"/>
    <n v="1389"/>
    <x v="0"/>
    <n v="8"/>
    <s v="High"/>
    <s v="Marketing"/>
    <s v="Medium"/>
    <s v="Female"/>
    <n v="56"/>
    <s v="High"/>
    <s v="Medium"/>
    <s v="Sales Executive"/>
    <s v="Medium"/>
    <s v="Married"/>
    <n v="6214"/>
    <n v="3415"/>
    <s v="Medium"/>
    <n v="1"/>
    <x v="1"/>
    <n v="18"/>
    <s v="High"/>
    <s v="Low"/>
    <n v="1"/>
    <n v="8"/>
    <n v="3"/>
    <n v="3"/>
    <n v="8"/>
    <n v="7"/>
    <n v="0"/>
    <n v="7"/>
  </r>
  <r>
    <n v="341"/>
    <n v="37"/>
    <s v="36-45"/>
    <x v="1"/>
    <s v="Travel_Rarely"/>
    <n v="1389"/>
    <x v="1"/>
    <n v="5"/>
    <s v="Good"/>
    <s v="Medical"/>
    <s v="Excellent"/>
    <s v="Male"/>
    <n v="61"/>
    <s v="High"/>
    <s v="Medium"/>
    <s v="Manufacturing Director"/>
    <s v="Excellent"/>
    <s v="Divorced"/>
    <n v="6347"/>
    <n v="23177"/>
    <s v="Medium"/>
    <n v="7"/>
    <x v="1"/>
    <n v="16"/>
    <s v="High"/>
    <s v="High"/>
    <n v="2"/>
    <n v="8"/>
    <n v="2"/>
    <n v="2"/>
    <n v="6"/>
    <n v="2"/>
    <n v="0"/>
    <n v="4"/>
  </r>
  <r>
    <n v="342"/>
    <n v="38"/>
    <s v="36-45"/>
    <x v="1"/>
    <s v="Travel_Rarely"/>
    <n v="1389"/>
    <x v="1"/>
    <n v="15"/>
    <s v="Good"/>
    <s v="Life Sciences"/>
    <s v="High"/>
    <s v="Male"/>
    <n v="92"/>
    <s v="Medium"/>
    <s v="High"/>
    <s v="Research Director"/>
    <s v="Excellent"/>
    <s v="Divorced"/>
    <n v="11510"/>
    <n v="15682"/>
    <s v="High"/>
    <n v="0"/>
    <x v="0"/>
    <n v="14"/>
    <s v="High"/>
    <s v="Medium"/>
    <n v="1"/>
    <n v="12"/>
    <n v="3"/>
    <n v="3"/>
    <n v="11"/>
    <n v="10"/>
    <n v="2"/>
    <n v="9"/>
  </r>
  <r>
    <n v="343"/>
    <n v="31"/>
    <s v="26-35"/>
    <x v="1"/>
    <s v="Travel_Rarely"/>
    <n v="1389"/>
    <x v="1"/>
    <n v="7"/>
    <s v="High"/>
    <s v="Medical"/>
    <s v="High"/>
    <s v="Female"/>
    <n v="39"/>
    <s v="High"/>
    <s v="High"/>
    <s v="Manufacturing Director"/>
    <s v="Excellent"/>
    <s v="Single"/>
    <n v="7143"/>
    <n v="25713"/>
    <s v="Medium"/>
    <n v="1"/>
    <x v="0"/>
    <n v="14"/>
    <s v="High"/>
    <s v="High"/>
    <n v="0"/>
    <n v="11"/>
    <n v="2"/>
    <n v="2"/>
    <n v="11"/>
    <n v="9"/>
    <n v="4"/>
    <n v="10"/>
  </r>
  <r>
    <n v="344"/>
    <n v="29"/>
    <s v="26-35"/>
    <x v="1"/>
    <s v="Travel_Rarely"/>
    <n v="1389"/>
    <x v="0"/>
    <n v="10"/>
    <s v="Low"/>
    <s v="Marketing"/>
    <s v="Excellent"/>
    <s v="Female"/>
    <n v="39"/>
    <s v="Medium"/>
    <s v="Medium"/>
    <s v="Sales Executive"/>
    <s v="Medium"/>
    <s v="Divorced"/>
    <n v="8268"/>
    <n v="11866"/>
    <s v="Medium"/>
    <n v="1"/>
    <x v="0"/>
    <n v="14"/>
    <s v="High"/>
    <s v="Low"/>
    <n v="2"/>
    <n v="7"/>
    <n v="2"/>
    <n v="3"/>
    <n v="7"/>
    <n v="7"/>
    <n v="1"/>
    <n v="7"/>
  </r>
  <r>
    <n v="345"/>
    <n v="35"/>
    <s v="26-35"/>
    <x v="1"/>
    <s v="Travel_Rarely"/>
    <n v="1389"/>
    <x v="1"/>
    <n v="5"/>
    <s v="High"/>
    <s v="Technical Degree"/>
    <s v="High"/>
    <s v="Male"/>
    <n v="62"/>
    <s v="High"/>
    <s v="High"/>
    <s v="Manufacturing Director"/>
    <s v="Medium"/>
    <s v="Single"/>
    <n v="8095"/>
    <n v="18264"/>
    <s v="Medium"/>
    <n v="0"/>
    <x v="1"/>
    <n v="13"/>
    <s v="High"/>
    <s v="Excellent"/>
    <n v="0"/>
    <n v="17"/>
    <n v="5"/>
    <n v="3"/>
    <n v="16"/>
    <n v="6"/>
    <n v="0"/>
    <n v="13"/>
  </r>
  <r>
    <n v="346"/>
    <n v="23"/>
    <s v="18-25"/>
    <x v="1"/>
    <s v="Travel_Rarely"/>
    <n v="1389"/>
    <x v="1"/>
    <n v="26"/>
    <s v="Low"/>
    <s v="Life Sciences"/>
    <s v="High"/>
    <s v="Male"/>
    <n v="83"/>
    <s v="High"/>
    <s v="Low"/>
    <s v="Research Scientist"/>
    <s v="Excellent"/>
    <s v="Divorced"/>
    <n v="2904"/>
    <n v="16092"/>
    <s v="Low"/>
    <n v="1"/>
    <x v="1"/>
    <n v="12"/>
    <s v="High"/>
    <s v="High"/>
    <n v="2"/>
    <n v="4"/>
    <n v="2"/>
    <n v="2"/>
    <n v="4"/>
    <n v="2"/>
    <n v="0"/>
    <n v="2"/>
  </r>
  <r>
    <n v="347"/>
    <n v="41"/>
    <s v="36-45"/>
    <x v="1"/>
    <s v="Travel_Rarely"/>
    <n v="1389"/>
    <x v="1"/>
    <n v="6"/>
    <s v="Medium"/>
    <s v="Medical"/>
    <s v="Excellent"/>
    <s v="Male"/>
    <n v="95"/>
    <s v="Medium"/>
    <s v="Medium"/>
    <s v="Manufacturing Director"/>
    <s v="Medium"/>
    <s v="Single"/>
    <n v="6032"/>
    <n v="10110"/>
    <s v="Medium"/>
    <n v="6"/>
    <x v="0"/>
    <n v="15"/>
    <s v="High"/>
    <s v="Excellent"/>
    <n v="0"/>
    <n v="8"/>
    <n v="3"/>
    <n v="3"/>
    <n v="5"/>
    <n v="4"/>
    <n v="1"/>
    <n v="2"/>
  </r>
  <r>
    <n v="348"/>
    <n v="47"/>
    <s v="46-55"/>
    <x v="1"/>
    <s v="Travel_Frequently"/>
    <n v="1389"/>
    <x v="0"/>
    <n v="4"/>
    <s v="Low"/>
    <s v="Medical"/>
    <s v="Medium"/>
    <s v="Male"/>
    <n v="99"/>
    <s v="High"/>
    <s v="Medium"/>
    <s v="Sales Representative"/>
    <s v="High"/>
    <s v="Single"/>
    <n v="2976"/>
    <n v="25751"/>
    <s v="Low"/>
    <n v="3"/>
    <x v="1"/>
    <n v="19"/>
    <s v="High"/>
    <s v="Low"/>
    <n v="0"/>
    <n v="5"/>
    <n v="3"/>
    <n v="3"/>
    <n v="0"/>
    <n v="0"/>
    <n v="0"/>
    <n v="0"/>
  </r>
  <r>
    <n v="349"/>
    <n v="42"/>
    <s v="36-45"/>
    <x v="1"/>
    <s v="Travel_Rarely"/>
    <n v="1389"/>
    <x v="1"/>
    <n v="23"/>
    <s v="Excellent"/>
    <s v="Life Sciences"/>
    <s v="Low"/>
    <s v="Female"/>
    <n v="44"/>
    <s v="High"/>
    <s v="Excellent"/>
    <s v="Research Director"/>
    <s v="Excellent"/>
    <s v="Single"/>
    <n v="15992"/>
    <n v="15901"/>
    <s v="High"/>
    <n v="2"/>
    <x v="1"/>
    <n v="14"/>
    <s v="High"/>
    <s v="Medium"/>
    <n v="0"/>
    <n v="16"/>
    <n v="2"/>
    <n v="3"/>
    <n v="1"/>
    <n v="0"/>
    <n v="0"/>
    <n v="0"/>
  </r>
  <r>
    <n v="350"/>
    <n v="29"/>
    <s v="26-35"/>
    <x v="1"/>
    <s v="Non-Travel"/>
    <n v="1389"/>
    <x v="0"/>
    <n v="2"/>
    <s v="Medium"/>
    <s v="Life Sciences"/>
    <s v="Excellent"/>
    <s v="Male"/>
    <n v="61"/>
    <s v="High"/>
    <s v="Medium"/>
    <s v="Sales Executive"/>
    <s v="High"/>
    <s v="Married"/>
    <n v="4649"/>
    <n v="16928"/>
    <s v="Low"/>
    <n v="1"/>
    <x v="1"/>
    <n v="14"/>
    <s v="High"/>
    <s v="Low"/>
    <n v="1"/>
    <n v="4"/>
    <n v="3"/>
    <n v="2"/>
    <n v="4"/>
    <n v="3"/>
    <n v="0"/>
    <n v="2"/>
  </r>
  <r>
    <n v="351"/>
    <n v="42"/>
    <s v="36-45"/>
    <x v="1"/>
    <s v="Travel_Rarely"/>
    <n v="1389"/>
    <x v="2"/>
    <n v="2"/>
    <s v="Low"/>
    <s v="Technical Degree"/>
    <s v="High"/>
    <s v="Male"/>
    <n v="52"/>
    <s v="High"/>
    <s v="Low"/>
    <s v="Human Resources"/>
    <s v="High"/>
    <s v="Divorced"/>
    <n v="2696"/>
    <n v="24017"/>
    <s v="Low"/>
    <n v="0"/>
    <x v="0"/>
    <n v="11"/>
    <s v="High"/>
    <s v="High"/>
    <n v="1"/>
    <n v="4"/>
    <n v="5"/>
    <n v="3"/>
    <n v="3"/>
    <n v="2"/>
    <n v="1"/>
    <n v="0"/>
  </r>
  <r>
    <n v="352"/>
    <n v="32"/>
    <s v="26-35"/>
    <x v="1"/>
    <s v="Travel_Rarely"/>
    <n v="1389"/>
    <x v="1"/>
    <n v="2"/>
    <s v="Medium"/>
    <s v="Medical"/>
    <s v="High"/>
    <s v="Female"/>
    <n v="75"/>
    <s v="High"/>
    <s v="Low"/>
    <s v="Laboratory Technician"/>
    <s v="Medium"/>
    <s v="Married"/>
    <n v="2370"/>
    <n v="3956"/>
    <s v="Low"/>
    <n v="1"/>
    <x v="1"/>
    <n v="13"/>
    <s v="High"/>
    <s v="High"/>
    <n v="1"/>
    <n v="8"/>
    <n v="4"/>
    <n v="3"/>
    <n v="8"/>
    <n v="0"/>
    <n v="0"/>
    <n v="7"/>
  </r>
  <r>
    <n v="353"/>
    <n v="48"/>
    <s v="46-55"/>
    <x v="1"/>
    <s v="Travel_Rarely"/>
    <n v="1389"/>
    <x v="0"/>
    <n v="29"/>
    <s v="Low"/>
    <s v="Medical"/>
    <s v="Low"/>
    <s v="Female"/>
    <n v="91"/>
    <s v="High"/>
    <s v="High"/>
    <s v="Manager"/>
    <s v="High"/>
    <s v="Married"/>
    <n v="12504"/>
    <n v="23978"/>
    <s v="High"/>
    <n v="3"/>
    <x v="1"/>
    <n v="21"/>
    <s v="Excellent"/>
    <s v="Medium"/>
    <n v="1"/>
    <n v="15"/>
    <n v="3"/>
    <n v="1"/>
    <n v="0"/>
    <n v="0"/>
    <n v="0"/>
    <n v="0"/>
  </r>
  <r>
    <n v="354"/>
    <n v="37"/>
    <s v="36-45"/>
    <x v="1"/>
    <s v="Travel_Rarely"/>
    <n v="1389"/>
    <x v="1"/>
    <n v="6"/>
    <s v="Medium"/>
    <s v="Medical"/>
    <s v="High"/>
    <s v="Male"/>
    <n v="51"/>
    <s v="Excellent"/>
    <s v="Medium"/>
    <s v="Research Scientist"/>
    <s v="Low"/>
    <s v="Divorced"/>
    <n v="5974"/>
    <n v="17001"/>
    <s v="Medium"/>
    <n v="4"/>
    <x v="0"/>
    <n v="13"/>
    <s v="High"/>
    <s v="Low"/>
    <n v="2"/>
    <n v="13"/>
    <n v="2"/>
    <n v="3"/>
    <n v="7"/>
    <n v="7"/>
    <n v="6"/>
    <n v="7"/>
  </r>
  <r>
    <n v="355"/>
    <n v="30"/>
    <s v="26-35"/>
    <x v="1"/>
    <s v="Non-Travel"/>
    <n v="1389"/>
    <x v="0"/>
    <n v="25"/>
    <s v="Good"/>
    <s v="Technical Degree"/>
    <s v="Excellent"/>
    <s v="Female"/>
    <n v="85"/>
    <s v="High"/>
    <s v="Medium"/>
    <s v="Sales Executive"/>
    <s v="High"/>
    <s v="Married"/>
    <n v="4736"/>
    <n v="6069"/>
    <s v="Low"/>
    <n v="7"/>
    <x v="0"/>
    <n v="12"/>
    <s v="High"/>
    <s v="Medium"/>
    <n v="1"/>
    <n v="4"/>
    <n v="2"/>
    <n v="4"/>
    <n v="2"/>
    <n v="2"/>
    <n v="2"/>
    <n v="2"/>
  </r>
  <r>
    <n v="356"/>
    <n v="26"/>
    <s v="26-35"/>
    <x v="1"/>
    <s v="Travel_Rarely"/>
    <n v="1389"/>
    <x v="0"/>
    <n v="1"/>
    <s v="Medium"/>
    <s v="Life Sciences"/>
    <s v="High"/>
    <s v="Male"/>
    <n v="57"/>
    <s v="High"/>
    <s v="Medium"/>
    <s v="Sales Executive"/>
    <s v="High"/>
    <s v="Married"/>
    <n v="5296"/>
    <n v="20156"/>
    <s v="Medium"/>
    <n v="1"/>
    <x v="1"/>
    <n v="17"/>
    <s v="High"/>
    <s v="Medium"/>
    <n v="1"/>
    <n v="8"/>
    <n v="3"/>
    <n v="3"/>
    <n v="8"/>
    <n v="7"/>
    <n v="7"/>
    <n v="7"/>
  </r>
  <r>
    <n v="357"/>
    <n v="42"/>
    <s v="36-45"/>
    <x v="1"/>
    <s v="Travel_Rarely"/>
    <n v="1389"/>
    <x v="1"/>
    <n v="2"/>
    <s v="High"/>
    <s v="Other"/>
    <s v="Low"/>
    <s v="Male"/>
    <n v="98"/>
    <s v="Medium"/>
    <s v="Medium"/>
    <s v="Healthcare Representative"/>
    <s v="Excellent"/>
    <s v="Single"/>
    <n v="6781"/>
    <n v="17078"/>
    <s v="Medium"/>
    <n v="3"/>
    <x v="1"/>
    <n v="23"/>
    <s v="Excellent"/>
    <s v="Medium"/>
    <n v="0"/>
    <n v="14"/>
    <n v="6"/>
    <n v="3"/>
    <n v="1"/>
    <n v="0"/>
    <n v="0"/>
    <n v="0"/>
  </r>
  <r>
    <n v="358"/>
    <n v="21"/>
    <s v="18-25"/>
    <x v="0"/>
    <s v="Travel_Frequently"/>
    <n v="1389"/>
    <x v="0"/>
    <n v="1"/>
    <s v="Low"/>
    <s v="Technical Degree"/>
    <s v="Low"/>
    <s v="Female"/>
    <n v="99"/>
    <s v="Medium"/>
    <s v="Low"/>
    <s v="Sales Representative"/>
    <s v="Medium"/>
    <s v="Single"/>
    <n v="2174"/>
    <n v="9150"/>
    <s v="Low"/>
    <n v="1"/>
    <x v="0"/>
    <n v="11"/>
    <s v="High"/>
    <s v="High"/>
    <n v="0"/>
    <n v="3"/>
    <n v="3"/>
    <n v="3"/>
    <n v="3"/>
    <n v="2"/>
    <n v="1"/>
    <n v="2"/>
  </r>
  <r>
    <n v="359"/>
    <n v="36"/>
    <s v="36-45"/>
    <x v="1"/>
    <s v="Non-Travel"/>
    <n v="1389"/>
    <x v="0"/>
    <n v="1"/>
    <s v="Excellent"/>
    <s v="Medical"/>
    <s v="Excellent"/>
    <s v="Female"/>
    <n v="45"/>
    <s v="High"/>
    <s v="Medium"/>
    <s v="Sales Executive"/>
    <s v="Excellent"/>
    <s v="Single"/>
    <n v="6653"/>
    <n v="15276"/>
    <s v="Medium"/>
    <n v="4"/>
    <x v="1"/>
    <n v="15"/>
    <s v="High"/>
    <s v="Medium"/>
    <n v="0"/>
    <n v="7"/>
    <n v="6"/>
    <n v="3"/>
    <n v="1"/>
    <n v="0"/>
    <n v="0"/>
    <n v="0"/>
  </r>
  <r>
    <n v="360"/>
    <n v="36"/>
    <s v="36-45"/>
    <x v="1"/>
    <s v="Travel_Frequently"/>
    <n v="1389"/>
    <x v="0"/>
    <n v="3"/>
    <s v="High"/>
    <s v="Medical"/>
    <s v="Low"/>
    <s v="Male"/>
    <n v="48"/>
    <s v="Medium"/>
    <s v="High"/>
    <s v="Sales Executive"/>
    <s v="Excellent"/>
    <s v="Married"/>
    <n v="9699"/>
    <n v="7246"/>
    <s v="Medium"/>
    <n v="4"/>
    <x v="1"/>
    <n v="11"/>
    <s v="High"/>
    <s v="Low"/>
    <n v="1"/>
    <n v="16"/>
    <n v="2"/>
    <n v="3"/>
    <n v="13"/>
    <n v="9"/>
    <n v="1"/>
    <n v="12"/>
  </r>
  <r>
    <n v="361"/>
    <n v="57"/>
    <s v="55+"/>
    <x v="1"/>
    <s v="Travel_Rarely"/>
    <n v="1389"/>
    <x v="1"/>
    <n v="1"/>
    <s v="High"/>
    <s v="Medical"/>
    <s v="Excellent"/>
    <s v="Male"/>
    <n v="88"/>
    <s v="High"/>
    <s v="Medium"/>
    <s v="Healthcare Representative"/>
    <s v="High"/>
    <s v="Married"/>
    <n v="6755"/>
    <n v="2967"/>
    <s v="Medium"/>
    <n v="2"/>
    <x v="1"/>
    <n v="11"/>
    <s v="High"/>
    <s v="High"/>
    <n v="0"/>
    <n v="15"/>
    <n v="2"/>
    <n v="3"/>
    <n v="3"/>
    <n v="2"/>
    <n v="1"/>
    <n v="2"/>
  </r>
  <r>
    <n v="362"/>
    <n v="40"/>
    <s v="36-45"/>
    <x v="1"/>
    <s v="Travel_Rarely"/>
    <n v="1389"/>
    <x v="1"/>
    <n v="10"/>
    <s v="High"/>
    <s v="Life Sciences"/>
    <s v="Excellent"/>
    <s v="Female"/>
    <n v="46"/>
    <s v="Excellent"/>
    <s v="Low"/>
    <s v="Laboratory Technician"/>
    <s v="High"/>
    <s v="Married"/>
    <n v="2213"/>
    <n v="22495"/>
    <s v="Low"/>
    <n v="3"/>
    <x v="0"/>
    <n v="13"/>
    <s v="High"/>
    <s v="High"/>
    <n v="1"/>
    <n v="10"/>
    <n v="3"/>
    <n v="3"/>
    <n v="7"/>
    <n v="7"/>
    <n v="1"/>
    <n v="7"/>
  </r>
  <r>
    <n v="363"/>
    <n v="21"/>
    <s v="18-25"/>
    <x v="1"/>
    <s v="Non-Travel"/>
    <n v="1389"/>
    <x v="0"/>
    <n v="9"/>
    <s v="Good"/>
    <s v="Medical"/>
    <s v="Low"/>
    <s v="Male"/>
    <n v="39"/>
    <s v="High"/>
    <s v="Low"/>
    <s v="Sales Representative"/>
    <s v="Excellent"/>
    <s v="Single"/>
    <n v="2610"/>
    <n v="2851"/>
    <s v="Low"/>
    <n v="1"/>
    <x v="1"/>
    <n v="24"/>
    <s v="Excellent"/>
    <s v="High"/>
    <n v="0"/>
    <n v="3"/>
    <n v="3"/>
    <n v="2"/>
    <n v="3"/>
    <n v="2"/>
    <n v="2"/>
    <n v="2"/>
  </r>
  <r>
    <n v="364"/>
    <n v="33"/>
    <s v="26-35"/>
    <x v="0"/>
    <s v="Travel_Rarely"/>
    <n v="1389"/>
    <x v="0"/>
    <n v="5"/>
    <s v="Medium"/>
    <s v="Marketing"/>
    <s v="Excellent"/>
    <s v="Female"/>
    <n v="34"/>
    <s v="High"/>
    <s v="Low"/>
    <s v="Sales Representative"/>
    <s v="High"/>
    <s v="Single"/>
    <n v="2851"/>
    <n v="9150"/>
    <s v="Low"/>
    <n v="1"/>
    <x v="0"/>
    <n v="13"/>
    <s v="High"/>
    <s v="Medium"/>
    <n v="0"/>
    <n v="1"/>
    <n v="2"/>
    <n v="3"/>
    <n v="1"/>
    <n v="0"/>
    <n v="0"/>
    <n v="0"/>
  </r>
  <r>
    <n v="365"/>
    <n v="37"/>
    <s v="36-45"/>
    <x v="1"/>
    <s v="Travel_Rarely"/>
    <n v="1389"/>
    <x v="1"/>
    <n v="10"/>
    <s v="Medium"/>
    <s v="Medical"/>
    <s v="High"/>
    <s v="Female"/>
    <n v="98"/>
    <s v="High"/>
    <s v="Low"/>
    <s v="Laboratory Technician"/>
    <s v="Low"/>
    <s v="Married"/>
    <n v="3452"/>
    <n v="17663"/>
    <s v="Low"/>
    <n v="6"/>
    <x v="1"/>
    <n v="20"/>
    <s v="Excellent"/>
    <s v="Medium"/>
    <n v="1"/>
    <n v="17"/>
    <n v="3"/>
    <n v="3"/>
    <n v="5"/>
    <n v="4"/>
    <n v="0"/>
    <n v="3"/>
  </r>
  <r>
    <n v="366"/>
    <n v="46"/>
    <s v="46-55"/>
    <x v="1"/>
    <s v="Non-Travel"/>
    <n v="1389"/>
    <x v="1"/>
    <n v="7"/>
    <s v="High"/>
    <s v="Medical"/>
    <s v="High"/>
    <s v="Female"/>
    <n v="30"/>
    <s v="High"/>
    <s v="Medium"/>
    <s v="Manufacturing Director"/>
    <s v="High"/>
    <s v="Married"/>
    <n v="5258"/>
    <n v="16044"/>
    <s v="Medium"/>
    <n v="2"/>
    <x v="1"/>
    <n v="14"/>
    <s v="High"/>
    <s v="High"/>
    <n v="0"/>
    <n v="7"/>
    <n v="2"/>
    <n v="4"/>
    <n v="1"/>
    <n v="0"/>
    <n v="0"/>
    <n v="0"/>
  </r>
  <r>
    <n v="367"/>
    <n v="41"/>
    <s v="36-45"/>
    <x v="0"/>
    <s v="Travel_Frequently"/>
    <n v="1389"/>
    <x v="0"/>
    <n v="4"/>
    <s v="Medium"/>
    <s v="Marketing"/>
    <s v="Low"/>
    <s v="Male"/>
    <n v="56"/>
    <s v="High"/>
    <s v="Medium"/>
    <s v="Sales Executive"/>
    <s v="Medium"/>
    <s v="Single"/>
    <n v="9355"/>
    <n v="9558"/>
    <s v="Medium"/>
    <n v="1"/>
    <x v="1"/>
    <n v="18"/>
    <s v="High"/>
    <s v="High"/>
    <n v="0"/>
    <n v="8"/>
    <n v="5"/>
    <n v="3"/>
    <n v="8"/>
    <n v="7"/>
    <n v="7"/>
    <n v="7"/>
  </r>
  <r>
    <n v="368"/>
    <n v="50"/>
    <s v="46-55"/>
    <x v="1"/>
    <s v="Travel_Rarely"/>
    <n v="1389"/>
    <x v="1"/>
    <n v="10"/>
    <s v="Medium"/>
    <s v="Technical Degree"/>
    <s v="Excellent"/>
    <s v="Male"/>
    <n v="100"/>
    <s v="Medium"/>
    <s v="High"/>
    <s v="Healthcare Representative"/>
    <s v="Excellent"/>
    <s v="Single"/>
    <n v="10496"/>
    <n v="2755"/>
    <s v="High"/>
    <n v="6"/>
    <x v="1"/>
    <n v="15"/>
    <s v="High"/>
    <s v="Excellent"/>
    <n v="0"/>
    <n v="20"/>
    <n v="2"/>
    <n v="3"/>
    <n v="4"/>
    <n v="3"/>
    <n v="1"/>
    <n v="3"/>
  </r>
  <r>
    <n v="369"/>
    <n v="40"/>
    <s v="36-45"/>
    <x v="0"/>
    <s v="Travel_Rarely"/>
    <n v="1389"/>
    <x v="0"/>
    <n v="22"/>
    <s v="Good"/>
    <s v="Marketing"/>
    <s v="High"/>
    <s v="Male"/>
    <n v="68"/>
    <s v="Medium"/>
    <s v="Medium"/>
    <s v="Sales Executive"/>
    <s v="High"/>
    <s v="Married"/>
    <n v="6380"/>
    <n v="6110"/>
    <s v="Medium"/>
    <n v="2"/>
    <x v="0"/>
    <n v="12"/>
    <s v="High"/>
    <s v="Low"/>
    <n v="2"/>
    <n v="8"/>
    <n v="6"/>
    <n v="3"/>
    <n v="6"/>
    <n v="4"/>
    <n v="1"/>
    <n v="0"/>
  </r>
  <r>
    <n v="370"/>
    <n v="31"/>
    <s v="26-35"/>
    <x v="1"/>
    <s v="Travel_Rarely"/>
    <n v="1389"/>
    <x v="1"/>
    <n v="9"/>
    <s v="High"/>
    <s v="Life Sciences"/>
    <s v="High"/>
    <s v="Male"/>
    <n v="42"/>
    <s v="Medium"/>
    <s v="Low"/>
    <s v="Research Scientist"/>
    <s v="Medium"/>
    <s v="Single"/>
    <n v="2657"/>
    <n v="7551"/>
    <s v="Low"/>
    <n v="0"/>
    <x v="0"/>
    <n v="16"/>
    <s v="High"/>
    <s v="Excellent"/>
    <n v="0"/>
    <n v="3"/>
    <n v="5"/>
    <n v="3"/>
    <n v="2"/>
    <n v="2"/>
    <n v="2"/>
    <n v="2"/>
  </r>
  <r>
    <n v="371"/>
    <n v="21"/>
    <s v="18-25"/>
    <x v="0"/>
    <s v="Travel_Rarely"/>
    <n v="1389"/>
    <x v="0"/>
    <n v="12"/>
    <s v="Medium"/>
    <s v="Life Sciences"/>
    <s v="High"/>
    <s v="Female"/>
    <n v="90"/>
    <s v="Excellent"/>
    <s v="Low"/>
    <s v="Sales Representative"/>
    <s v="Medium"/>
    <s v="Single"/>
    <n v="2716"/>
    <n v="25422"/>
    <s v="Low"/>
    <n v="1"/>
    <x v="1"/>
    <n v="15"/>
    <s v="High"/>
    <s v="Excellent"/>
    <n v="0"/>
    <n v="1"/>
    <n v="0"/>
    <n v="3"/>
    <n v="1"/>
    <n v="0"/>
    <n v="0"/>
    <n v="0"/>
  </r>
  <r>
    <n v="372"/>
    <n v="29"/>
    <s v="26-35"/>
    <x v="1"/>
    <s v="Travel_Rarely"/>
    <n v="1389"/>
    <x v="1"/>
    <n v="23"/>
    <s v="Medium"/>
    <s v="Life Sciences"/>
    <s v="Excellent"/>
    <s v="Male"/>
    <n v="54"/>
    <s v="High"/>
    <s v="Low"/>
    <s v="Research Scientist"/>
    <s v="Excellent"/>
    <s v="Single"/>
    <n v="2201"/>
    <n v="18168"/>
    <s v="Low"/>
    <n v="9"/>
    <x v="1"/>
    <n v="16"/>
    <s v="High"/>
    <s v="Excellent"/>
    <n v="0"/>
    <n v="6"/>
    <n v="4"/>
    <n v="3"/>
    <n v="3"/>
    <n v="2"/>
    <n v="1"/>
    <n v="2"/>
  </r>
  <r>
    <n v="373"/>
    <n v="35"/>
    <s v="26-35"/>
    <x v="1"/>
    <s v="Travel_Rarely"/>
    <n v="1389"/>
    <x v="1"/>
    <n v="9"/>
    <s v="High"/>
    <s v="Life Sciences"/>
    <s v="High"/>
    <s v="Male"/>
    <n v="97"/>
    <s v="Medium"/>
    <s v="Medium"/>
    <s v="Healthcare Representative"/>
    <s v="Medium"/>
    <s v="Single"/>
    <n v="6540"/>
    <n v="19394"/>
    <s v="Medium"/>
    <n v="9"/>
    <x v="1"/>
    <n v="19"/>
    <s v="High"/>
    <s v="High"/>
    <n v="0"/>
    <n v="10"/>
    <n v="5"/>
    <n v="3"/>
    <n v="1"/>
    <n v="1"/>
    <n v="0"/>
    <n v="0"/>
  </r>
  <r>
    <n v="374"/>
    <n v="27"/>
    <s v="26-35"/>
    <x v="1"/>
    <s v="Travel_Rarely"/>
    <n v="1389"/>
    <x v="1"/>
    <n v="1"/>
    <s v="Good"/>
    <s v="Medical"/>
    <s v="Excellent"/>
    <s v="Male"/>
    <n v="82"/>
    <s v="High"/>
    <s v="Low"/>
    <s v="Laboratory Technician"/>
    <s v="Medium"/>
    <s v="Divorced"/>
    <n v="3816"/>
    <n v="17881"/>
    <s v="Low"/>
    <n v="1"/>
    <x v="1"/>
    <n v="11"/>
    <s v="High"/>
    <s v="Medium"/>
    <n v="1"/>
    <n v="5"/>
    <n v="2"/>
    <n v="3"/>
    <n v="5"/>
    <n v="2"/>
    <n v="0"/>
    <n v="4"/>
  </r>
  <r>
    <n v="375"/>
    <n v="28"/>
    <s v="26-35"/>
    <x v="1"/>
    <s v="Travel_Rarely"/>
    <n v="1389"/>
    <x v="0"/>
    <n v="9"/>
    <s v="High"/>
    <s v="Life Sciences"/>
    <s v="Medium"/>
    <s v="Male"/>
    <n v="92"/>
    <s v="High"/>
    <s v="Medium"/>
    <s v="Sales Executive"/>
    <s v="Excellent"/>
    <s v="Single"/>
    <n v="5253"/>
    <n v="20750"/>
    <s v="Medium"/>
    <n v="1"/>
    <x v="1"/>
    <n v="16"/>
    <s v="High"/>
    <s v="Excellent"/>
    <n v="0"/>
    <n v="7"/>
    <n v="1"/>
    <n v="3"/>
    <n v="7"/>
    <n v="5"/>
    <n v="0"/>
    <n v="7"/>
  </r>
  <r>
    <n v="376"/>
    <n v="49"/>
    <s v="46-55"/>
    <x v="1"/>
    <s v="Travel_Rarely"/>
    <n v="1389"/>
    <x v="1"/>
    <n v="7"/>
    <s v="Medium"/>
    <s v="Other"/>
    <s v="Medium"/>
    <s v="Male"/>
    <n v="31"/>
    <s v="Medium"/>
    <s v="High"/>
    <s v="Healthcare Representative"/>
    <s v="High"/>
    <s v="Single"/>
    <n v="10965"/>
    <n v="12066"/>
    <s v="High"/>
    <n v="8"/>
    <x v="1"/>
    <n v="24"/>
    <s v="Excellent"/>
    <s v="High"/>
    <n v="0"/>
    <n v="26"/>
    <n v="2"/>
    <n v="3"/>
    <n v="5"/>
    <n v="2"/>
    <n v="0"/>
    <n v="0"/>
  </r>
  <r>
    <n v="377"/>
    <n v="51"/>
    <s v="46-55"/>
    <x v="1"/>
    <s v="Travel_Rarely"/>
    <n v="1389"/>
    <x v="0"/>
    <n v="14"/>
    <s v="Good"/>
    <s v="Life Sciences"/>
    <s v="High"/>
    <s v="Female"/>
    <n v="87"/>
    <s v="High"/>
    <s v="Medium"/>
    <s v="Sales Executive"/>
    <s v="Excellent"/>
    <s v="Married"/>
    <n v="4936"/>
    <n v="14862"/>
    <s v="Low"/>
    <n v="4"/>
    <x v="1"/>
    <n v="11"/>
    <s v="High"/>
    <s v="High"/>
    <n v="1"/>
    <n v="18"/>
    <n v="2"/>
    <n v="2"/>
    <n v="7"/>
    <n v="7"/>
    <n v="0"/>
    <n v="7"/>
  </r>
  <r>
    <n v="378"/>
    <n v="36"/>
    <s v="36-45"/>
    <x v="1"/>
    <s v="Travel_Rarely"/>
    <n v="1389"/>
    <x v="1"/>
    <n v="2"/>
    <s v="Medium"/>
    <s v="Life Sciences"/>
    <s v="Excellent"/>
    <s v="Female"/>
    <n v="96"/>
    <s v="High"/>
    <s v="Low"/>
    <s v="Research Scientist"/>
    <s v="High"/>
    <s v="Married"/>
    <n v="2543"/>
    <n v="11868"/>
    <s v="Low"/>
    <n v="4"/>
    <x v="1"/>
    <n v="13"/>
    <s v="High"/>
    <s v="Medium"/>
    <n v="1"/>
    <n v="6"/>
    <n v="3"/>
    <n v="3"/>
    <n v="2"/>
    <n v="2"/>
    <n v="2"/>
    <n v="2"/>
  </r>
  <r>
    <n v="379"/>
    <n v="34"/>
    <s v="26-35"/>
    <x v="0"/>
    <s v="Non-Travel"/>
    <n v="1389"/>
    <x v="0"/>
    <n v="19"/>
    <s v="Medium"/>
    <s v="Marketing"/>
    <s v="Low"/>
    <s v="Male"/>
    <n v="67"/>
    <s v="Excellent"/>
    <s v="Medium"/>
    <s v="Sales Executive"/>
    <s v="Excellent"/>
    <s v="Single"/>
    <n v="5304"/>
    <n v="4652"/>
    <s v="Medium"/>
    <n v="8"/>
    <x v="0"/>
    <n v="13"/>
    <s v="High"/>
    <s v="Medium"/>
    <n v="0"/>
    <n v="9"/>
    <n v="3"/>
    <n v="2"/>
    <n v="5"/>
    <n v="2"/>
    <n v="0"/>
    <n v="4"/>
  </r>
  <r>
    <n v="380"/>
    <n v="55"/>
    <s v="46-55"/>
    <x v="1"/>
    <s v="Travel_Rarely"/>
    <n v="1389"/>
    <x v="1"/>
    <n v="2"/>
    <s v="Medium"/>
    <s v="Life Sciences"/>
    <s v="High"/>
    <s v="Female"/>
    <n v="97"/>
    <s v="High"/>
    <s v="Excellent"/>
    <s v="Manager"/>
    <s v="Excellent"/>
    <s v="Single"/>
    <n v="16659"/>
    <n v="23258"/>
    <s v="High"/>
    <n v="2"/>
    <x v="0"/>
    <n v="13"/>
    <s v="High"/>
    <s v="High"/>
    <n v="0"/>
    <n v="30"/>
    <n v="2"/>
    <n v="3"/>
    <n v="5"/>
    <n v="4"/>
    <n v="1"/>
    <n v="2"/>
  </r>
  <r>
    <n v="381"/>
    <n v="24"/>
    <s v="18-25"/>
    <x v="1"/>
    <s v="Travel_Rarely"/>
    <n v="1389"/>
    <x v="0"/>
    <n v="10"/>
    <s v="High"/>
    <s v="Marketing"/>
    <s v="Excellent"/>
    <s v="Female"/>
    <n v="77"/>
    <s v="High"/>
    <s v="Medium"/>
    <s v="Sales Executive"/>
    <s v="High"/>
    <s v="Divorced"/>
    <n v="4260"/>
    <n v="5915"/>
    <s v="Low"/>
    <n v="1"/>
    <x v="0"/>
    <n v="12"/>
    <s v="High"/>
    <s v="Excellent"/>
    <n v="1"/>
    <n v="5"/>
    <n v="2"/>
    <n v="4"/>
    <n v="5"/>
    <n v="2"/>
    <n v="0"/>
    <n v="3"/>
  </r>
  <r>
    <n v="382"/>
    <n v="30"/>
    <s v="26-35"/>
    <x v="1"/>
    <s v="Travel_Rarely"/>
    <n v="1389"/>
    <x v="0"/>
    <n v="2"/>
    <s v="Low"/>
    <s v="Technical Degree"/>
    <s v="High"/>
    <s v="Male"/>
    <n v="72"/>
    <s v="High"/>
    <s v="Low"/>
    <s v="Sales Representative"/>
    <s v="Medium"/>
    <s v="Married"/>
    <n v="2476"/>
    <n v="17434"/>
    <s v="Low"/>
    <n v="1"/>
    <x v="1"/>
    <n v="18"/>
    <s v="High"/>
    <s v="Low"/>
    <n v="1"/>
    <n v="1"/>
    <n v="3"/>
    <n v="3"/>
    <n v="1"/>
    <n v="0"/>
    <n v="0"/>
    <n v="0"/>
  </r>
  <r>
    <n v="383"/>
    <n v="26"/>
    <s v="26-35"/>
    <x v="0"/>
    <s v="Travel_Frequently"/>
    <n v="1389"/>
    <x v="1"/>
    <n v="3"/>
    <s v="Low"/>
    <s v="Technical Degree"/>
    <s v="High"/>
    <s v="Male"/>
    <n v="73"/>
    <s v="High"/>
    <s v="Low"/>
    <s v="Research Scientist"/>
    <s v="Low"/>
    <s v="Single"/>
    <n v="3102"/>
    <n v="6582"/>
    <s v="Low"/>
    <n v="0"/>
    <x v="1"/>
    <n v="22"/>
    <s v="Excellent"/>
    <s v="High"/>
    <n v="0"/>
    <n v="7"/>
    <n v="2"/>
    <n v="3"/>
    <n v="6"/>
    <n v="4"/>
    <n v="0"/>
    <n v="4"/>
  </r>
  <r>
    <n v="384"/>
    <n v="22"/>
    <s v="18-25"/>
    <x v="1"/>
    <s v="Travel_Rarely"/>
    <n v="1389"/>
    <x v="1"/>
    <n v="11"/>
    <s v="Medium"/>
    <s v="Medical"/>
    <s v="Low"/>
    <s v="Female"/>
    <n v="43"/>
    <s v="High"/>
    <s v="Low"/>
    <s v="Research Scientist"/>
    <s v="Medium"/>
    <s v="Married"/>
    <n v="2244"/>
    <n v="24440"/>
    <s v="Low"/>
    <n v="1"/>
    <x v="1"/>
    <n v="13"/>
    <s v="High"/>
    <s v="Excellent"/>
    <n v="1"/>
    <n v="2"/>
    <n v="1"/>
    <n v="3"/>
    <n v="2"/>
    <n v="1"/>
    <n v="1"/>
    <n v="2"/>
  </r>
  <r>
    <n v="385"/>
    <n v="36"/>
    <s v="36-45"/>
    <x v="1"/>
    <s v="Travel_Rarely"/>
    <n v="1389"/>
    <x v="0"/>
    <n v="2"/>
    <s v="Good"/>
    <s v="Medical"/>
    <s v="Medium"/>
    <s v="Male"/>
    <n v="61"/>
    <s v="Medium"/>
    <s v="High"/>
    <s v="Sales Executive"/>
    <s v="High"/>
    <s v="Married"/>
    <n v="7596"/>
    <n v="3809"/>
    <s v="Medium"/>
    <n v="1"/>
    <x v="1"/>
    <n v="13"/>
    <s v="High"/>
    <s v="Medium"/>
    <n v="2"/>
    <n v="10"/>
    <n v="2"/>
    <n v="3"/>
    <n v="10"/>
    <n v="9"/>
    <n v="9"/>
    <n v="0"/>
  </r>
  <r>
    <n v="386"/>
    <n v="30"/>
    <s v="26-35"/>
    <x v="0"/>
    <s v="Travel_Frequently"/>
    <n v="1389"/>
    <x v="1"/>
    <n v="4"/>
    <s v="Medium"/>
    <s v="Technical Degree"/>
    <s v="High"/>
    <s v="Male"/>
    <n v="40"/>
    <s v="High"/>
    <s v="Low"/>
    <s v="Research Scientist"/>
    <s v="Excellent"/>
    <s v="Single"/>
    <n v="2285"/>
    <n v="3427"/>
    <s v="Low"/>
    <n v="9"/>
    <x v="0"/>
    <n v="23"/>
    <s v="Excellent"/>
    <s v="High"/>
    <n v="0"/>
    <n v="3"/>
    <n v="4"/>
    <n v="3"/>
    <n v="1"/>
    <n v="0"/>
    <n v="0"/>
    <n v="0"/>
  </r>
  <r>
    <n v="387"/>
    <n v="37"/>
    <s v="36-45"/>
    <x v="1"/>
    <s v="Travel_Rarely"/>
    <n v="1389"/>
    <x v="1"/>
    <n v="14"/>
    <s v="Medium"/>
    <s v="Life Sciences"/>
    <s v="Excellent"/>
    <s v="Female"/>
    <n v="95"/>
    <s v="High"/>
    <s v="Low"/>
    <s v="Laboratory Technician"/>
    <s v="Low"/>
    <s v="Divorced"/>
    <n v="3034"/>
    <n v="26914"/>
    <s v="Low"/>
    <n v="1"/>
    <x v="1"/>
    <n v="12"/>
    <s v="High"/>
    <s v="High"/>
    <n v="1"/>
    <n v="18"/>
    <n v="2"/>
    <n v="2"/>
    <n v="18"/>
    <n v="7"/>
    <n v="12"/>
    <n v="17"/>
  </r>
  <r>
    <n v="388"/>
    <n v="40"/>
    <s v="36-45"/>
    <x v="1"/>
    <s v="Travel_Rarely"/>
    <n v="1389"/>
    <x v="0"/>
    <n v="2"/>
    <s v="Good"/>
    <s v="Marketing"/>
    <s v="Excellent"/>
    <s v="Female"/>
    <n v="46"/>
    <s v="High"/>
    <s v="Medium"/>
    <s v="Sales Executive"/>
    <s v="Medium"/>
    <s v="Divorced"/>
    <n v="5715"/>
    <n v="22553"/>
    <s v="Medium"/>
    <n v="7"/>
    <x v="1"/>
    <n v="12"/>
    <s v="High"/>
    <s v="High"/>
    <n v="2"/>
    <n v="8"/>
    <n v="5"/>
    <n v="3"/>
    <n v="5"/>
    <n v="4"/>
    <n v="1"/>
    <n v="3"/>
  </r>
  <r>
    <n v="389"/>
    <n v="42"/>
    <s v="36-45"/>
    <x v="1"/>
    <s v="Travel_Rarely"/>
    <n v="1389"/>
    <x v="1"/>
    <n v="1"/>
    <s v="High"/>
    <s v="Life Sciences"/>
    <s v="Medium"/>
    <s v="Female"/>
    <n v="95"/>
    <s v="High"/>
    <s v="Low"/>
    <s v="Laboratory Technician"/>
    <s v="Low"/>
    <s v="Divorced"/>
    <n v="2576"/>
    <n v="20490"/>
    <s v="Low"/>
    <n v="3"/>
    <x v="1"/>
    <n v="16"/>
    <s v="High"/>
    <s v="Medium"/>
    <n v="1"/>
    <n v="8"/>
    <n v="5"/>
    <n v="3"/>
    <n v="5"/>
    <n v="2"/>
    <n v="1"/>
    <n v="2"/>
  </r>
  <r>
    <n v="390"/>
    <n v="37"/>
    <s v="36-45"/>
    <x v="1"/>
    <s v="Travel_Rarely"/>
    <n v="1389"/>
    <x v="1"/>
    <n v="10"/>
    <s v="High"/>
    <s v="Life Sciences"/>
    <s v="High"/>
    <s v="Male"/>
    <n v="49"/>
    <s v="High"/>
    <s v="Medium"/>
    <s v="Manufacturing Director"/>
    <s v="Medium"/>
    <s v="Single"/>
    <n v="4197"/>
    <n v="21123"/>
    <s v="Low"/>
    <n v="2"/>
    <x v="0"/>
    <n v="12"/>
    <s v="High"/>
    <s v="Excellent"/>
    <n v="0"/>
    <n v="18"/>
    <n v="2"/>
    <n v="2"/>
    <n v="1"/>
    <n v="0"/>
    <n v="0"/>
    <n v="1"/>
  </r>
  <r>
    <n v="391"/>
    <n v="43"/>
    <s v="36-45"/>
    <x v="1"/>
    <s v="Travel_Rarely"/>
    <n v="1389"/>
    <x v="1"/>
    <n v="12"/>
    <s v="Medium"/>
    <s v="Life Sciences"/>
    <s v="Low"/>
    <s v="Male"/>
    <n v="59"/>
    <s v="Medium"/>
    <s v="Excellent"/>
    <s v="Research Director"/>
    <s v="Medium"/>
    <s v="Divorced"/>
    <n v="14336"/>
    <n v="4345"/>
    <s v="High"/>
    <n v="1"/>
    <x v="1"/>
    <n v="11"/>
    <s v="High"/>
    <s v="High"/>
    <n v="1"/>
    <n v="25"/>
    <n v="3"/>
    <n v="3"/>
    <n v="25"/>
    <n v="10"/>
    <n v="3"/>
    <n v="9"/>
  </r>
  <r>
    <n v="392"/>
    <n v="40"/>
    <s v="36-45"/>
    <x v="1"/>
    <s v="Travel_Rarely"/>
    <n v="1389"/>
    <x v="1"/>
    <n v="2"/>
    <s v="Medium"/>
    <s v="Medical"/>
    <s v="Medium"/>
    <s v="Female"/>
    <n v="78"/>
    <s v="Medium"/>
    <s v="Medium"/>
    <s v="Laboratory Technician"/>
    <s v="High"/>
    <s v="Married"/>
    <n v="3448"/>
    <n v="13436"/>
    <s v="Low"/>
    <n v="6"/>
    <x v="1"/>
    <n v="22"/>
    <s v="Excellent"/>
    <s v="Medium"/>
    <n v="1"/>
    <n v="20"/>
    <n v="3"/>
    <n v="3"/>
    <n v="1"/>
    <n v="0"/>
    <n v="0"/>
    <n v="0"/>
  </r>
  <r>
    <n v="393"/>
    <n v="54"/>
    <s v="46-55"/>
    <x v="1"/>
    <s v="Travel_Rarely"/>
    <n v="1389"/>
    <x v="1"/>
    <n v="5"/>
    <s v="Good"/>
    <s v="Medical"/>
    <s v="Low"/>
    <s v="Male"/>
    <n v="86"/>
    <s v="High"/>
    <e v="#N/A"/>
    <s v="Research Director"/>
    <s v="Low"/>
    <s v="Married"/>
    <n v="19406"/>
    <n v="8509"/>
    <s v="High"/>
    <n v="4"/>
    <x v="1"/>
    <n v="11"/>
    <s v="High"/>
    <s v="High"/>
    <n v="1"/>
    <n v="24"/>
    <n v="4"/>
    <n v="2"/>
    <n v="4"/>
    <n v="2"/>
    <n v="1"/>
    <n v="2"/>
  </r>
  <r>
    <n v="394"/>
    <n v="34"/>
    <s v="26-35"/>
    <x v="1"/>
    <s v="Non-Travel"/>
    <n v="1389"/>
    <x v="0"/>
    <n v="4"/>
    <s v="High"/>
    <s v="Marketing"/>
    <s v="High"/>
    <s v="Female"/>
    <n v="72"/>
    <s v="High"/>
    <s v="Medium"/>
    <s v="Sales Executive"/>
    <s v="High"/>
    <s v="Married"/>
    <n v="6538"/>
    <n v="12740"/>
    <s v="Medium"/>
    <n v="9"/>
    <x v="1"/>
    <n v="15"/>
    <s v="High"/>
    <s v="Low"/>
    <n v="1"/>
    <n v="6"/>
    <n v="3"/>
    <n v="3"/>
    <n v="3"/>
    <n v="2"/>
    <n v="1"/>
    <n v="2"/>
  </r>
  <r>
    <n v="395"/>
    <n v="31"/>
    <s v="26-35"/>
    <x v="1"/>
    <s v="Travel_Rarely"/>
    <n v="1389"/>
    <x v="1"/>
    <n v="7"/>
    <s v="Good"/>
    <s v="Medical"/>
    <s v="Medium"/>
    <s v="Female"/>
    <n v="31"/>
    <s v="High"/>
    <s v="Medium"/>
    <s v="Manufacturing Director"/>
    <s v="Low"/>
    <s v="Married"/>
    <n v="4306"/>
    <n v="4156"/>
    <s v="Low"/>
    <n v="1"/>
    <x v="1"/>
    <n v="12"/>
    <s v="High"/>
    <s v="Medium"/>
    <n v="1"/>
    <n v="13"/>
    <n v="5"/>
    <n v="1"/>
    <n v="13"/>
    <n v="10"/>
    <n v="3"/>
    <n v="12"/>
  </r>
  <r>
    <n v="396"/>
    <n v="43"/>
    <s v="36-45"/>
    <x v="1"/>
    <s v="Travel_Frequently"/>
    <n v="1389"/>
    <x v="1"/>
    <n v="21"/>
    <s v="Medium"/>
    <s v="Medical"/>
    <s v="Excellent"/>
    <s v="Male"/>
    <n v="61"/>
    <s v="High"/>
    <s v="Low"/>
    <s v="Laboratory Technician"/>
    <s v="Excellent"/>
    <s v="Married"/>
    <n v="2258"/>
    <n v="15238"/>
    <s v="Low"/>
    <n v="7"/>
    <x v="1"/>
    <n v="20"/>
    <s v="Excellent"/>
    <s v="Low"/>
    <n v="1"/>
    <n v="8"/>
    <n v="1"/>
    <n v="3"/>
    <n v="3"/>
    <n v="2"/>
    <n v="1"/>
    <n v="2"/>
  </r>
  <r>
    <n v="397"/>
    <n v="43"/>
    <s v="36-45"/>
    <x v="1"/>
    <s v="Travel_Rarely"/>
    <n v="1389"/>
    <x v="1"/>
    <n v="8"/>
    <s v="High"/>
    <s v="Other"/>
    <s v="High"/>
    <s v="Female"/>
    <n v="74"/>
    <s v="High"/>
    <s v="Medium"/>
    <s v="Healthcare Representative"/>
    <s v="High"/>
    <s v="Divorced"/>
    <n v="4522"/>
    <n v="2227"/>
    <s v="Low"/>
    <n v="4"/>
    <x v="0"/>
    <n v="14"/>
    <s v="High"/>
    <s v="Excellent"/>
    <n v="0"/>
    <n v="8"/>
    <n v="3"/>
    <n v="3"/>
    <n v="5"/>
    <n v="2"/>
    <n v="0"/>
    <n v="2"/>
  </r>
  <r>
    <n v="398"/>
    <n v="25"/>
    <s v="18-25"/>
    <x v="1"/>
    <s v="Travel_Rarely"/>
    <n v="1389"/>
    <x v="0"/>
    <n v="4"/>
    <s v="Good"/>
    <s v="Life Sciences"/>
    <s v="Medium"/>
    <s v="Female"/>
    <n v="99"/>
    <s v="Medium"/>
    <s v="Medium"/>
    <s v="Sales Executive"/>
    <s v="Excellent"/>
    <s v="Single"/>
    <n v="4487"/>
    <n v="12090"/>
    <s v="Low"/>
    <n v="1"/>
    <x v="0"/>
    <n v="11"/>
    <s v="High"/>
    <s v="Medium"/>
    <n v="0"/>
    <n v="5"/>
    <n v="3"/>
    <n v="3"/>
    <n v="5"/>
    <n v="4"/>
    <n v="1"/>
    <n v="3"/>
  </r>
  <r>
    <n v="399"/>
    <n v="37"/>
    <s v="36-45"/>
    <x v="1"/>
    <s v="Non-Travel"/>
    <n v="1389"/>
    <x v="1"/>
    <n v="25"/>
    <s v="Excellent"/>
    <s v="Medical"/>
    <s v="Medium"/>
    <s v="Female"/>
    <n v="72"/>
    <s v="High"/>
    <s v="Medium"/>
    <s v="Research Scientist"/>
    <s v="High"/>
    <s v="Married"/>
    <n v="4449"/>
    <n v="23866"/>
    <s v="Low"/>
    <n v="3"/>
    <x v="0"/>
    <n v="15"/>
    <s v="High"/>
    <s v="Low"/>
    <n v="2"/>
    <n v="15"/>
    <n v="2"/>
    <n v="3"/>
    <n v="13"/>
    <n v="11"/>
    <n v="10"/>
    <n v="7"/>
  </r>
  <r>
    <n v="400"/>
    <n v="31"/>
    <s v="26-35"/>
    <x v="1"/>
    <s v="Travel_Rarely"/>
    <n v="1389"/>
    <x v="1"/>
    <n v="1"/>
    <s v="Good"/>
    <s v="Life Sciences"/>
    <s v="Excellent"/>
    <s v="Male"/>
    <n v="98"/>
    <s v="Medium"/>
    <s v="Low"/>
    <s v="Laboratory Technician"/>
    <s v="Low"/>
    <s v="Married"/>
    <n v="2218"/>
    <n v="16193"/>
    <s v="Low"/>
    <n v="1"/>
    <x v="1"/>
    <n v="12"/>
    <s v="High"/>
    <s v="High"/>
    <n v="1"/>
    <n v="4"/>
    <n v="3"/>
    <n v="3"/>
    <n v="4"/>
    <n v="2"/>
    <n v="3"/>
    <n v="2"/>
  </r>
  <r>
    <n v="401"/>
    <n v="39"/>
    <s v="36-45"/>
    <x v="1"/>
    <s v="Travel_Frequently"/>
    <n v="1389"/>
    <x v="1"/>
    <n v="1"/>
    <s v="Low"/>
    <s v="Life Sciences"/>
    <s v="Medium"/>
    <s v="Male"/>
    <n v="52"/>
    <s v="High"/>
    <e v="#N/A"/>
    <s v="Manager"/>
    <s v="High"/>
    <s v="Divorced"/>
    <n v="19197"/>
    <n v="8213"/>
    <s v="High"/>
    <n v="1"/>
    <x v="0"/>
    <n v="14"/>
    <s v="High"/>
    <s v="High"/>
    <n v="1"/>
    <n v="21"/>
    <n v="3"/>
    <n v="3"/>
    <n v="21"/>
    <n v="8"/>
    <n v="1"/>
    <n v="6"/>
  </r>
  <r>
    <n v="402"/>
    <n v="56"/>
    <s v="55+"/>
    <x v="1"/>
    <s v="Travel_Frequently"/>
    <n v="1389"/>
    <x v="0"/>
    <n v="6"/>
    <s v="Medium"/>
    <s v="Life Sciences"/>
    <s v="High"/>
    <s v="Female"/>
    <n v="86"/>
    <s v="Excellent"/>
    <s v="Excellent"/>
    <s v="Sales Executive"/>
    <s v="Low"/>
    <s v="Married"/>
    <n v="13212"/>
    <n v="18256"/>
    <s v="High"/>
    <n v="9"/>
    <x v="1"/>
    <n v="11"/>
    <s v="High"/>
    <s v="Excellent"/>
    <n v="3"/>
    <n v="36"/>
    <n v="0"/>
    <n v="2"/>
    <n v="7"/>
    <n v="7"/>
    <n v="7"/>
    <n v="7"/>
  </r>
  <r>
    <n v="403"/>
    <n v="30"/>
    <s v="26-35"/>
    <x v="1"/>
    <s v="Travel_Rarely"/>
    <n v="1389"/>
    <x v="0"/>
    <n v="12"/>
    <s v="Medium"/>
    <s v="Technical Degree"/>
    <s v="Medium"/>
    <s v="Female"/>
    <n v="83"/>
    <s v="High"/>
    <s v="Medium"/>
    <s v="Sales Executive"/>
    <s v="High"/>
    <s v="Single"/>
    <n v="6577"/>
    <n v="19558"/>
    <s v="Medium"/>
    <n v="0"/>
    <x v="1"/>
    <n v="11"/>
    <s v="High"/>
    <s v="Medium"/>
    <n v="0"/>
    <n v="6"/>
    <n v="6"/>
    <n v="3"/>
    <n v="5"/>
    <n v="4"/>
    <n v="4"/>
    <n v="4"/>
  </r>
  <r>
    <n v="404"/>
    <n v="41"/>
    <s v="36-45"/>
    <x v="1"/>
    <s v="Travel_Rarely"/>
    <n v="1389"/>
    <x v="0"/>
    <n v="1"/>
    <s v="Medium"/>
    <s v="Marketing"/>
    <s v="Medium"/>
    <s v="Male"/>
    <n v="49"/>
    <s v="Excellent"/>
    <s v="High"/>
    <s v="Sales Executive"/>
    <s v="Low"/>
    <s v="Married"/>
    <n v="8392"/>
    <n v="19566"/>
    <s v="Medium"/>
    <n v="1"/>
    <x v="1"/>
    <n v="16"/>
    <s v="High"/>
    <s v="High"/>
    <n v="1"/>
    <n v="10"/>
    <n v="2"/>
    <n v="3"/>
    <n v="10"/>
    <n v="7"/>
    <n v="0"/>
    <n v="7"/>
  </r>
  <r>
    <n v="405"/>
    <n v="28"/>
    <s v="26-35"/>
    <x v="1"/>
    <s v="Travel_Rarely"/>
    <n v="1389"/>
    <x v="1"/>
    <n v="17"/>
    <s v="Good"/>
    <s v="Medical"/>
    <s v="High"/>
    <s v="Male"/>
    <n v="79"/>
    <s v="High"/>
    <s v="Medium"/>
    <s v="Laboratory Technician"/>
    <s v="Low"/>
    <s v="Divorced"/>
    <n v="4558"/>
    <n v="13535"/>
    <s v="Low"/>
    <n v="1"/>
    <x v="1"/>
    <n v="12"/>
    <s v="High"/>
    <s v="Excellent"/>
    <n v="1"/>
    <n v="10"/>
    <n v="2"/>
    <n v="3"/>
    <n v="10"/>
    <n v="0"/>
    <n v="1"/>
    <n v="8"/>
  </r>
  <r>
    <n v="406"/>
    <n v="25"/>
    <s v="18-25"/>
    <x v="0"/>
    <s v="Travel_Rarely"/>
    <n v="1389"/>
    <x v="1"/>
    <n v="3"/>
    <s v="Medium"/>
    <s v="Medical"/>
    <s v="Low"/>
    <s v="Male"/>
    <n v="91"/>
    <s v="High"/>
    <s v="Low"/>
    <s v="Laboratory Technician"/>
    <s v="Low"/>
    <s v="Married"/>
    <n v="4031"/>
    <n v="9396"/>
    <s v="Low"/>
    <n v="5"/>
    <x v="1"/>
    <n v="13"/>
    <s v="High"/>
    <s v="High"/>
    <n v="1"/>
    <n v="6"/>
    <n v="5"/>
    <n v="3"/>
    <n v="2"/>
    <n v="2"/>
    <n v="0"/>
    <n v="2"/>
  </r>
  <r>
    <n v="407"/>
    <n v="52"/>
    <s v="46-55"/>
    <x v="1"/>
    <s v="Travel_Rarely"/>
    <n v="1389"/>
    <x v="1"/>
    <n v="3"/>
    <s v="Medium"/>
    <s v="Medical"/>
    <s v="Excellent"/>
    <s v="Male"/>
    <n v="39"/>
    <s v="Medium"/>
    <s v="High"/>
    <s v="Manufacturing Director"/>
    <s v="High"/>
    <s v="Married"/>
    <n v="7969"/>
    <n v="19609"/>
    <s v="Medium"/>
    <n v="2"/>
    <x v="0"/>
    <n v="14"/>
    <s v="High"/>
    <s v="High"/>
    <n v="0"/>
    <n v="28"/>
    <n v="4"/>
    <n v="3"/>
    <n v="5"/>
    <n v="4"/>
    <n v="0"/>
    <n v="4"/>
  </r>
  <r>
    <n v="408"/>
    <n v="45"/>
    <s v="36-45"/>
    <x v="1"/>
    <s v="Travel_Rarely"/>
    <n v="1389"/>
    <x v="1"/>
    <n v="10"/>
    <s v="Good"/>
    <s v="Life Sciences"/>
    <s v="Low"/>
    <s v="Male"/>
    <n v="69"/>
    <s v="High"/>
    <s v="Low"/>
    <s v="Research Scientist"/>
    <s v="Excellent"/>
    <s v="Married"/>
    <n v="2654"/>
    <n v="9655"/>
    <s v="Low"/>
    <n v="3"/>
    <x v="1"/>
    <n v="21"/>
    <s v="Excellent"/>
    <s v="Excellent"/>
    <n v="2"/>
    <n v="8"/>
    <n v="3"/>
    <n v="2"/>
    <n v="2"/>
    <n v="2"/>
    <n v="0"/>
    <n v="2"/>
  </r>
  <r>
    <n v="409"/>
    <n v="52"/>
    <s v="46-55"/>
    <x v="1"/>
    <s v="Travel_Rarely"/>
    <n v="1389"/>
    <x v="1"/>
    <n v="4"/>
    <s v="Good"/>
    <s v="Life Sciences"/>
    <s v="Excellent"/>
    <s v="Female"/>
    <n v="30"/>
    <s v="High"/>
    <s v="Excellent"/>
    <s v="Manager"/>
    <s v="Excellent"/>
    <s v="Married"/>
    <n v="16555"/>
    <n v="10310"/>
    <s v="High"/>
    <n v="2"/>
    <x v="1"/>
    <n v="13"/>
    <s v="High"/>
    <s v="Excellent"/>
    <n v="0"/>
    <n v="31"/>
    <n v="2"/>
    <n v="1"/>
    <n v="5"/>
    <n v="2"/>
    <n v="1"/>
    <n v="4"/>
  </r>
  <r>
    <n v="410"/>
    <n v="42"/>
    <s v="36-45"/>
    <x v="1"/>
    <s v="Travel_Frequently"/>
    <n v="1389"/>
    <x v="1"/>
    <n v="29"/>
    <s v="Good"/>
    <s v="Life Sciences"/>
    <s v="Low"/>
    <s v="Female"/>
    <n v="92"/>
    <s v="High"/>
    <s v="Medium"/>
    <s v="Research Scientist"/>
    <s v="High"/>
    <s v="Divorced"/>
    <n v="4556"/>
    <n v="12932"/>
    <s v="Low"/>
    <n v="2"/>
    <x v="1"/>
    <n v="11"/>
    <s v="High"/>
    <s v="Medium"/>
    <n v="1"/>
    <n v="19"/>
    <n v="3"/>
    <n v="3"/>
    <n v="5"/>
    <n v="4"/>
    <n v="0"/>
    <n v="2"/>
  </r>
  <r>
    <n v="411"/>
    <n v="30"/>
    <s v="26-35"/>
    <x v="1"/>
    <s v="Travel_Rarely"/>
    <n v="1389"/>
    <x v="1"/>
    <n v="2"/>
    <s v="Medium"/>
    <s v="Life Sciences"/>
    <s v="High"/>
    <s v="Female"/>
    <n v="43"/>
    <s v="Low"/>
    <s v="Medium"/>
    <s v="Manufacturing Director"/>
    <s v="Excellent"/>
    <s v="Single"/>
    <n v="6091"/>
    <n v="24793"/>
    <s v="Medium"/>
    <n v="2"/>
    <x v="1"/>
    <n v="20"/>
    <s v="Excellent"/>
    <s v="High"/>
    <n v="0"/>
    <n v="11"/>
    <n v="2"/>
    <n v="3"/>
    <n v="5"/>
    <n v="4"/>
    <n v="0"/>
    <n v="2"/>
  </r>
  <r>
    <n v="412"/>
    <n v="60"/>
    <s v="55+"/>
    <x v="1"/>
    <s v="Travel_Rarely"/>
    <n v="1389"/>
    <x v="1"/>
    <n v="7"/>
    <s v="Medium"/>
    <s v="Life Sciences"/>
    <s v="Low"/>
    <s v="Female"/>
    <n v="41"/>
    <s v="High"/>
    <e v="#N/A"/>
    <s v="Manager"/>
    <s v="Low"/>
    <s v="Married"/>
    <n v="19566"/>
    <n v="3854"/>
    <s v="High"/>
    <n v="5"/>
    <x v="1"/>
    <n v="11"/>
    <s v="High"/>
    <s v="Excellent"/>
    <n v="0"/>
    <n v="33"/>
    <n v="5"/>
    <n v="1"/>
    <n v="29"/>
    <n v="8"/>
    <n v="11"/>
    <n v="10"/>
  </r>
  <r>
    <n v="413"/>
    <n v="46"/>
    <s v="46-55"/>
    <x v="1"/>
    <s v="Travel_Rarely"/>
    <n v="1389"/>
    <x v="1"/>
    <n v="18"/>
    <s v="Medium"/>
    <s v="Medical"/>
    <s v="High"/>
    <s v="Female"/>
    <n v="87"/>
    <s v="High"/>
    <s v="Medium"/>
    <s v="Manufacturing Director"/>
    <s v="High"/>
    <s v="Divorced"/>
    <n v="4810"/>
    <n v="26314"/>
    <s v="Low"/>
    <n v="2"/>
    <x v="1"/>
    <n v="14"/>
    <s v="High"/>
    <s v="High"/>
    <n v="1"/>
    <n v="19"/>
    <n v="5"/>
    <n v="2"/>
    <n v="10"/>
    <n v="7"/>
    <n v="0"/>
    <n v="8"/>
  </r>
  <r>
    <n v="414"/>
    <n v="42"/>
    <s v="36-45"/>
    <x v="1"/>
    <s v="Travel_Frequently"/>
    <n v="1389"/>
    <x v="1"/>
    <n v="28"/>
    <s v="High"/>
    <s v="Technical Degree"/>
    <s v="Excellent"/>
    <s v="Female"/>
    <n v="88"/>
    <s v="Medium"/>
    <s v="Medium"/>
    <s v="Healthcare Representative"/>
    <s v="Excellent"/>
    <s v="Married"/>
    <n v="4523"/>
    <n v="4386"/>
    <s v="Low"/>
    <n v="0"/>
    <x v="1"/>
    <n v="11"/>
    <s v="High"/>
    <s v="Excellent"/>
    <n v="3"/>
    <n v="7"/>
    <n v="4"/>
    <n v="4"/>
    <n v="6"/>
    <n v="5"/>
    <n v="0"/>
    <n v="4"/>
  </r>
  <r>
    <n v="415"/>
    <n v="24"/>
    <s v="18-25"/>
    <x v="0"/>
    <s v="Travel_Rarely"/>
    <n v="1389"/>
    <x v="0"/>
    <n v="1"/>
    <s v="Low"/>
    <s v="Technical Degree"/>
    <s v="Low"/>
    <s v="Female"/>
    <n v="62"/>
    <s v="High"/>
    <s v="Low"/>
    <s v="Sales Representative"/>
    <s v="Medium"/>
    <s v="Single"/>
    <n v="3202"/>
    <n v="21972"/>
    <s v="Low"/>
    <n v="1"/>
    <x v="0"/>
    <n v="16"/>
    <s v="High"/>
    <s v="Medium"/>
    <n v="0"/>
    <n v="6"/>
    <n v="4"/>
    <n v="3"/>
    <n v="5"/>
    <n v="3"/>
    <n v="1"/>
    <n v="4"/>
  </r>
  <r>
    <n v="416"/>
    <n v="34"/>
    <s v="26-35"/>
    <x v="0"/>
    <s v="Travel_Frequently"/>
    <n v="1389"/>
    <x v="0"/>
    <n v="6"/>
    <s v="Good"/>
    <s v="Marketing"/>
    <s v="Excellent"/>
    <s v="Female"/>
    <n v="33"/>
    <s v="Low"/>
    <s v="Low"/>
    <s v="Sales Representative"/>
    <s v="High"/>
    <s v="Divorced"/>
    <n v="2351"/>
    <n v="12253"/>
    <s v="Low"/>
    <n v="0"/>
    <x v="1"/>
    <n v="16"/>
    <s v="High"/>
    <s v="Excellent"/>
    <n v="1"/>
    <n v="3"/>
    <n v="3"/>
    <n v="2"/>
    <n v="2"/>
    <n v="2"/>
    <n v="1"/>
    <n v="0"/>
  </r>
  <r>
    <n v="417"/>
    <n v="38"/>
    <s v="36-45"/>
    <x v="1"/>
    <s v="Travel_Frequently"/>
    <n v="1389"/>
    <x v="1"/>
    <n v="2"/>
    <s v="Good"/>
    <s v="Life Sciences"/>
    <s v="Excellent"/>
    <s v="Male"/>
    <n v="42"/>
    <s v="High"/>
    <s v="Low"/>
    <s v="Laboratory Technician"/>
    <s v="Excellent"/>
    <s v="Married"/>
    <n v="1702"/>
    <n v="12106"/>
    <s v="Low"/>
    <n v="1"/>
    <x v="0"/>
    <n v="23"/>
    <s v="Excellent"/>
    <s v="High"/>
    <n v="1"/>
    <n v="1"/>
    <n v="3"/>
    <n v="3"/>
    <n v="1"/>
    <n v="0"/>
    <n v="0"/>
    <n v="0"/>
  </r>
  <r>
    <n v="418"/>
    <n v="40"/>
    <s v="36-45"/>
    <x v="1"/>
    <s v="Travel_Rarely"/>
    <n v="1389"/>
    <x v="0"/>
    <n v="2"/>
    <s v="High"/>
    <s v="Life Sciences"/>
    <s v="High"/>
    <s v="Female"/>
    <n v="79"/>
    <s v="High"/>
    <e v="#N/A"/>
    <s v="Manager"/>
    <s v="High"/>
    <s v="Married"/>
    <n v="18041"/>
    <n v="13022"/>
    <s v="High"/>
    <n v="0"/>
    <x v="1"/>
    <n v="14"/>
    <s v="High"/>
    <s v="Excellent"/>
    <n v="0"/>
    <n v="21"/>
    <n v="2"/>
    <n v="3"/>
    <n v="20"/>
    <n v="15"/>
    <n v="1"/>
    <n v="12"/>
  </r>
  <r>
    <n v="419"/>
    <n v="26"/>
    <s v="26-35"/>
    <x v="1"/>
    <s v="Travel_Rarely"/>
    <n v="1389"/>
    <x v="1"/>
    <n v="23"/>
    <s v="Medium"/>
    <s v="Life Sciences"/>
    <s v="Low"/>
    <s v="Female"/>
    <n v="90"/>
    <s v="High"/>
    <s v="Low"/>
    <s v="Research Scientist"/>
    <s v="Excellent"/>
    <s v="Divorced"/>
    <n v="2886"/>
    <n v="3032"/>
    <s v="Low"/>
    <n v="1"/>
    <x v="1"/>
    <n v="22"/>
    <s v="Excellent"/>
    <s v="Medium"/>
    <n v="2"/>
    <n v="3"/>
    <n v="3"/>
    <n v="1"/>
    <n v="3"/>
    <n v="2"/>
    <n v="0"/>
    <n v="2"/>
  </r>
  <r>
    <n v="420"/>
    <n v="30"/>
    <s v="26-35"/>
    <x v="1"/>
    <s v="Non-Travel"/>
    <n v="1389"/>
    <x v="1"/>
    <n v="3"/>
    <s v="Medium"/>
    <s v="Life Sciences"/>
    <s v="High"/>
    <s v="Male"/>
    <n v="53"/>
    <s v="High"/>
    <s v="Low"/>
    <s v="Laboratory Technician"/>
    <s v="Excellent"/>
    <s v="Married"/>
    <n v="2097"/>
    <n v="16734"/>
    <s v="Low"/>
    <n v="4"/>
    <x v="1"/>
    <n v="15"/>
    <s v="High"/>
    <s v="High"/>
    <n v="1"/>
    <n v="9"/>
    <n v="3"/>
    <n v="1"/>
    <n v="5"/>
    <n v="3"/>
    <n v="1"/>
    <n v="4"/>
  </r>
  <r>
    <n v="421"/>
    <n v="29"/>
    <s v="26-35"/>
    <x v="1"/>
    <s v="Travel_Rarely"/>
    <n v="1389"/>
    <x v="1"/>
    <n v="3"/>
    <s v="High"/>
    <s v="Medical"/>
    <s v="Medium"/>
    <s v="Male"/>
    <n v="93"/>
    <s v="Medium"/>
    <s v="High"/>
    <s v="Research Director"/>
    <s v="High"/>
    <s v="Married"/>
    <n v="11935"/>
    <n v="21526"/>
    <s v="High"/>
    <n v="1"/>
    <x v="1"/>
    <n v="18"/>
    <s v="High"/>
    <s v="High"/>
    <n v="0"/>
    <n v="10"/>
    <n v="2"/>
    <n v="3"/>
    <n v="10"/>
    <n v="2"/>
    <n v="0"/>
    <n v="7"/>
  </r>
  <r>
    <n v="422"/>
    <n v="29"/>
    <s v="26-35"/>
    <x v="0"/>
    <s v="Travel_Rarely"/>
    <n v="1389"/>
    <x v="1"/>
    <n v="25"/>
    <s v="Excellent"/>
    <s v="Technical Degree"/>
    <s v="High"/>
    <s v="Female"/>
    <n v="71"/>
    <s v="Medium"/>
    <s v="Low"/>
    <s v="Research Scientist"/>
    <s v="Medium"/>
    <s v="Married"/>
    <n v="2546"/>
    <n v="18300"/>
    <s v="Low"/>
    <n v="5"/>
    <x v="1"/>
    <n v="16"/>
    <s v="High"/>
    <s v="Medium"/>
    <n v="0"/>
    <n v="6"/>
    <n v="2"/>
    <n v="4"/>
    <n v="2"/>
    <n v="2"/>
    <n v="1"/>
    <n v="1"/>
  </r>
  <r>
    <n v="423"/>
    <n v="19"/>
    <s v="18-25"/>
    <x v="0"/>
    <s v="Travel_Rarely"/>
    <n v="1389"/>
    <x v="2"/>
    <n v="2"/>
    <s v="Good"/>
    <s v="Technical Degree"/>
    <s v="Low"/>
    <s v="Male"/>
    <n v="52"/>
    <s v="Medium"/>
    <s v="Low"/>
    <s v="Human Resources"/>
    <s v="Excellent"/>
    <s v="Single"/>
    <n v="2564"/>
    <n v="18437"/>
    <s v="Low"/>
    <n v="1"/>
    <x v="1"/>
    <n v="12"/>
    <s v="High"/>
    <s v="High"/>
    <n v="0"/>
    <n v="1"/>
    <n v="3"/>
    <n v="4"/>
    <n v="1"/>
    <n v="0"/>
    <n v="0"/>
    <n v="0"/>
  </r>
  <r>
    <n v="424"/>
    <n v="30"/>
    <s v="26-35"/>
    <x v="1"/>
    <s v="Non-Travel"/>
    <n v="1389"/>
    <x v="0"/>
    <n v="22"/>
    <s v="High"/>
    <s v="Other"/>
    <s v="High"/>
    <s v="Female"/>
    <n v="69"/>
    <s v="High"/>
    <s v="High"/>
    <s v="Sales Executive"/>
    <s v="Low"/>
    <s v="Married"/>
    <n v="8412"/>
    <n v="2890"/>
    <s v="Medium"/>
    <n v="0"/>
    <x v="1"/>
    <n v="11"/>
    <s v="High"/>
    <s v="High"/>
    <n v="0"/>
    <n v="10"/>
    <n v="3"/>
    <n v="3"/>
    <n v="9"/>
    <n v="8"/>
    <n v="7"/>
    <n v="8"/>
  </r>
  <r>
    <n v="425"/>
    <n v="57"/>
    <s v="55+"/>
    <x v="1"/>
    <s v="Travel_Rarely"/>
    <n v="1389"/>
    <x v="0"/>
    <n v="29"/>
    <s v="Medium"/>
    <s v="Marketing"/>
    <s v="Low"/>
    <s v="Male"/>
    <n v="56"/>
    <s v="Medium"/>
    <s v="Excellent"/>
    <s v="Manager"/>
    <s v="Excellent"/>
    <s v="Divorced"/>
    <n v="14118"/>
    <n v="22102"/>
    <s v="High"/>
    <n v="3"/>
    <x v="1"/>
    <n v="12"/>
    <s v="High"/>
    <s v="High"/>
    <n v="1"/>
    <n v="32"/>
    <n v="3"/>
    <n v="2"/>
    <n v="1"/>
    <n v="0"/>
    <n v="0"/>
    <n v="0"/>
  </r>
  <r>
    <n v="426"/>
    <n v="50"/>
    <s v="46-55"/>
    <x v="1"/>
    <s v="Travel_Rarely"/>
    <n v="1389"/>
    <x v="1"/>
    <n v="29"/>
    <s v="High"/>
    <s v="Life Sciences"/>
    <s v="Medium"/>
    <s v="Male"/>
    <n v="88"/>
    <s v="Medium"/>
    <s v="Excellent"/>
    <s v="Manager"/>
    <s v="High"/>
    <s v="Married"/>
    <n v="17046"/>
    <n v="9314"/>
    <s v="High"/>
    <n v="0"/>
    <x v="1"/>
    <n v="15"/>
    <s v="High"/>
    <s v="Medium"/>
    <n v="1"/>
    <n v="28"/>
    <n v="2"/>
    <n v="3"/>
    <n v="27"/>
    <n v="10"/>
    <n v="15"/>
    <n v="7"/>
  </r>
  <r>
    <n v="427"/>
    <n v="30"/>
    <s v="26-35"/>
    <x v="1"/>
    <s v="Non-Travel"/>
    <n v="1389"/>
    <x v="1"/>
    <n v="2"/>
    <s v="Medium"/>
    <s v="Medical"/>
    <s v="High"/>
    <s v="Female"/>
    <n v="49"/>
    <s v="High"/>
    <s v="Low"/>
    <s v="Laboratory Technician"/>
    <s v="Excellent"/>
    <s v="Single"/>
    <n v="2564"/>
    <n v="7181"/>
    <s v="Low"/>
    <n v="0"/>
    <x v="1"/>
    <n v="14"/>
    <s v="High"/>
    <s v="High"/>
    <n v="0"/>
    <n v="12"/>
    <n v="2"/>
    <n v="2"/>
    <n v="11"/>
    <n v="7"/>
    <n v="6"/>
    <n v="7"/>
  </r>
  <r>
    <n v="428"/>
    <n v="60"/>
    <s v="55+"/>
    <x v="1"/>
    <s v="Travel_Frequently"/>
    <n v="1389"/>
    <x v="0"/>
    <n v="28"/>
    <s v="Medium"/>
    <s v="Marketing"/>
    <s v="High"/>
    <s v="Female"/>
    <n v="80"/>
    <s v="Medium"/>
    <s v="High"/>
    <s v="Sales Executive"/>
    <s v="Low"/>
    <s v="Married"/>
    <n v="10266"/>
    <n v="2845"/>
    <s v="High"/>
    <n v="4"/>
    <x v="1"/>
    <n v="19"/>
    <s v="High"/>
    <s v="Excellent"/>
    <n v="0"/>
    <n v="22"/>
    <n v="5"/>
    <n v="4"/>
    <n v="18"/>
    <n v="13"/>
    <n v="13"/>
    <n v="11"/>
  </r>
  <r>
    <n v="429"/>
    <n v="47"/>
    <s v="46-55"/>
    <x v="1"/>
    <s v="Travel_Rarely"/>
    <n v="1389"/>
    <x v="1"/>
    <n v="2"/>
    <s v="Good"/>
    <s v="Medical"/>
    <s v="Low"/>
    <s v="Female"/>
    <n v="65"/>
    <s v="High"/>
    <s v="Medium"/>
    <s v="Manufacturing Director"/>
    <s v="Excellent"/>
    <s v="Divorced"/>
    <n v="5070"/>
    <n v="7389"/>
    <s v="Medium"/>
    <n v="5"/>
    <x v="1"/>
    <n v="13"/>
    <s v="High"/>
    <s v="High"/>
    <n v="3"/>
    <n v="20"/>
    <n v="2"/>
    <n v="3"/>
    <n v="5"/>
    <n v="0"/>
    <n v="0"/>
    <n v="4"/>
  </r>
  <r>
    <n v="430"/>
    <n v="46"/>
    <s v="46-55"/>
    <x v="1"/>
    <s v="Travel_Rarely"/>
    <n v="1389"/>
    <x v="1"/>
    <n v="2"/>
    <s v="Medium"/>
    <s v="Life Sciences"/>
    <s v="Low"/>
    <s v="Male"/>
    <n v="51"/>
    <s v="High"/>
    <s v="Excellent"/>
    <s v="Research Director"/>
    <s v="High"/>
    <s v="Married"/>
    <n v="17861"/>
    <n v="2288"/>
    <s v="High"/>
    <n v="6"/>
    <x v="1"/>
    <n v="13"/>
    <s v="High"/>
    <s v="High"/>
    <n v="0"/>
    <n v="26"/>
    <n v="2"/>
    <n v="1"/>
    <n v="3"/>
    <n v="2"/>
    <n v="0"/>
    <n v="1"/>
  </r>
  <r>
    <n v="431"/>
    <n v="35"/>
    <s v="26-35"/>
    <x v="1"/>
    <s v="Travel_Rarely"/>
    <n v="1389"/>
    <x v="1"/>
    <n v="22"/>
    <s v="Medium"/>
    <s v="Life Sciences"/>
    <s v="Excellent"/>
    <s v="Male"/>
    <n v="46"/>
    <s v="Low"/>
    <s v="Low"/>
    <s v="Laboratory Technician"/>
    <s v="High"/>
    <s v="Single"/>
    <n v="4230"/>
    <n v="19225"/>
    <s v="Low"/>
    <n v="0"/>
    <x v="1"/>
    <n v="15"/>
    <s v="High"/>
    <s v="High"/>
    <n v="0"/>
    <n v="6"/>
    <n v="2"/>
    <n v="3"/>
    <n v="5"/>
    <n v="4"/>
    <n v="4"/>
    <n v="3"/>
  </r>
  <r>
    <n v="432"/>
    <n v="54"/>
    <s v="46-55"/>
    <x v="1"/>
    <s v="Travel_Rarely"/>
    <n v="1389"/>
    <x v="1"/>
    <n v="8"/>
    <s v="High"/>
    <s v="Life Sciences"/>
    <s v="High"/>
    <s v="Female"/>
    <n v="42"/>
    <s v="High"/>
    <s v="Medium"/>
    <s v="Laboratory Technician"/>
    <s v="High"/>
    <s v="Single"/>
    <n v="3780"/>
    <n v="23428"/>
    <s v="Low"/>
    <n v="7"/>
    <x v="1"/>
    <n v="11"/>
    <s v="High"/>
    <s v="High"/>
    <n v="0"/>
    <n v="19"/>
    <n v="3"/>
    <n v="3"/>
    <n v="1"/>
    <n v="0"/>
    <n v="0"/>
    <n v="0"/>
  </r>
  <r>
    <n v="433"/>
    <n v="34"/>
    <s v="26-35"/>
    <x v="1"/>
    <s v="Travel_Rarely"/>
    <n v="1389"/>
    <x v="1"/>
    <n v="2"/>
    <s v="High"/>
    <s v="Life Sciences"/>
    <s v="Excellent"/>
    <s v="Male"/>
    <n v="62"/>
    <s v="Medium"/>
    <s v="Low"/>
    <s v="Research Scientist"/>
    <s v="High"/>
    <s v="Divorced"/>
    <n v="2768"/>
    <n v="8416"/>
    <s v="Low"/>
    <n v="3"/>
    <x v="1"/>
    <n v="12"/>
    <s v="High"/>
    <s v="High"/>
    <n v="1"/>
    <n v="14"/>
    <n v="3"/>
    <n v="3"/>
    <n v="7"/>
    <n v="3"/>
    <n v="5"/>
    <n v="7"/>
  </r>
  <r>
    <n v="434"/>
    <n v="46"/>
    <s v="46-55"/>
    <x v="1"/>
    <s v="Travel_Rarely"/>
    <n v="1389"/>
    <x v="0"/>
    <n v="10"/>
    <s v="Medium"/>
    <s v="Marketing"/>
    <s v="High"/>
    <s v="Female"/>
    <n v="94"/>
    <s v="Medium"/>
    <s v="High"/>
    <s v="Sales Executive"/>
    <s v="Excellent"/>
    <s v="Married"/>
    <n v="9071"/>
    <n v="11563"/>
    <s v="Medium"/>
    <n v="2"/>
    <x v="0"/>
    <n v="19"/>
    <s v="High"/>
    <s v="High"/>
    <n v="1"/>
    <n v="15"/>
    <n v="3"/>
    <n v="3"/>
    <n v="3"/>
    <n v="2"/>
    <n v="1"/>
    <n v="2"/>
  </r>
  <r>
    <n v="435"/>
    <n v="31"/>
    <s v="26-35"/>
    <x v="1"/>
    <s v="Travel_Rarely"/>
    <n v="1389"/>
    <x v="1"/>
    <n v="9"/>
    <s v="Low"/>
    <s v="Life Sciences"/>
    <s v="High"/>
    <s v="Male"/>
    <n v="33"/>
    <s v="High"/>
    <s v="High"/>
    <s v="Manufacturing Director"/>
    <s v="Medium"/>
    <s v="Divorced"/>
    <n v="10648"/>
    <n v="14394"/>
    <s v="High"/>
    <n v="1"/>
    <x v="1"/>
    <n v="25"/>
    <s v="Excellent"/>
    <s v="Excellent"/>
    <n v="1"/>
    <n v="13"/>
    <n v="6"/>
    <n v="4"/>
    <n v="13"/>
    <n v="8"/>
    <n v="0"/>
    <n v="8"/>
  </r>
  <r>
    <n v="436"/>
    <n v="33"/>
    <s v="26-35"/>
    <x v="0"/>
    <s v="Travel_Rarely"/>
    <n v="1389"/>
    <x v="1"/>
    <n v="15"/>
    <s v="Low"/>
    <s v="Medical"/>
    <s v="Medium"/>
    <s v="Male"/>
    <n v="56"/>
    <s v="High"/>
    <s v="High"/>
    <s v="Manager"/>
    <s v="High"/>
    <s v="Married"/>
    <n v="13610"/>
    <n v="24619"/>
    <s v="High"/>
    <n v="7"/>
    <x v="0"/>
    <n v="12"/>
    <s v="High"/>
    <s v="Excellent"/>
    <n v="0"/>
    <n v="15"/>
    <n v="2"/>
    <n v="4"/>
    <n v="7"/>
    <n v="6"/>
    <n v="7"/>
    <n v="7"/>
  </r>
  <r>
    <n v="437"/>
    <n v="33"/>
    <s v="26-35"/>
    <x v="0"/>
    <s v="Travel_Rarely"/>
    <n v="1389"/>
    <x v="1"/>
    <n v="10"/>
    <s v="Low"/>
    <s v="Medical"/>
    <s v="Low"/>
    <s v="Male"/>
    <n v="38"/>
    <s v="Low"/>
    <s v="Low"/>
    <s v="Laboratory Technician"/>
    <s v="Excellent"/>
    <s v="Divorced"/>
    <n v="3408"/>
    <n v="6705"/>
    <s v="Low"/>
    <n v="7"/>
    <x v="1"/>
    <n v="13"/>
    <s v="High"/>
    <s v="Low"/>
    <n v="3"/>
    <n v="8"/>
    <n v="2"/>
    <n v="3"/>
    <n v="4"/>
    <n v="3"/>
    <n v="1"/>
    <n v="3"/>
  </r>
  <r>
    <n v="438"/>
    <n v="30"/>
    <s v="26-35"/>
    <x v="1"/>
    <s v="Travel_Rarely"/>
    <n v="1389"/>
    <x v="0"/>
    <n v="7"/>
    <s v="Low"/>
    <s v="Marketing"/>
    <s v="Excellent"/>
    <s v="Male"/>
    <n v="57"/>
    <s v="High"/>
    <s v="Low"/>
    <s v="Sales Representative"/>
    <s v="Medium"/>
    <s v="Single"/>
    <n v="2983"/>
    <n v="18398"/>
    <s v="Low"/>
    <n v="0"/>
    <x v="1"/>
    <n v="14"/>
    <s v="High"/>
    <s v="Low"/>
    <n v="0"/>
    <n v="4"/>
    <n v="3"/>
    <n v="3"/>
    <n v="3"/>
    <n v="2"/>
    <n v="1"/>
    <n v="2"/>
  </r>
  <r>
    <n v="439"/>
    <n v="35"/>
    <s v="26-35"/>
    <x v="1"/>
    <s v="Travel_Rarely"/>
    <n v="1389"/>
    <x v="1"/>
    <n v="16"/>
    <s v="Medium"/>
    <s v="Life Sciences"/>
    <s v="Excellent"/>
    <s v="Male"/>
    <n v="72"/>
    <s v="High"/>
    <s v="High"/>
    <s v="Healthcare Representative"/>
    <s v="High"/>
    <s v="Married"/>
    <n v="7632"/>
    <n v="14295"/>
    <s v="Medium"/>
    <n v="4"/>
    <x v="0"/>
    <n v="12"/>
    <s v="High"/>
    <s v="High"/>
    <n v="0"/>
    <n v="10"/>
    <n v="2"/>
    <n v="3"/>
    <n v="8"/>
    <n v="7"/>
    <n v="0"/>
    <n v="0"/>
  </r>
  <r>
    <n v="440"/>
    <n v="31"/>
    <s v="26-35"/>
    <x v="0"/>
    <s v="Travel_Frequently"/>
    <n v="1389"/>
    <x v="1"/>
    <n v="20"/>
    <s v="Medium"/>
    <s v="Life Sciences"/>
    <s v="Low"/>
    <s v="Male"/>
    <n v="66"/>
    <s v="High"/>
    <s v="High"/>
    <s v="Healthcare Representative"/>
    <s v="High"/>
    <s v="Married"/>
    <n v="9824"/>
    <n v="22908"/>
    <s v="Medium"/>
    <n v="3"/>
    <x v="1"/>
    <n v="12"/>
    <s v="High"/>
    <s v="Low"/>
    <n v="0"/>
    <n v="12"/>
    <n v="2"/>
    <n v="3"/>
    <n v="1"/>
    <n v="0"/>
    <n v="0"/>
    <n v="0"/>
  </r>
  <r>
    <n v="441"/>
    <n v="34"/>
    <s v="26-35"/>
    <x v="0"/>
    <s v="Travel_Frequently"/>
    <n v="1389"/>
    <x v="2"/>
    <n v="23"/>
    <s v="Medium"/>
    <s v="Human Resources"/>
    <s v="Medium"/>
    <s v="Female"/>
    <n v="43"/>
    <s v="High"/>
    <s v="High"/>
    <s v="Human Resources"/>
    <s v="Low"/>
    <s v="Divorced"/>
    <n v="9950"/>
    <n v="11533"/>
    <s v="Medium"/>
    <n v="9"/>
    <x v="0"/>
    <n v="15"/>
    <s v="High"/>
    <s v="High"/>
    <n v="3"/>
    <n v="11"/>
    <n v="2"/>
    <n v="3"/>
    <n v="3"/>
    <n v="2"/>
    <n v="0"/>
    <n v="2"/>
  </r>
  <r>
    <n v="442"/>
    <n v="42"/>
    <s v="36-45"/>
    <x v="1"/>
    <s v="Travel_Frequently"/>
    <n v="1389"/>
    <x v="1"/>
    <n v="5"/>
    <s v="Good"/>
    <s v="Other"/>
    <s v="Medium"/>
    <s v="Male"/>
    <n v="97"/>
    <s v="High"/>
    <s v="Low"/>
    <s v="Laboratory Technician"/>
    <s v="High"/>
    <s v="Married"/>
    <n v="2093"/>
    <n v="9260"/>
    <s v="Low"/>
    <n v="4"/>
    <x v="1"/>
    <n v="17"/>
    <s v="High"/>
    <s v="Excellent"/>
    <n v="1"/>
    <n v="8"/>
    <n v="4"/>
    <n v="3"/>
    <n v="2"/>
    <n v="2"/>
    <n v="2"/>
    <n v="0"/>
  </r>
  <r>
    <n v="443"/>
    <n v="36"/>
    <s v="36-45"/>
    <x v="1"/>
    <s v="Non-Travel"/>
    <n v="1389"/>
    <x v="0"/>
    <n v="10"/>
    <s v="High"/>
    <s v="Medical"/>
    <s v="Medium"/>
    <s v="Male"/>
    <n v="32"/>
    <s v="High"/>
    <s v="High"/>
    <s v="Sales Executive"/>
    <s v="Excellent"/>
    <s v="Single"/>
    <n v="9980"/>
    <n v="15318"/>
    <s v="Medium"/>
    <n v="1"/>
    <x v="1"/>
    <n v="14"/>
    <s v="High"/>
    <s v="Excellent"/>
    <n v="0"/>
    <n v="10"/>
    <n v="3"/>
    <n v="2"/>
    <n v="10"/>
    <n v="3"/>
    <n v="9"/>
    <n v="7"/>
  </r>
  <r>
    <n v="444"/>
    <n v="22"/>
    <s v="18-25"/>
    <x v="0"/>
    <s v="Travel_Frequently"/>
    <n v="1389"/>
    <x v="1"/>
    <n v="4"/>
    <s v="Low"/>
    <s v="Technical Degree"/>
    <s v="High"/>
    <s v="Male"/>
    <n v="99"/>
    <s v="Medium"/>
    <s v="Low"/>
    <s v="Laboratory Technician"/>
    <s v="High"/>
    <s v="Single"/>
    <n v="3894"/>
    <n v="9129"/>
    <s v="Low"/>
    <n v="5"/>
    <x v="1"/>
    <n v="16"/>
    <s v="High"/>
    <s v="High"/>
    <n v="0"/>
    <n v="4"/>
    <n v="3"/>
    <n v="3"/>
    <n v="2"/>
    <n v="2"/>
    <n v="1"/>
    <n v="2"/>
  </r>
  <r>
    <n v="445"/>
    <n v="48"/>
    <s v="46-55"/>
    <x v="1"/>
    <s v="Travel_Rarely"/>
    <n v="1389"/>
    <x v="0"/>
    <n v="2"/>
    <s v="Excellent"/>
    <s v="Marketing"/>
    <s v="Medium"/>
    <s v="Female"/>
    <n v="37"/>
    <s v="High"/>
    <s v="Medium"/>
    <s v="Sales Executive"/>
    <s v="Excellent"/>
    <s v="Married"/>
    <n v="4051"/>
    <n v="19658"/>
    <s v="Low"/>
    <n v="2"/>
    <x v="1"/>
    <n v="14"/>
    <s v="High"/>
    <s v="Low"/>
    <n v="1"/>
    <n v="14"/>
    <n v="2"/>
    <n v="3"/>
    <n v="9"/>
    <n v="7"/>
    <n v="6"/>
    <n v="7"/>
  </r>
  <r>
    <n v="446"/>
    <n v="55"/>
    <s v="46-55"/>
    <x v="1"/>
    <s v="Travel_Rarely"/>
    <n v="1389"/>
    <x v="0"/>
    <n v="18"/>
    <s v="Excellent"/>
    <s v="Life Sciences"/>
    <s v="Low"/>
    <s v="Female"/>
    <n v="83"/>
    <s v="High"/>
    <s v="Excellent"/>
    <s v="Manager"/>
    <s v="Medium"/>
    <s v="Single"/>
    <n v="16835"/>
    <n v="9873"/>
    <s v="High"/>
    <n v="3"/>
    <x v="1"/>
    <n v="23"/>
    <s v="Excellent"/>
    <s v="Excellent"/>
    <n v="0"/>
    <n v="37"/>
    <n v="2"/>
    <n v="3"/>
    <n v="10"/>
    <n v="9"/>
    <n v="7"/>
    <n v="7"/>
  </r>
  <r>
    <n v="447"/>
    <n v="41"/>
    <s v="36-45"/>
    <x v="1"/>
    <s v="Non-Travel"/>
    <n v="1389"/>
    <x v="0"/>
    <n v="10"/>
    <s v="Good"/>
    <s v="Life Sciences"/>
    <s v="Excellent"/>
    <s v="Male"/>
    <n v="56"/>
    <s v="High"/>
    <s v="Medium"/>
    <s v="Sales Executive"/>
    <s v="Excellent"/>
    <s v="Single"/>
    <n v="6230"/>
    <n v="13430"/>
    <s v="Medium"/>
    <n v="7"/>
    <x v="1"/>
    <n v="14"/>
    <s v="High"/>
    <s v="Excellent"/>
    <n v="0"/>
    <n v="16"/>
    <n v="3"/>
    <n v="3"/>
    <n v="14"/>
    <n v="3"/>
    <n v="1"/>
    <n v="10"/>
  </r>
  <r>
    <n v="448"/>
    <n v="35"/>
    <s v="26-35"/>
    <x v="1"/>
    <s v="Travel_Rarely"/>
    <n v="1389"/>
    <x v="0"/>
    <n v="1"/>
    <s v="Medium"/>
    <s v="Marketing"/>
    <s v="Medium"/>
    <s v="Male"/>
    <n v="85"/>
    <s v="High"/>
    <s v="Medium"/>
    <s v="Sales Executive"/>
    <s v="High"/>
    <s v="Married"/>
    <n v="4717"/>
    <n v="18659"/>
    <s v="Low"/>
    <n v="9"/>
    <x v="1"/>
    <n v="11"/>
    <s v="High"/>
    <s v="High"/>
    <n v="0"/>
    <n v="15"/>
    <n v="2"/>
    <n v="3"/>
    <n v="11"/>
    <n v="9"/>
    <n v="6"/>
    <n v="9"/>
  </r>
  <r>
    <n v="449"/>
    <n v="40"/>
    <s v="36-45"/>
    <x v="1"/>
    <s v="Travel_Rarely"/>
    <n v="1389"/>
    <x v="1"/>
    <n v="6"/>
    <s v="Medium"/>
    <s v="Life Sciences"/>
    <s v="Medium"/>
    <s v="Female"/>
    <n v="75"/>
    <s v="High"/>
    <s v="Excellent"/>
    <s v="Manufacturing Director"/>
    <s v="High"/>
    <s v="Single"/>
    <n v="13237"/>
    <n v="20364"/>
    <s v="High"/>
    <n v="7"/>
    <x v="1"/>
    <n v="15"/>
    <s v="High"/>
    <s v="High"/>
    <n v="0"/>
    <n v="22"/>
    <n v="3"/>
    <n v="3"/>
    <n v="20"/>
    <n v="6"/>
    <n v="5"/>
    <n v="13"/>
  </r>
  <r>
    <n v="450"/>
    <n v="39"/>
    <s v="36-45"/>
    <x v="1"/>
    <s v="Travel_Frequently"/>
    <n v="1389"/>
    <x v="1"/>
    <n v="8"/>
    <s v="Low"/>
    <s v="Life Sciences"/>
    <s v="High"/>
    <s v="Female"/>
    <n v="48"/>
    <s v="High"/>
    <s v="Low"/>
    <s v="Laboratory Technician"/>
    <s v="High"/>
    <s v="Married"/>
    <n v="3755"/>
    <n v="17872"/>
    <s v="Low"/>
    <n v="1"/>
    <x v="1"/>
    <n v="11"/>
    <s v="High"/>
    <s v="Low"/>
    <n v="1"/>
    <n v="8"/>
    <n v="3"/>
    <n v="3"/>
    <n v="8"/>
    <n v="3"/>
    <n v="0"/>
    <n v="7"/>
  </r>
  <r>
    <n v="451"/>
    <n v="31"/>
    <s v="26-35"/>
    <x v="1"/>
    <s v="Travel_Rarely"/>
    <n v="1389"/>
    <x v="0"/>
    <n v="2"/>
    <s v="Low"/>
    <s v="Life Sciences"/>
    <s v="Medium"/>
    <s v="Male"/>
    <n v="77"/>
    <s v="High"/>
    <s v="Medium"/>
    <s v="Sales Executive"/>
    <s v="Excellent"/>
    <s v="Single"/>
    <n v="6582"/>
    <n v="8346"/>
    <s v="Medium"/>
    <n v="4"/>
    <x v="0"/>
    <n v="13"/>
    <s v="High"/>
    <s v="High"/>
    <n v="0"/>
    <n v="10"/>
    <n v="2"/>
    <n v="4"/>
    <n v="6"/>
    <n v="5"/>
    <n v="0"/>
    <n v="5"/>
  </r>
  <r>
    <n v="452"/>
    <n v="42"/>
    <s v="36-45"/>
    <x v="1"/>
    <s v="Travel_Rarely"/>
    <n v="1389"/>
    <x v="1"/>
    <n v="24"/>
    <s v="Medium"/>
    <s v="Medical"/>
    <s v="Excellent"/>
    <s v="Male"/>
    <n v="56"/>
    <s v="High"/>
    <s v="High"/>
    <s v="Manufacturing Director"/>
    <s v="Low"/>
    <s v="Married"/>
    <n v="7406"/>
    <n v="6950"/>
    <s v="Medium"/>
    <n v="1"/>
    <x v="0"/>
    <n v="21"/>
    <s v="Excellent"/>
    <s v="Excellent"/>
    <n v="1"/>
    <n v="10"/>
    <n v="5"/>
    <n v="2"/>
    <n v="10"/>
    <n v="9"/>
    <n v="5"/>
    <n v="8"/>
  </r>
  <r>
    <n v="453"/>
    <n v="45"/>
    <s v="36-45"/>
    <x v="1"/>
    <s v="Travel_Rarely"/>
    <n v="1389"/>
    <x v="0"/>
    <n v="2"/>
    <s v="Medium"/>
    <s v="Other"/>
    <s v="Excellent"/>
    <s v="Male"/>
    <n v="61"/>
    <s v="High"/>
    <s v="Medium"/>
    <s v="Sales Executive"/>
    <s v="Medium"/>
    <s v="Married"/>
    <n v="4805"/>
    <n v="16177"/>
    <s v="Low"/>
    <n v="0"/>
    <x v="1"/>
    <n v="19"/>
    <s v="High"/>
    <s v="Medium"/>
    <n v="1"/>
    <n v="9"/>
    <n v="3"/>
    <n v="4"/>
    <n v="8"/>
    <n v="7"/>
    <n v="3"/>
    <n v="7"/>
  </r>
  <r>
    <n v="454"/>
    <n v="26"/>
    <s v="26-35"/>
    <x v="0"/>
    <s v="Travel_Frequently"/>
    <n v="1389"/>
    <x v="2"/>
    <n v="17"/>
    <s v="High"/>
    <s v="Life Sciences"/>
    <s v="Medium"/>
    <s v="Female"/>
    <n v="58"/>
    <s v="High"/>
    <s v="Low"/>
    <s v="Human Resources"/>
    <s v="High"/>
    <s v="Divorced"/>
    <n v="2741"/>
    <n v="22808"/>
    <s v="Low"/>
    <n v="0"/>
    <x v="0"/>
    <n v="11"/>
    <s v="High"/>
    <s v="Medium"/>
    <n v="1"/>
    <n v="8"/>
    <n v="2"/>
    <n v="2"/>
    <n v="7"/>
    <n v="7"/>
    <n v="1"/>
    <n v="0"/>
  </r>
  <r>
    <n v="455"/>
    <n v="29"/>
    <s v="26-35"/>
    <x v="1"/>
    <s v="Travel_Rarely"/>
    <n v="1389"/>
    <x v="1"/>
    <n v="19"/>
    <s v="Medium"/>
    <s v="Technical Degree"/>
    <s v="Excellent"/>
    <s v="Male"/>
    <n v="34"/>
    <s v="High"/>
    <s v="Medium"/>
    <s v="Manufacturing Director"/>
    <s v="Excellent"/>
    <s v="Divorced"/>
    <n v="4262"/>
    <n v="22645"/>
    <s v="Low"/>
    <n v="4"/>
    <x v="1"/>
    <n v="12"/>
    <s v="High"/>
    <s v="Medium"/>
    <n v="2"/>
    <n v="8"/>
    <n v="2"/>
    <n v="4"/>
    <n v="3"/>
    <n v="2"/>
    <n v="1"/>
    <n v="2"/>
  </r>
  <r>
    <n v="456"/>
    <n v="33"/>
    <s v="26-35"/>
    <x v="1"/>
    <s v="Travel_Rarely"/>
    <n v="1389"/>
    <x v="1"/>
    <n v="1"/>
    <s v="Excellent"/>
    <s v="Medical"/>
    <s v="Low"/>
    <s v="Female"/>
    <n v="95"/>
    <s v="Excellent"/>
    <s v="Excellent"/>
    <s v="Research Director"/>
    <s v="High"/>
    <s v="Divorced"/>
    <n v="16184"/>
    <n v="22578"/>
    <s v="High"/>
    <n v="4"/>
    <x v="1"/>
    <n v="19"/>
    <s v="High"/>
    <s v="High"/>
    <n v="1"/>
    <n v="10"/>
    <n v="2"/>
    <n v="3"/>
    <n v="6"/>
    <n v="1"/>
    <n v="0"/>
    <n v="5"/>
  </r>
  <r>
    <n v="457"/>
    <n v="31"/>
    <s v="26-35"/>
    <x v="1"/>
    <s v="Travel_Rarely"/>
    <n v="1389"/>
    <x v="0"/>
    <n v="7"/>
    <s v="Medium"/>
    <s v="Life Sciences"/>
    <s v="High"/>
    <s v="Male"/>
    <n v="44"/>
    <s v="Medium"/>
    <s v="High"/>
    <s v="Manager"/>
    <s v="Excellent"/>
    <s v="Divorced"/>
    <n v="11557"/>
    <n v="25291"/>
    <s v="High"/>
    <n v="9"/>
    <x v="1"/>
    <n v="21"/>
    <s v="Excellent"/>
    <s v="High"/>
    <n v="1"/>
    <n v="10"/>
    <n v="3"/>
    <n v="2"/>
    <n v="5"/>
    <n v="4"/>
    <n v="0"/>
    <n v="1"/>
  </r>
  <r>
    <n v="458"/>
    <n v="18"/>
    <s v="18-25"/>
    <x v="0"/>
    <s v="Travel_Frequently"/>
    <n v="1389"/>
    <x v="0"/>
    <n v="5"/>
    <s v="Medium"/>
    <s v="Marketing"/>
    <s v="Medium"/>
    <s v="Male"/>
    <n v="69"/>
    <s v="High"/>
    <s v="Low"/>
    <s v="Sales Representative"/>
    <s v="Medium"/>
    <s v="Single"/>
    <n v="1878"/>
    <n v="8059"/>
    <s v="Low"/>
    <n v="1"/>
    <x v="0"/>
    <n v="14"/>
    <s v="High"/>
    <s v="Excellent"/>
    <n v="0"/>
    <n v="0"/>
    <n v="3"/>
    <n v="3"/>
    <n v="0"/>
    <n v="0"/>
    <n v="0"/>
    <n v="0"/>
  </r>
  <r>
    <n v="459"/>
    <n v="40"/>
    <s v="36-45"/>
    <x v="1"/>
    <s v="Non-Travel"/>
    <n v="1389"/>
    <x v="0"/>
    <n v="28"/>
    <s v="Medium"/>
    <s v="Other"/>
    <s v="High"/>
    <s v="Male"/>
    <n v="58"/>
    <s v="Low"/>
    <s v="High"/>
    <s v="Sales Executive"/>
    <s v="Low"/>
    <s v="Divorced"/>
    <n v="10932"/>
    <n v="11373"/>
    <s v="High"/>
    <n v="3"/>
    <x v="1"/>
    <n v="15"/>
    <s v="High"/>
    <s v="High"/>
    <n v="1"/>
    <n v="20"/>
    <n v="2"/>
    <n v="3"/>
    <n v="1"/>
    <n v="0"/>
    <n v="0"/>
    <n v="1"/>
  </r>
  <r>
    <n v="460"/>
    <n v="41"/>
    <s v="36-45"/>
    <x v="1"/>
    <s v="Non-Travel"/>
    <n v="1389"/>
    <x v="1"/>
    <n v="2"/>
    <s v="High"/>
    <s v="Other"/>
    <s v="Low"/>
    <s v="Female"/>
    <n v="62"/>
    <s v="Medium"/>
    <s v="Medium"/>
    <s v="Healthcare Representative"/>
    <s v="High"/>
    <s v="Single"/>
    <n v="6811"/>
    <n v="2112"/>
    <s v="Medium"/>
    <n v="2"/>
    <x v="0"/>
    <n v="17"/>
    <s v="High"/>
    <s v="Low"/>
    <n v="0"/>
    <n v="10"/>
    <n v="3"/>
    <n v="3"/>
    <n v="8"/>
    <n v="7"/>
    <n v="0"/>
    <n v="7"/>
  </r>
  <r>
    <n v="461"/>
    <n v="26"/>
    <s v="26-35"/>
    <x v="1"/>
    <s v="Travel_Rarely"/>
    <n v="1389"/>
    <x v="0"/>
    <n v="29"/>
    <s v="Good"/>
    <s v="Medical"/>
    <s v="Low"/>
    <s v="Male"/>
    <n v="45"/>
    <s v="High"/>
    <s v="Medium"/>
    <s v="Sales Executive"/>
    <s v="High"/>
    <s v="Divorced"/>
    <n v="4306"/>
    <n v="4267"/>
    <s v="Low"/>
    <n v="5"/>
    <x v="1"/>
    <n v="12"/>
    <s v="High"/>
    <s v="Low"/>
    <n v="2"/>
    <n v="8"/>
    <n v="5"/>
    <n v="3"/>
    <n v="0"/>
    <n v="0"/>
    <n v="0"/>
    <n v="0"/>
  </r>
  <r>
    <n v="462"/>
    <n v="35"/>
    <s v="26-35"/>
    <x v="1"/>
    <s v="Travel_Rarely"/>
    <n v="1389"/>
    <x v="0"/>
    <n v="1"/>
    <s v="Medium"/>
    <s v="Medical"/>
    <s v="Low"/>
    <s v="Female"/>
    <n v="80"/>
    <s v="High"/>
    <s v="Medium"/>
    <s v="Sales Executive"/>
    <s v="High"/>
    <s v="Single"/>
    <n v="4859"/>
    <n v="6698"/>
    <s v="Low"/>
    <n v="1"/>
    <x v="1"/>
    <n v="16"/>
    <s v="High"/>
    <s v="Excellent"/>
    <n v="0"/>
    <n v="5"/>
    <n v="3"/>
    <n v="3"/>
    <n v="5"/>
    <n v="4"/>
    <n v="0"/>
    <n v="3"/>
  </r>
  <r>
    <n v="463"/>
    <n v="34"/>
    <s v="26-35"/>
    <x v="1"/>
    <s v="Travel_Rarely"/>
    <n v="1389"/>
    <x v="0"/>
    <n v="21"/>
    <s v="High"/>
    <s v="Life Sciences"/>
    <s v="Excellent"/>
    <s v="Male"/>
    <n v="74"/>
    <s v="Excellent"/>
    <s v="Medium"/>
    <s v="Sales Executive"/>
    <s v="Excellent"/>
    <s v="Single"/>
    <n v="5337"/>
    <n v="19921"/>
    <s v="Medium"/>
    <n v="1"/>
    <x v="1"/>
    <n v="12"/>
    <s v="High"/>
    <s v="Excellent"/>
    <n v="0"/>
    <n v="10"/>
    <n v="3"/>
    <n v="3"/>
    <n v="10"/>
    <n v="7"/>
    <n v="5"/>
    <n v="7"/>
  </r>
  <r>
    <n v="464"/>
    <n v="26"/>
    <s v="26-35"/>
    <x v="0"/>
    <s v="Travel_Rarely"/>
    <n v="1389"/>
    <x v="1"/>
    <n v="24"/>
    <s v="Medium"/>
    <s v="Technical Degree"/>
    <s v="High"/>
    <s v="Male"/>
    <n v="66"/>
    <s v="Low"/>
    <s v="Low"/>
    <s v="Laboratory Technician"/>
    <s v="Excellent"/>
    <s v="Single"/>
    <n v="2340"/>
    <n v="23213"/>
    <s v="Low"/>
    <n v="1"/>
    <x v="0"/>
    <n v="18"/>
    <s v="High"/>
    <s v="Medium"/>
    <n v="0"/>
    <n v="1"/>
    <n v="3"/>
    <n v="1"/>
    <n v="1"/>
    <n v="0"/>
    <n v="0"/>
    <n v="0"/>
  </r>
  <r>
    <n v="465"/>
    <n v="37"/>
    <s v="36-45"/>
    <x v="1"/>
    <s v="Travel_Rarely"/>
    <n v="1389"/>
    <x v="1"/>
    <n v="1"/>
    <s v="Medium"/>
    <s v="Technical Degree"/>
    <s v="Medium"/>
    <s v="Female"/>
    <n v="59"/>
    <s v="High"/>
    <s v="High"/>
    <s v="Manufacturing Director"/>
    <s v="Excellent"/>
    <s v="Single"/>
    <n v="7491"/>
    <n v="23848"/>
    <s v="Medium"/>
    <n v="4"/>
    <x v="1"/>
    <n v="17"/>
    <s v="High"/>
    <s v="Excellent"/>
    <n v="0"/>
    <n v="12"/>
    <n v="3"/>
    <n v="4"/>
    <n v="6"/>
    <n v="5"/>
    <n v="1"/>
    <n v="2"/>
  </r>
  <r>
    <n v="466"/>
    <n v="46"/>
    <s v="46-55"/>
    <x v="1"/>
    <s v="Travel_Frequently"/>
    <n v="1389"/>
    <x v="1"/>
    <n v="18"/>
    <s v="Low"/>
    <s v="Medical"/>
    <s v="Low"/>
    <s v="Female"/>
    <n v="86"/>
    <s v="High"/>
    <s v="High"/>
    <s v="Healthcare Representative"/>
    <s v="High"/>
    <s v="Married"/>
    <n v="10527"/>
    <n v="8984"/>
    <s v="High"/>
    <n v="5"/>
    <x v="1"/>
    <n v="11"/>
    <s v="High"/>
    <s v="Excellent"/>
    <n v="0"/>
    <n v="28"/>
    <n v="3"/>
    <n v="2"/>
    <n v="2"/>
    <n v="2"/>
    <n v="1"/>
    <n v="2"/>
  </r>
  <r>
    <n v="467"/>
    <n v="41"/>
    <s v="36-45"/>
    <x v="1"/>
    <s v="Travel_Rarely"/>
    <n v="1389"/>
    <x v="0"/>
    <n v="2"/>
    <s v="Excellent"/>
    <s v="Life Sciences"/>
    <s v="Medium"/>
    <s v="Female"/>
    <n v="91"/>
    <s v="High"/>
    <s v="Excellent"/>
    <s v="Manager"/>
    <s v="Low"/>
    <s v="Married"/>
    <n v="16595"/>
    <n v="5626"/>
    <s v="High"/>
    <n v="7"/>
    <x v="1"/>
    <n v="16"/>
    <s v="High"/>
    <s v="Medium"/>
    <n v="1"/>
    <n v="22"/>
    <n v="2"/>
    <n v="3"/>
    <n v="18"/>
    <n v="16"/>
    <n v="11"/>
    <n v="8"/>
  </r>
  <r>
    <n v="468"/>
    <n v="37"/>
    <s v="36-45"/>
    <x v="1"/>
    <s v="Non-Travel"/>
    <n v="1389"/>
    <x v="0"/>
    <n v="9"/>
    <s v="High"/>
    <s v="Medical"/>
    <s v="Low"/>
    <s v="Male"/>
    <n v="69"/>
    <s v="High"/>
    <s v="High"/>
    <s v="Sales Executive"/>
    <s v="Medium"/>
    <s v="Divorced"/>
    <n v="8834"/>
    <n v="24666"/>
    <s v="Medium"/>
    <n v="1"/>
    <x v="1"/>
    <n v="13"/>
    <s v="High"/>
    <s v="Excellent"/>
    <n v="1"/>
    <n v="9"/>
    <n v="6"/>
    <n v="3"/>
    <n v="9"/>
    <n v="5"/>
    <n v="7"/>
    <n v="7"/>
  </r>
  <r>
    <n v="469"/>
    <n v="52"/>
    <s v="46-55"/>
    <x v="1"/>
    <s v="Travel_Rarely"/>
    <n v="1389"/>
    <x v="1"/>
    <n v="6"/>
    <s v="Good"/>
    <s v="Technical Degree"/>
    <s v="Excellent"/>
    <s v="Male"/>
    <n v="78"/>
    <s v="High"/>
    <s v="Medium"/>
    <s v="Research Scientist"/>
    <s v="Low"/>
    <s v="Divorced"/>
    <n v="5577"/>
    <n v="22087"/>
    <s v="Medium"/>
    <n v="3"/>
    <x v="0"/>
    <n v="12"/>
    <s v="High"/>
    <s v="Medium"/>
    <n v="2"/>
    <n v="18"/>
    <n v="3"/>
    <n v="3"/>
    <n v="10"/>
    <n v="9"/>
    <n v="6"/>
    <n v="9"/>
  </r>
  <r>
    <n v="470"/>
    <n v="32"/>
    <s v="26-35"/>
    <x v="0"/>
    <s v="Non-Travel"/>
    <n v="1389"/>
    <x v="0"/>
    <n v="11"/>
    <s v="High"/>
    <s v="Other"/>
    <s v="Excellent"/>
    <s v="Male"/>
    <n v="60"/>
    <s v="Excellent"/>
    <s v="Medium"/>
    <s v="Sales Executive"/>
    <s v="High"/>
    <s v="Married"/>
    <n v="4707"/>
    <n v="23914"/>
    <s v="Low"/>
    <n v="8"/>
    <x v="1"/>
    <n v="12"/>
    <s v="High"/>
    <s v="Excellent"/>
    <n v="0"/>
    <n v="6"/>
    <n v="2"/>
    <n v="3"/>
    <n v="4"/>
    <n v="2"/>
    <n v="1"/>
    <n v="2"/>
  </r>
  <r>
    <n v="471"/>
    <n v="24"/>
    <s v="18-25"/>
    <x v="1"/>
    <s v="Travel_Frequently"/>
    <n v="1389"/>
    <x v="0"/>
    <n v="24"/>
    <s v="Medium"/>
    <s v="Medical"/>
    <s v="Excellent"/>
    <s v="Male"/>
    <n v="38"/>
    <s v="High"/>
    <s v="Low"/>
    <s v="Sales Representative"/>
    <s v="Excellent"/>
    <s v="Married"/>
    <n v="2400"/>
    <n v="5530"/>
    <s v="Low"/>
    <n v="0"/>
    <x v="1"/>
    <n v="13"/>
    <s v="High"/>
    <s v="High"/>
    <n v="2"/>
    <n v="3"/>
    <n v="3"/>
    <n v="3"/>
    <n v="2"/>
    <n v="2"/>
    <n v="2"/>
    <n v="1"/>
  </r>
  <r>
    <n v="472"/>
    <n v="38"/>
    <s v="36-45"/>
    <x v="1"/>
    <s v="Travel_Rarely"/>
    <n v="1389"/>
    <x v="1"/>
    <n v="10"/>
    <s v="Medium"/>
    <s v="Medical"/>
    <s v="High"/>
    <s v="Female"/>
    <n v="76"/>
    <s v="High"/>
    <s v="Medium"/>
    <s v="Healthcare Representative"/>
    <s v="High"/>
    <s v="Married"/>
    <n v="9824"/>
    <n v="22174"/>
    <s v="Medium"/>
    <n v="3"/>
    <x v="1"/>
    <n v="19"/>
    <s v="High"/>
    <s v="High"/>
    <n v="1"/>
    <n v="18"/>
    <n v="4"/>
    <n v="3"/>
    <n v="1"/>
    <n v="0"/>
    <n v="0"/>
    <n v="0"/>
  </r>
  <r>
    <n v="473"/>
    <n v="37"/>
    <s v="36-45"/>
    <x v="1"/>
    <s v="Travel_Rarely"/>
    <n v="1389"/>
    <x v="1"/>
    <n v="1"/>
    <s v="High"/>
    <s v="Life Sciences"/>
    <s v="Medium"/>
    <s v="Female"/>
    <n v="65"/>
    <s v="High"/>
    <s v="Medium"/>
    <s v="Manufacturing Director"/>
    <s v="Medium"/>
    <s v="Married"/>
    <n v="6447"/>
    <n v="15701"/>
    <s v="Medium"/>
    <n v="6"/>
    <x v="1"/>
    <n v="12"/>
    <s v="High"/>
    <s v="Medium"/>
    <n v="1"/>
    <n v="8"/>
    <n v="2"/>
    <n v="2"/>
    <n v="6"/>
    <n v="5"/>
    <n v="4"/>
    <n v="3"/>
  </r>
  <r>
    <n v="474"/>
    <n v="49"/>
    <s v="46-55"/>
    <x v="1"/>
    <s v="Travel_Rarely"/>
    <n v="1389"/>
    <x v="1"/>
    <n v="18"/>
    <s v="High"/>
    <s v="Life Sciences"/>
    <s v="Excellent"/>
    <s v="Male"/>
    <n v="58"/>
    <s v="Medium"/>
    <e v="#N/A"/>
    <s v="Research Director"/>
    <s v="High"/>
    <s v="Divorced"/>
    <n v="19502"/>
    <n v="2125"/>
    <s v="High"/>
    <n v="1"/>
    <x v="0"/>
    <n v="17"/>
    <s v="High"/>
    <s v="High"/>
    <n v="1"/>
    <n v="31"/>
    <n v="5"/>
    <n v="3"/>
    <n v="31"/>
    <n v="9"/>
    <n v="0"/>
    <n v="9"/>
  </r>
  <r>
    <n v="475"/>
    <n v="24"/>
    <s v="18-25"/>
    <x v="1"/>
    <s v="Travel_Rarely"/>
    <n v="1389"/>
    <x v="1"/>
    <n v="23"/>
    <s v="Medium"/>
    <s v="Medical"/>
    <s v="Medium"/>
    <s v="Male"/>
    <n v="89"/>
    <s v="Excellent"/>
    <s v="Low"/>
    <s v="Research Scientist"/>
    <s v="Excellent"/>
    <s v="Married"/>
    <n v="2725"/>
    <n v="21630"/>
    <s v="Low"/>
    <n v="1"/>
    <x v="0"/>
    <n v="11"/>
    <s v="High"/>
    <s v="Medium"/>
    <n v="2"/>
    <n v="6"/>
    <n v="3"/>
    <n v="3"/>
    <n v="6"/>
    <n v="5"/>
    <n v="1"/>
    <n v="4"/>
  </r>
  <r>
    <n v="476"/>
    <n v="26"/>
    <s v="26-35"/>
    <x v="1"/>
    <s v="Travel_Rarely"/>
    <n v="1389"/>
    <x v="0"/>
    <n v="28"/>
    <s v="Good"/>
    <s v="Marketing"/>
    <s v="Low"/>
    <s v="Male"/>
    <n v="66"/>
    <s v="High"/>
    <s v="Medium"/>
    <s v="Sales Executive"/>
    <s v="Medium"/>
    <s v="Married"/>
    <n v="6272"/>
    <n v="7428"/>
    <s v="Medium"/>
    <n v="1"/>
    <x v="1"/>
    <n v="20"/>
    <s v="Excellent"/>
    <s v="Excellent"/>
    <n v="2"/>
    <n v="6"/>
    <n v="5"/>
    <n v="4"/>
    <n v="5"/>
    <n v="3"/>
    <n v="1"/>
    <n v="4"/>
  </r>
  <r>
    <n v="477"/>
    <n v="24"/>
    <s v="18-25"/>
    <x v="1"/>
    <s v="Travel_Rarely"/>
    <n v="1389"/>
    <x v="1"/>
    <n v="17"/>
    <s v="Good"/>
    <s v="Other"/>
    <s v="Excellent"/>
    <s v="Male"/>
    <n v="94"/>
    <s v="Medium"/>
    <s v="Low"/>
    <s v="Laboratory Technician"/>
    <s v="Medium"/>
    <s v="Married"/>
    <n v="2127"/>
    <n v="9100"/>
    <s v="Low"/>
    <n v="1"/>
    <x v="1"/>
    <n v="21"/>
    <s v="Excellent"/>
    <s v="Excellent"/>
    <n v="1"/>
    <n v="1"/>
    <n v="2"/>
    <n v="3"/>
    <n v="1"/>
    <n v="0"/>
    <n v="0"/>
    <n v="0"/>
  </r>
  <r>
    <n v="478"/>
    <n v="50"/>
    <s v="46-55"/>
    <x v="1"/>
    <s v="Travel_Frequently"/>
    <n v="1389"/>
    <x v="2"/>
    <n v="3"/>
    <s v="Medium"/>
    <s v="Medical"/>
    <s v="Low"/>
    <s v="Male"/>
    <n v="99"/>
    <s v="High"/>
    <e v="#N/A"/>
    <s v="Manager"/>
    <s v="Medium"/>
    <s v="Married"/>
    <n v="18200"/>
    <n v="7999"/>
    <s v="High"/>
    <n v="1"/>
    <x v="1"/>
    <n v="11"/>
    <s v="High"/>
    <s v="High"/>
    <n v="1"/>
    <n v="32"/>
    <n v="2"/>
    <n v="3"/>
    <n v="32"/>
    <n v="5"/>
    <n v="10"/>
    <n v="7"/>
  </r>
  <r>
    <n v="479"/>
    <n v="25"/>
    <s v="18-25"/>
    <x v="1"/>
    <s v="Travel_Rarely"/>
    <n v="1389"/>
    <x v="0"/>
    <n v="13"/>
    <s v="Low"/>
    <s v="Medical"/>
    <s v="Medium"/>
    <s v="Male"/>
    <n v="40"/>
    <s v="High"/>
    <s v="Low"/>
    <s v="Sales Representative"/>
    <s v="High"/>
    <s v="Married"/>
    <n v="2096"/>
    <n v="26376"/>
    <s v="Low"/>
    <n v="1"/>
    <x v="1"/>
    <n v="11"/>
    <s v="High"/>
    <s v="High"/>
    <n v="0"/>
    <n v="7"/>
    <n v="1"/>
    <n v="3"/>
    <n v="7"/>
    <n v="4"/>
    <n v="0"/>
    <n v="6"/>
  </r>
  <r>
    <n v="480"/>
    <n v="24"/>
    <s v="18-25"/>
    <x v="0"/>
    <s v="Travel_Frequently"/>
    <n v="1389"/>
    <x v="1"/>
    <n v="7"/>
    <s v="Medium"/>
    <s v="Life Sciences"/>
    <s v="Low"/>
    <s v="Female"/>
    <n v="55"/>
    <s v="High"/>
    <s v="Low"/>
    <s v="Laboratory Technician"/>
    <s v="High"/>
    <s v="Married"/>
    <n v="2886"/>
    <n v="14168"/>
    <s v="Low"/>
    <n v="1"/>
    <x v="0"/>
    <n v="16"/>
    <s v="High"/>
    <s v="Excellent"/>
    <n v="1"/>
    <n v="6"/>
    <n v="4"/>
    <n v="3"/>
    <n v="6"/>
    <n v="3"/>
    <n v="1"/>
    <n v="2"/>
  </r>
  <r>
    <n v="481"/>
    <n v="30"/>
    <s v="26-35"/>
    <x v="0"/>
    <s v="Travel_Frequently"/>
    <n v="1389"/>
    <x v="0"/>
    <n v="12"/>
    <s v="High"/>
    <s v="Life Sciences"/>
    <s v="Medium"/>
    <s v="Male"/>
    <n v="74"/>
    <s v="Medium"/>
    <s v="Low"/>
    <s v="Sales Representative"/>
    <s v="Low"/>
    <s v="Married"/>
    <n v="2033"/>
    <n v="14470"/>
    <s v="Low"/>
    <n v="1"/>
    <x v="1"/>
    <n v="18"/>
    <s v="High"/>
    <s v="High"/>
    <n v="1"/>
    <n v="1"/>
    <n v="2"/>
    <n v="4"/>
    <n v="1"/>
    <n v="0"/>
    <n v="0"/>
    <n v="0"/>
  </r>
  <r>
    <n v="482"/>
    <n v="34"/>
    <s v="26-35"/>
    <x v="1"/>
    <s v="Travel_Rarely"/>
    <n v="1389"/>
    <x v="1"/>
    <n v="1"/>
    <s v="Good"/>
    <s v="Life Sciences"/>
    <s v="Medium"/>
    <s v="Male"/>
    <n v="83"/>
    <s v="Medium"/>
    <s v="Low"/>
    <s v="Research Scientist"/>
    <s v="Excellent"/>
    <s v="Married"/>
    <n v="3622"/>
    <n v="22794"/>
    <s v="Low"/>
    <n v="1"/>
    <x v="0"/>
    <n v="13"/>
    <s v="High"/>
    <s v="Excellent"/>
    <n v="1"/>
    <n v="6"/>
    <n v="3"/>
    <n v="3"/>
    <n v="6"/>
    <n v="5"/>
    <n v="1"/>
    <n v="3"/>
  </r>
  <r>
    <n v="483"/>
    <n v="31"/>
    <s v="26-35"/>
    <x v="0"/>
    <s v="Travel_Rarely"/>
    <n v="1389"/>
    <x v="0"/>
    <n v="13"/>
    <s v="High"/>
    <s v="Medical"/>
    <s v="Medium"/>
    <s v="Male"/>
    <n v="46"/>
    <s v="High"/>
    <s v="Medium"/>
    <s v="Sales Executive"/>
    <s v="Low"/>
    <s v="Divorced"/>
    <n v="4233"/>
    <n v="11512"/>
    <s v="Low"/>
    <n v="2"/>
    <x v="1"/>
    <n v="17"/>
    <s v="High"/>
    <s v="High"/>
    <n v="0"/>
    <n v="9"/>
    <n v="2"/>
    <n v="1"/>
    <n v="3"/>
    <n v="1"/>
    <n v="1"/>
    <n v="2"/>
  </r>
  <r>
    <n v="484"/>
    <n v="35"/>
    <s v="26-35"/>
    <x v="1"/>
    <s v="Travel_Rarely"/>
    <n v="1389"/>
    <x v="1"/>
    <n v="25"/>
    <s v="Good"/>
    <s v="Other"/>
    <s v="Low"/>
    <s v="Male"/>
    <n v="54"/>
    <s v="Medium"/>
    <s v="Medium"/>
    <s v="Laboratory Technician"/>
    <s v="Excellent"/>
    <s v="Single"/>
    <n v="3681"/>
    <n v="14004"/>
    <s v="Low"/>
    <n v="4"/>
    <x v="1"/>
    <n v="14"/>
    <s v="High"/>
    <s v="Excellent"/>
    <n v="0"/>
    <n v="9"/>
    <n v="3"/>
    <n v="3"/>
    <n v="3"/>
    <n v="2"/>
    <n v="0"/>
    <n v="2"/>
  </r>
  <r>
    <n v="485"/>
    <n v="31"/>
    <s v="26-35"/>
    <x v="1"/>
    <s v="Travel_Rarely"/>
    <n v="1389"/>
    <x v="0"/>
    <n v="6"/>
    <s v="High"/>
    <s v="Medical"/>
    <s v="Low"/>
    <s v="Male"/>
    <n v="66"/>
    <s v="Excellent"/>
    <s v="Medium"/>
    <s v="Sales Executive"/>
    <s v="Excellent"/>
    <s v="Divorced"/>
    <n v="5460"/>
    <n v="6219"/>
    <s v="Medium"/>
    <n v="4"/>
    <x v="1"/>
    <n v="22"/>
    <s v="Excellent"/>
    <s v="Excellent"/>
    <n v="2"/>
    <n v="13"/>
    <n v="4"/>
    <n v="4"/>
    <n v="7"/>
    <n v="7"/>
    <n v="5"/>
    <n v="7"/>
  </r>
  <r>
    <n v="486"/>
    <n v="27"/>
    <s v="26-35"/>
    <x v="1"/>
    <s v="Travel_Rarely"/>
    <n v="1389"/>
    <x v="1"/>
    <n v="6"/>
    <s v="High"/>
    <s v="Medical"/>
    <s v="Low"/>
    <s v="Female"/>
    <n v="66"/>
    <s v="Medium"/>
    <s v="Low"/>
    <s v="Research Scientist"/>
    <s v="High"/>
    <s v="Divorced"/>
    <n v="2187"/>
    <n v="5013"/>
    <s v="Low"/>
    <n v="0"/>
    <x v="1"/>
    <n v="12"/>
    <s v="High"/>
    <s v="High"/>
    <n v="2"/>
    <n v="6"/>
    <n v="5"/>
    <n v="2"/>
    <n v="5"/>
    <n v="3"/>
    <n v="0"/>
    <n v="3"/>
  </r>
  <r>
    <n v="487"/>
    <n v="37"/>
    <s v="36-45"/>
    <x v="1"/>
    <s v="Travel_Rarely"/>
    <n v="1389"/>
    <x v="0"/>
    <n v="2"/>
    <s v="Medium"/>
    <s v="Marketing"/>
    <s v="Excellent"/>
    <s v="Male"/>
    <n v="75"/>
    <s v="High"/>
    <s v="Medium"/>
    <s v="Sales Executive"/>
    <s v="High"/>
    <s v="Married"/>
    <n v="9602"/>
    <n v="3010"/>
    <s v="Medium"/>
    <n v="4"/>
    <x v="0"/>
    <n v="11"/>
    <s v="High"/>
    <s v="High"/>
    <n v="1"/>
    <n v="17"/>
    <n v="3"/>
    <n v="2"/>
    <n v="3"/>
    <n v="0"/>
    <n v="1"/>
    <n v="0"/>
  </r>
  <r>
    <n v="488"/>
    <n v="20"/>
    <s v="18-25"/>
    <x v="1"/>
    <s v="Travel_Rarely"/>
    <n v="1389"/>
    <x v="1"/>
    <n v="1"/>
    <s v="Medium"/>
    <s v="Life Sciences"/>
    <s v="Excellent"/>
    <s v="Female"/>
    <n v="83"/>
    <s v="Medium"/>
    <s v="Low"/>
    <s v="Research Scientist"/>
    <s v="Medium"/>
    <s v="Single"/>
    <n v="2836"/>
    <n v="11757"/>
    <s v="Low"/>
    <n v="1"/>
    <x v="1"/>
    <n v="13"/>
    <s v="High"/>
    <s v="Excellent"/>
    <n v="0"/>
    <n v="1"/>
    <n v="0"/>
    <n v="4"/>
    <n v="1"/>
    <n v="0"/>
    <n v="0"/>
    <n v="0"/>
  </r>
  <r>
    <n v="489"/>
    <n v="42"/>
    <s v="36-45"/>
    <x v="1"/>
    <s v="Travel_Rarely"/>
    <n v="1389"/>
    <x v="1"/>
    <n v="2"/>
    <s v="High"/>
    <s v="Life Sciences"/>
    <s v="High"/>
    <s v="Female"/>
    <n v="81"/>
    <s v="High"/>
    <s v="Medium"/>
    <s v="Healthcare Representative"/>
    <s v="Excellent"/>
    <s v="Married"/>
    <n v="4089"/>
    <n v="5718"/>
    <s v="Low"/>
    <n v="1"/>
    <x v="1"/>
    <n v="13"/>
    <s v="High"/>
    <s v="Medium"/>
    <n v="2"/>
    <n v="10"/>
    <n v="4"/>
    <n v="3"/>
    <n v="10"/>
    <n v="2"/>
    <n v="2"/>
    <n v="2"/>
  </r>
  <r>
    <n v="490"/>
    <n v="43"/>
    <s v="36-45"/>
    <x v="1"/>
    <s v="Travel_Rarely"/>
    <n v="1389"/>
    <x v="1"/>
    <n v="6"/>
    <s v="High"/>
    <s v="Other"/>
    <s v="Medium"/>
    <s v="Male"/>
    <n v="50"/>
    <s v="Medium"/>
    <s v="Excellent"/>
    <s v="Research Director"/>
    <s v="Excellent"/>
    <s v="Divorced"/>
    <n v="16627"/>
    <n v="2671"/>
    <s v="High"/>
    <n v="4"/>
    <x v="0"/>
    <n v="14"/>
    <s v="High"/>
    <s v="High"/>
    <n v="1"/>
    <n v="21"/>
    <n v="3"/>
    <n v="2"/>
    <n v="1"/>
    <n v="0"/>
    <n v="0"/>
    <n v="0"/>
  </r>
  <r>
    <n v="491"/>
    <n v="38"/>
    <s v="36-45"/>
    <x v="1"/>
    <s v="Travel_Rarely"/>
    <n v="1389"/>
    <x v="1"/>
    <n v="1"/>
    <s v="Low"/>
    <s v="Life Sciences"/>
    <s v="High"/>
    <s v="Female"/>
    <n v="43"/>
    <s v="High"/>
    <s v="Low"/>
    <s v="Research Scientist"/>
    <s v="Low"/>
    <s v="Single"/>
    <n v="2619"/>
    <n v="14561"/>
    <s v="Low"/>
    <n v="3"/>
    <x v="1"/>
    <n v="17"/>
    <s v="High"/>
    <s v="Excellent"/>
    <n v="0"/>
    <n v="8"/>
    <n v="3"/>
    <n v="2"/>
    <n v="0"/>
    <n v="0"/>
    <n v="0"/>
    <n v="0"/>
  </r>
  <r>
    <n v="492"/>
    <n v="43"/>
    <s v="36-45"/>
    <x v="1"/>
    <s v="Travel_Frequently"/>
    <n v="1389"/>
    <x v="1"/>
    <n v="9"/>
    <s v="Excellent"/>
    <s v="Medical"/>
    <s v="Excellent"/>
    <s v="Male"/>
    <n v="72"/>
    <s v="High"/>
    <s v="Medium"/>
    <s v="Laboratory Technician"/>
    <s v="High"/>
    <s v="Divorced"/>
    <n v="5679"/>
    <n v="19627"/>
    <s v="Medium"/>
    <n v="3"/>
    <x v="0"/>
    <n v="13"/>
    <s v="High"/>
    <s v="Medium"/>
    <n v="1"/>
    <n v="10"/>
    <n v="3"/>
    <n v="3"/>
    <n v="8"/>
    <n v="7"/>
    <n v="4"/>
    <n v="7"/>
  </r>
  <r>
    <n v="493"/>
    <n v="48"/>
    <s v="46-55"/>
    <x v="1"/>
    <s v="Travel_Rarely"/>
    <n v="1389"/>
    <x v="1"/>
    <n v="1"/>
    <s v="High"/>
    <s v="Life Sciences"/>
    <s v="Excellent"/>
    <s v="Female"/>
    <n v="40"/>
    <s v="Medium"/>
    <s v="Excellent"/>
    <s v="Manager"/>
    <s v="Low"/>
    <s v="Married"/>
    <n v="15402"/>
    <n v="17997"/>
    <s v="High"/>
    <n v="7"/>
    <x v="1"/>
    <n v="11"/>
    <s v="High"/>
    <s v="Low"/>
    <n v="1"/>
    <n v="21"/>
    <n v="3"/>
    <n v="1"/>
    <n v="3"/>
    <n v="2"/>
    <n v="0"/>
    <n v="2"/>
  </r>
  <r>
    <n v="494"/>
    <n v="44"/>
    <s v="36-45"/>
    <x v="1"/>
    <s v="Travel_Rarely"/>
    <n v="1389"/>
    <x v="2"/>
    <n v="1"/>
    <s v="High"/>
    <s v="Life Sciences"/>
    <s v="Low"/>
    <s v="Female"/>
    <n v="50"/>
    <s v="Medium"/>
    <s v="Medium"/>
    <s v="Human Resources"/>
    <s v="High"/>
    <s v="Single"/>
    <n v="5985"/>
    <n v="26894"/>
    <s v="Medium"/>
    <n v="4"/>
    <x v="1"/>
    <n v="11"/>
    <s v="High"/>
    <s v="Medium"/>
    <n v="0"/>
    <n v="10"/>
    <n v="1"/>
    <n v="4"/>
    <n v="2"/>
    <n v="2"/>
    <n v="0"/>
    <n v="2"/>
  </r>
  <r>
    <n v="495"/>
    <n v="34"/>
    <s v="26-35"/>
    <x v="1"/>
    <s v="Travel_Rarely"/>
    <n v="1389"/>
    <x v="0"/>
    <n v="14"/>
    <s v="Medium"/>
    <s v="Technical Degree"/>
    <s v="High"/>
    <s v="Female"/>
    <n v="31"/>
    <s v="High"/>
    <s v="Low"/>
    <s v="Sales Representative"/>
    <s v="High"/>
    <s v="Divorced"/>
    <n v="2579"/>
    <n v="2912"/>
    <s v="Low"/>
    <n v="1"/>
    <x v="0"/>
    <n v="18"/>
    <s v="High"/>
    <s v="Excellent"/>
    <n v="2"/>
    <n v="8"/>
    <n v="3"/>
    <n v="3"/>
    <n v="8"/>
    <n v="2"/>
    <n v="0"/>
    <n v="6"/>
  </r>
  <r>
    <n v="496"/>
    <n v="27"/>
    <s v="26-35"/>
    <x v="0"/>
    <s v="Travel_Rarely"/>
    <n v="1389"/>
    <x v="0"/>
    <n v="2"/>
    <s v="Low"/>
    <s v="Marketing"/>
    <s v="High"/>
    <s v="Male"/>
    <n v="85"/>
    <s v="High"/>
    <s v="Low"/>
    <s v="Sales Representative"/>
    <s v="Low"/>
    <s v="Divorced"/>
    <n v="3041"/>
    <n v="16346"/>
    <s v="Low"/>
    <n v="0"/>
    <x v="1"/>
    <n v="11"/>
    <s v="High"/>
    <s v="Medium"/>
    <n v="1"/>
    <n v="5"/>
    <n v="3"/>
    <n v="3"/>
    <n v="4"/>
    <n v="3"/>
    <n v="0"/>
    <n v="2"/>
  </r>
  <r>
    <n v="497"/>
    <n v="21"/>
    <s v="18-25"/>
    <x v="1"/>
    <s v="Travel_Rarely"/>
    <n v="1389"/>
    <x v="0"/>
    <n v="22"/>
    <s v="Low"/>
    <s v="Technical Degree"/>
    <s v="High"/>
    <s v="Male"/>
    <n v="49"/>
    <s v="High"/>
    <s v="Low"/>
    <s v="Sales Representative"/>
    <s v="High"/>
    <s v="Single"/>
    <n v="3447"/>
    <n v="24444"/>
    <s v="Low"/>
    <n v="1"/>
    <x v="1"/>
    <n v="11"/>
    <s v="High"/>
    <s v="High"/>
    <n v="0"/>
    <n v="3"/>
    <n v="2"/>
    <n v="3"/>
    <n v="3"/>
    <n v="2"/>
    <n v="1"/>
    <n v="2"/>
  </r>
  <r>
    <n v="498"/>
    <n v="44"/>
    <s v="36-45"/>
    <x v="1"/>
    <s v="Travel_Rarely"/>
    <n v="1389"/>
    <x v="1"/>
    <n v="3"/>
    <s v="High"/>
    <s v="Other"/>
    <s v="Excellent"/>
    <s v="Male"/>
    <n v="35"/>
    <s v="High"/>
    <e v="#N/A"/>
    <s v="Manager"/>
    <s v="Excellent"/>
    <s v="Married"/>
    <n v="19513"/>
    <n v="9358"/>
    <s v="High"/>
    <n v="4"/>
    <x v="0"/>
    <n v="12"/>
    <s v="High"/>
    <s v="Low"/>
    <n v="1"/>
    <n v="26"/>
    <n v="2"/>
    <n v="4"/>
    <n v="2"/>
    <n v="2"/>
    <n v="0"/>
    <n v="1"/>
  </r>
  <r>
    <n v="499"/>
    <n v="22"/>
    <s v="18-25"/>
    <x v="1"/>
    <s v="Travel_Rarely"/>
    <n v="1389"/>
    <x v="1"/>
    <n v="6"/>
    <s v="Low"/>
    <s v="Medical"/>
    <s v="Low"/>
    <s v="Male"/>
    <n v="69"/>
    <s v="High"/>
    <s v="Low"/>
    <s v="Research Scientist"/>
    <s v="High"/>
    <s v="Married"/>
    <n v="2773"/>
    <n v="12145"/>
    <s v="Low"/>
    <n v="0"/>
    <x v="1"/>
    <n v="20"/>
    <s v="Excellent"/>
    <s v="Excellent"/>
    <n v="0"/>
    <n v="3"/>
    <n v="3"/>
    <n v="3"/>
    <n v="2"/>
    <n v="2"/>
    <n v="2"/>
    <n v="2"/>
  </r>
  <r>
    <n v="500"/>
    <n v="33"/>
    <s v="26-35"/>
    <x v="1"/>
    <s v="Travel_Rarely"/>
    <n v="1389"/>
    <x v="0"/>
    <n v="8"/>
    <s v="High"/>
    <s v="Marketing"/>
    <s v="High"/>
    <s v="Male"/>
    <n v="39"/>
    <s v="High"/>
    <s v="Medium"/>
    <s v="Sales Executive"/>
    <s v="High"/>
    <s v="Divorced"/>
    <n v="7104"/>
    <n v="20431"/>
    <s v="Medium"/>
    <n v="0"/>
    <x v="1"/>
    <n v="12"/>
    <s v="High"/>
    <s v="Excellent"/>
    <n v="0"/>
    <n v="6"/>
    <n v="3"/>
    <n v="3"/>
    <n v="5"/>
    <n v="0"/>
    <n v="1"/>
    <n v="2"/>
  </r>
  <r>
    <n v="501"/>
    <n v="32"/>
    <s v="26-35"/>
    <x v="1"/>
    <s v="Travel_Rarely"/>
    <n v="1389"/>
    <x v="1"/>
    <n v="9"/>
    <s v="High"/>
    <s v="Life Sciences"/>
    <s v="Low"/>
    <s v="Female"/>
    <n v="92"/>
    <s v="High"/>
    <s v="Medium"/>
    <s v="Research Scientist"/>
    <s v="Excellent"/>
    <s v="Married"/>
    <n v="6322"/>
    <n v="18089"/>
    <s v="Medium"/>
    <n v="1"/>
    <x v="0"/>
    <n v="12"/>
    <s v="High"/>
    <s v="Excellent"/>
    <n v="1"/>
    <n v="6"/>
    <n v="2"/>
    <n v="2"/>
    <n v="6"/>
    <n v="4"/>
    <n v="0"/>
    <n v="5"/>
  </r>
  <r>
    <n v="502"/>
    <n v="30"/>
    <s v="26-35"/>
    <x v="1"/>
    <s v="Travel_Frequently"/>
    <n v="1389"/>
    <x v="1"/>
    <n v="3"/>
    <s v="Medium"/>
    <s v="Medical"/>
    <s v="High"/>
    <s v="Female"/>
    <n v="71"/>
    <s v="High"/>
    <s v="Low"/>
    <s v="Research Scientist"/>
    <s v="High"/>
    <s v="Divorced"/>
    <n v="2083"/>
    <n v="22653"/>
    <s v="Low"/>
    <n v="1"/>
    <x v="1"/>
    <n v="20"/>
    <s v="Excellent"/>
    <s v="High"/>
    <n v="1"/>
    <n v="1"/>
    <n v="2"/>
    <n v="3"/>
    <n v="1"/>
    <n v="0"/>
    <n v="0"/>
    <n v="0"/>
  </r>
  <r>
    <n v="503"/>
    <n v="53"/>
    <s v="46-55"/>
    <x v="1"/>
    <s v="Travel_Rarely"/>
    <n v="1389"/>
    <x v="0"/>
    <n v="1"/>
    <s v="Low"/>
    <s v="Medical"/>
    <s v="Excellent"/>
    <s v="Female"/>
    <n v="34"/>
    <s v="High"/>
    <s v="Medium"/>
    <s v="Sales Executive"/>
    <s v="Low"/>
    <s v="Single"/>
    <n v="8381"/>
    <n v="7507"/>
    <s v="Medium"/>
    <n v="7"/>
    <x v="1"/>
    <n v="20"/>
    <s v="Excellent"/>
    <s v="Excellent"/>
    <n v="0"/>
    <n v="18"/>
    <n v="2"/>
    <n v="4"/>
    <n v="14"/>
    <n v="7"/>
    <n v="8"/>
    <n v="10"/>
  </r>
  <r>
    <n v="504"/>
    <n v="34"/>
    <s v="26-35"/>
    <x v="1"/>
    <s v="Travel_Rarely"/>
    <n v="1389"/>
    <x v="1"/>
    <n v="1"/>
    <s v="Excellent"/>
    <s v="Life Sciences"/>
    <s v="Medium"/>
    <s v="Male"/>
    <n v="42"/>
    <s v="High"/>
    <s v="Low"/>
    <s v="Research Scientist"/>
    <s v="Excellent"/>
    <s v="Married"/>
    <n v="2691"/>
    <n v="7660"/>
    <s v="Low"/>
    <n v="1"/>
    <x v="1"/>
    <n v="12"/>
    <s v="High"/>
    <s v="Excellent"/>
    <n v="1"/>
    <n v="10"/>
    <n v="4"/>
    <n v="2"/>
    <n v="10"/>
    <n v="9"/>
    <n v="8"/>
    <n v="8"/>
  </r>
  <r>
    <n v="505"/>
    <n v="45"/>
    <s v="36-45"/>
    <x v="0"/>
    <s v="Travel_Frequently"/>
    <n v="1389"/>
    <x v="0"/>
    <n v="26"/>
    <s v="High"/>
    <s v="Life Sciences"/>
    <s v="Low"/>
    <s v="Female"/>
    <n v="100"/>
    <s v="High"/>
    <s v="Medium"/>
    <s v="Sales Executive"/>
    <s v="Low"/>
    <s v="Married"/>
    <n v="4286"/>
    <n v="5630"/>
    <s v="Low"/>
    <n v="2"/>
    <x v="1"/>
    <n v="14"/>
    <s v="High"/>
    <s v="Excellent"/>
    <n v="2"/>
    <n v="5"/>
    <n v="4"/>
    <n v="3"/>
    <n v="1"/>
    <n v="1"/>
    <n v="0"/>
    <n v="0"/>
  </r>
  <r>
    <n v="506"/>
    <n v="26"/>
    <s v="26-35"/>
    <x v="1"/>
    <s v="Travel_Rarely"/>
    <n v="1389"/>
    <x v="1"/>
    <n v="6"/>
    <s v="Medium"/>
    <s v="Life Sciences"/>
    <s v="High"/>
    <s v="Female"/>
    <n v="71"/>
    <s v="High"/>
    <s v="Low"/>
    <s v="Laboratory Technician"/>
    <s v="Excellent"/>
    <s v="Married"/>
    <n v="2659"/>
    <n v="17759"/>
    <s v="Low"/>
    <n v="1"/>
    <x v="0"/>
    <n v="13"/>
    <s v="High"/>
    <s v="High"/>
    <n v="1"/>
    <n v="3"/>
    <n v="2"/>
    <n v="3"/>
    <n v="3"/>
    <n v="2"/>
    <n v="0"/>
    <n v="2"/>
  </r>
  <r>
    <n v="507"/>
    <n v="37"/>
    <s v="36-45"/>
    <x v="1"/>
    <s v="Travel_Rarely"/>
    <n v="1389"/>
    <x v="1"/>
    <n v="3"/>
    <s v="Medium"/>
    <s v="Other"/>
    <s v="High"/>
    <s v="Male"/>
    <n v="36"/>
    <s v="High"/>
    <s v="High"/>
    <s v="Manufacturing Director"/>
    <s v="High"/>
    <s v="Married"/>
    <n v="9434"/>
    <n v="9606"/>
    <s v="Medium"/>
    <n v="1"/>
    <x v="1"/>
    <n v="15"/>
    <s v="High"/>
    <s v="High"/>
    <n v="1"/>
    <n v="10"/>
    <n v="2"/>
    <n v="3"/>
    <n v="10"/>
    <n v="7"/>
    <n v="7"/>
    <n v="8"/>
  </r>
  <r>
    <n v="508"/>
    <n v="29"/>
    <s v="26-35"/>
    <x v="1"/>
    <s v="Travel_Rarely"/>
    <n v="1389"/>
    <x v="0"/>
    <n v="3"/>
    <s v="Good"/>
    <s v="Medical"/>
    <s v="Medium"/>
    <s v="Female"/>
    <n v="62"/>
    <s v="High"/>
    <s v="Medium"/>
    <s v="Sales Executive"/>
    <s v="High"/>
    <s v="Married"/>
    <n v="5561"/>
    <n v="3487"/>
    <s v="Medium"/>
    <n v="1"/>
    <x v="1"/>
    <n v="14"/>
    <s v="High"/>
    <s v="Low"/>
    <n v="1"/>
    <n v="6"/>
    <n v="5"/>
    <n v="2"/>
    <n v="6"/>
    <n v="0"/>
    <n v="1"/>
    <n v="2"/>
  </r>
  <r>
    <n v="509"/>
    <n v="35"/>
    <s v="26-35"/>
    <x v="1"/>
    <s v="Travel_Rarely"/>
    <n v="1389"/>
    <x v="1"/>
    <n v="6"/>
    <s v="High"/>
    <s v="Life Sciences"/>
    <s v="Medium"/>
    <s v="Male"/>
    <n v="82"/>
    <s v="Low"/>
    <s v="Medium"/>
    <s v="Research Scientist"/>
    <s v="Excellent"/>
    <s v="Single"/>
    <n v="6646"/>
    <n v="19368"/>
    <s v="Medium"/>
    <n v="1"/>
    <x v="1"/>
    <n v="13"/>
    <s v="High"/>
    <s v="Medium"/>
    <n v="0"/>
    <n v="17"/>
    <n v="3"/>
    <n v="3"/>
    <n v="17"/>
    <n v="11"/>
    <n v="11"/>
    <n v="8"/>
  </r>
  <r>
    <n v="510"/>
    <n v="33"/>
    <s v="26-35"/>
    <x v="1"/>
    <s v="Travel_Frequently"/>
    <n v="1389"/>
    <x v="1"/>
    <n v="6"/>
    <s v="Medium"/>
    <s v="Life Sciences"/>
    <s v="High"/>
    <s v="Male"/>
    <n v="30"/>
    <s v="High"/>
    <s v="Medium"/>
    <s v="Healthcare Representative"/>
    <s v="Excellent"/>
    <s v="Divorced"/>
    <n v="7725"/>
    <n v="5335"/>
    <s v="Medium"/>
    <n v="3"/>
    <x v="1"/>
    <n v="23"/>
    <s v="Excellent"/>
    <s v="High"/>
    <n v="1"/>
    <n v="15"/>
    <n v="2"/>
    <n v="1"/>
    <n v="13"/>
    <n v="11"/>
    <n v="4"/>
    <n v="7"/>
  </r>
  <r>
    <n v="511"/>
    <n v="54"/>
    <s v="46-55"/>
    <x v="1"/>
    <s v="Travel_Rarely"/>
    <n v="1389"/>
    <x v="2"/>
    <n v="19"/>
    <s v="High"/>
    <s v="Medical"/>
    <s v="High"/>
    <s v="Male"/>
    <n v="88"/>
    <s v="High"/>
    <s v="High"/>
    <s v="Human Resources"/>
    <s v="Medium"/>
    <s v="Married"/>
    <n v="10725"/>
    <n v="6729"/>
    <s v="High"/>
    <n v="2"/>
    <x v="1"/>
    <n v="15"/>
    <s v="High"/>
    <s v="High"/>
    <n v="1"/>
    <n v="16"/>
    <n v="1"/>
    <n v="4"/>
    <n v="9"/>
    <n v="7"/>
    <n v="7"/>
    <n v="1"/>
  </r>
  <r>
    <n v="512"/>
    <n v="36"/>
    <s v="36-45"/>
    <x v="1"/>
    <s v="Travel_Rarely"/>
    <n v="1389"/>
    <x v="1"/>
    <n v="9"/>
    <s v="Good"/>
    <s v="Medical"/>
    <s v="Medium"/>
    <s v="Male"/>
    <n v="48"/>
    <s v="Medium"/>
    <s v="Medium"/>
    <s v="Manufacturing Director"/>
    <s v="Medium"/>
    <s v="Divorced"/>
    <n v="8847"/>
    <n v="13934"/>
    <s v="Medium"/>
    <n v="2"/>
    <x v="0"/>
    <n v="11"/>
    <s v="High"/>
    <s v="High"/>
    <n v="1"/>
    <n v="13"/>
    <n v="2"/>
    <n v="3"/>
    <n v="3"/>
    <n v="2"/>
    <n v="0"/>
    <n v="2"/>
  </r>
  <r>
    <n v="513"/>
    <n v="27"/>
    <s v="26-35"/>
    <x v="1"/>
    <s v="Travel_Rarely"/>
    <n v="1389"/>
    <x v="1"/>
    <n v="3"/>
    <s v="High"/>
    <s v="Medical"/>
    <s v="Low"/>
    <s v="Male"/>
    <n v="54"/>
    <s v="Medium"/>
    <s v="Low"/>
    <s v="Research Scientist"/>
    <s v="Excellent"/>
    <s v="Single"/>
    <n v="2045"/>
    <n v="15174"/>
    <s v="Low"/>
    <n v="0"/>
    <x v="1"/>
    <n v="13"/>
    <s v="High"/>
    <s v="Excellent"/>
    <n v="0"/>
    <n v="5"/>
    <n v="0"/>
    <n v="3"/>
    <n v="4"/>
    <n v="2"/>
    <n v="1"/>
    <n v="1"/>
  </r>
  <r>
    <n v="514"/>
    <n v="20"/>
    <s v="18-25"/>
    <x v="0"/>
    <s v="Travel_Rarely"/>
    <n v="1389"/>
    <x v="1"/>
    <n v="10"/>
    <s v="Low"/>
    <s v="Medical"/>
    <s v="Excellent"/>
    <s v="Male"/>
    <n v="32"/>
    <s v="High"/>
    <s v="Low"/>
    <s v="Research Scientist"/>
    <s v="High"/>
    <s v="Single"/>
    <n v="1009"/>
    <n v="26999"/>
    <s v="Low"/>
    <n v="1"/>
    <x v="0"/>
    <n v="11"/>
    <s v="High"/>
    <s v="Excellent"/>
    <n v="0"/>
    <n v="1"/>
    <n v="5"/>
    <n v="3"/>
    <n v="1"/>
    <n v="0"/>
    <n v="1"/>
    <n v="1"/>
  </r>
  <r>
    <n v="515"/>
    <n v="33"/>
    <s v="26-35"/>
    <x v="0"/>
    <s v="Travel_Frequently"/>
    <n v="1389"/>
    <x v="1"/>
    <n v="3"/>
    <s v="Medium"/>
    <s v="Life Sciences"/>
    <s v="Low"/>
    <s v="Male"/>
    <n v="70"/>
    <s v="High"/>
    <s v="Low"/>
    <s v="Research Scientist"/>
    <s v="Low"/>
    <s v="Single"/>
    <n v="3348"/>
    <n v="3164"/>
    <s v="Low"/>
    <n v="1"/>
    <x v="0"/>
    <n v="11"/>
    <s v="High"/>
    <s v="Low"/>
    <n v="0"/>
    <n v="10"/>
    <n v="3"/>
    <n v="3"/>
    <n v="10"/>
    <n v="8"/>
    <n v="9"/>
    <n v="7"/>
  </r>
  <r>
    <n v="516"/>
    <n v="35"/>
    <s v="26-35"/>
    <x v="1"/>
    <s v="Non-Travel"/>
    <n v="1389"/>
    <x v="1"/>
    <n v="3"/>
    <s v="Medium"/>
    <s v="Life Sciences"/>
    <s v="High"/>
    <s v="Male"/>
    <n v="41"/>
    <s v="Medium"/>
    <s v="Low"/>
    <s v="Laboratory Technician"/>
    <s v="High"/>
    <s v="Married"/>
    <n v="1281"/>
    <n v="16900"/>
    <s v="Low"/>
    <n v="1"/>
    <x v="1"/>
    <n v="18"/>
    <s v="High"/>
    <s v="High"/>
    <n v="2"/>
    <n v="1"/>
    <n v="3"/>
    <n v="3"/>
    <n v="1"/>
    <n v="0"/>
    <n v="0"/>
    <n v="0"/>
  </r>
  <r>
    <n v="517"/>
    <n v="23"/>
    <s v="18-25"/>
    <x v="1"/>
    <s v="Travel_Rarely"/>
    <n v="1389"/>
    <x v="1"/>
    <n v="4"/>
    <s v="Medium"/>
    <s v="Medical"/>
    <s v="Low"/>
    <s v="Male"/>
    <n v="58"/>
    <s v="Excellent"/>
    <s v="Low"/>
    <s v="Research Scientist"/>
    <s v="Low"/>
    <s v="Married"/>
    <n v="2819"/>
    <n v="8544"/>
    <s v="Low"/>
    <n v="2"/>
    <x v="1"/>
    <n v="16"/>
    <s v="High"/>
    <s v="Low"/>
    <n v="1"/>
    <n v="5"/>
    <n v="3"/>
    <n v="4"/>
    <n v="3"/>
    <n v="2"/>
    <n v="0"/>
    <n v="2"/>
  </r>
  <r>
    <n v="518"/>
    <n v="25"/>
    <s v="18-25"/>
    <x v="1"/>
    <s v="Travel_Rarely"/>
    <n v="1389"/>
    <x v="0"/>
    <n v="8"/>
    <s v="Medium"/>
    <s v="Life Sciences"/>
    <s v="Excellent"/>
    <s v="Male"/>
    <n v="57"/>
    <s v="Excellent"/>
    <s v="Medium"/>
    <s v="Sales Executive"/>
    <s v="Medium"/>
    <s v="Married"/>
    <n v="4851"/>
    <n v="15678"/>
    <s v="Low"/>
    <n v="0"/>
    <x v="1"/>
    <n v="22"/>
    <s v="Excellent"/>
    <s v="High"/>
    <n v="1"/>
    <n v="4"/>
    <n v="4"/>
    <n v="3"/>
    <n v="3"/>
    <n v="2"/>
    <n v="1"/>
    <n v="2"/>
  </r>
  <r>
    <n v="519"/>
    <n v="38"/>
    <s v="36-45"/>
    <x v="1"/>
    <s v="Travel_Rarely"/>
    <n v="1389"/>
    <x v="0"/>
    <n v="7"/>
    <s v="High"/>
    <s v="Marketing"/>
    <s v="Excellent"/>
    <s v="Female"/>
    <n v="46"/>
    <s v="Medium"/>
    <s v="Medium"/>
    <s v="Sales Executive"/>
    <s v="Excellent"/>
    <s v="Single"/>
    <n v="4028"/>
    <n v="7791"/>
    <s v="Low"/>
    <n v="0"/>
    <x v="1"/>
    <n v="20"/>
    <s v="Excellent"/>
    <s v="Low"/>
    <n v="0"/>
    <n v="8"/>
    <n v="2"/>
    <n v="3"/>
    <n v="7"/>
    <n v="7"/>
    <n v="0"/>
    <n v="5"/>
  </r>
  <r>
    <n v="520"/>
    <n v="29"/>
    <s v="26-35"/>
    <x v="1"/>
    <s v="Travel_Frequently"/>
    <n v="1389"/>
    <x v="1"/>
    <n v="1"/>
    <s v="High"/>
    <s v="Life Sciences"/>
    <s v="Medium"/>
    <s v="Male"/>
    <n v="76"/>
    <s v="Low"/>
    <s v="Low"/>
    <s v="Research Scientist"/>
    <s v="Excellent"/>
    <s v="Divorced"/>
    <n v="2720"/>
    <n v="18959"/>
    <s v="Low"/>
    <n v="1"/>
    <x v="1"/>
    <n v="18"/>
    <s v="High"/>
    <s v="Excellent"/>
    <n v="1"/>
    <n v="10"/>
    <n v="5"/>
    <n v="3"/>
    <n v="10"/>
    <n v="7"/>
    <n v="2"/>
    <n v="8"/>
  </r>
  <r>
    <n v="521"/>
    <n v="48"/>
    <s v="46-55"/>
    <x v="1"/>
    <s v="Travel_Rarely"/>
    <n v="1389"/>
    <x v="0"/>
    <n v="2"/>
    <s v="Low"/>
    <s v="Marketing"/>
    <s v="Medium"/>
    <s v="Male"/>
    <n v="56"/>
    <s v="Excellent"/>
    <s v="Medium"/>
    <s v="Sales Executive"/>
    <s v="Medium"/>
    <s v="Married"/>
    <n v="8120"/>
    <n v="18597"/>
    <s v="Medium"/>
    <n v="3"/>
    <x v="1"/>
    <n v="12"/>
    <s v="High"/>
    <s v="Excellent"/>
    <n v="0"/>
    <n v="12"/>
    <n v="3"/>
    <n v="3"/>
    <n v="2"/>
    <n v="2"/>
    <n v="2"/>
    <n v="2"/>
  </r>
  <r>
    <n v="522"/>
    <n v="27"/>
    <s v="26-35"/>
    <x v="1"/>
    <s v="Travel_Frequently"/>
    <n v="1389"/>
    <x v="0"/>
    <n v="3"/>
    <s v="Low"/>
    <s v="Medical"/>
    <s v="Excellent"/>
    <s v="Female"/>
    <n v="71"/>
    <s v="Excellent"/>
    <s v="Medium"/>
    <s v="Sales Executive"/>
    <s v="Excellent"/>
    <s v="Divorced"/>
    <n v="4647"/>
    <n v="16673"/>
    <s v="Low"/>
    <n v="1"/>
    <x v="0"/>
    <n v="20"/>
    <s v="Excellent"/>
    <s v="Medium"/>
    <n v="2"/>
    <n v="6"/>
    <n v="3"/>
    <n v="3"/>
    <n v="6"/>
    <n v="5"/>
    <n v="0"/>
    <n v="4"/>
  </r>
  <r>
    <n v="523"/>
    <n v="37"/>
    <s v="36-45"/>
    <x v="1"/>
    <s v="Travel_Rarely"/>
    <n v="1389"/>
    <x v="1"/>
    <n v="10"/>
    <s v="Good"/>
    <s v="Life Sciences"/>
    <s v="Excellent"/>
    <s v="Male"/>
    <n v="80"/>
    <s v="Excellent"/>
    <s v="Low"/>
    <s v="Research Scientist"/>
    <s v="Excellent"/>
    <s v="Single"/>
    <n v="4680"/>
    <n v="15232"/>
    <s v="Low"/>
    <n v="3"/>
    <x v="1"/>
    <n v="17"/>
    <s v="High"/>
    <s v="Low"/>
    <n v="0"/>
    <n v="4"/>
    <n v="2"/>
    <n v="3"/>
    <n v="1"/>
    <n v="0"/>
    <n v="0"/>
    <n v="0"/>
  </r>
  <r>
    <n v="524"/>
    <n v="50"/>
    <s v="46-55"/>
    <x v="1"/>
    <s v="Travel_Rarely"/>
    <n v="1389"/>
    <x v="1"/>
    <n v="28"/>
    <s v="Low"/>
    <s v="Medical"/>
    <s v="Excellent"/>
    <s v="Male"/>
    <n v="74"/>
    <s v="Excellent"/>
    <s v="Low"/>
    <s v="Laboratory Technician"/>
    <s v="High"/>
    <s v="Married"/>
    <n v="3221"/>
    <n v="3297"/>
    <s v="Low"/>
    <n v="1"/>
    <x v="0"/>
    <n v="11"/>
    <s v="High"/>
    <s v="High"/>
    <n v="3"/>
    <n v="20"/>
    <n v="3"/>
    <n v="3"/>
    <n v="20"/>
    <n v="8"/>
    <n v="3"/>
    <n v="8"/>
  </r>
  <r>
    <n v="525"/>
    <n v="34"/>
    <s v="26-35"/>
    <x v="1"/>
    <s v="Travel_Rarely"/>
    <n v="1389"/>
    <x v="1"/>
    <n v="9"/>
    <s v="Medium"/>
    <s v="Medical"/>
    <s v="Excellent"/>
    <s v="Female"/>
    <n v="46"/>
    <s v="Medium"/>
    <s v="High"/>
    <s v="Healthcare Representative"/>
    <s v="Medium"/>
    <s v="Single"/>
    <n v="8621"/>
    <n v="17654"/>
    <s v="Medium"/>
    <n v="1"/>
    <x v="1"/>
    <n v="14"/>
    <s v="High"/>
    <s v="Medium"/>
    <n v="0"/>
    <n v="9"/>
    <n v="3"/>
    <n v="4"/>
    <n v="8"/>
    <n v="7"/>
    <n v="7"/>
    <n v="7"/>
  </r>
  <r>
    <n v="526"/>
    <n v="24"/>
    <s v="18-25"/>
    <x v="0"/>
    <s v="Travel_Rarely"/>
    <n v="1389"/>
    <x v="0"/>
    <n v="3"/>
    <s v="Good"/>
    <s v="Life Sciences"/>
    <s v="Low"/>
    <s v="Female"/>
    <n v="65"/>
    <s v="High"/>
    <s v="Medium"/>
    <s v="Sales Executive"/>
    <s v="High"/>
    <s v="Single"/>
    <n v="4577"/>
    <n v="24785"/>
    <s v="Low"/>
    <n v="9"/>
    <x v="1"/>
    <n v="14"/>
    <s v="High"/>
    <s v="Low"/>
    <n v="0"/>
    <n v="4"/>
    <n v="3"/>
    <n v="3"/>
    <n v="2"/>
    <n v="2"/>
    <n v="2"/>
    <n v="0"/>
  </r>
  <r>
    <n v="527"/>
    <n v="39"/>
    <s v="36-45"/>
    <x v="1"/>
    <s v="Travel_Rarely"/>
    <n v="1389"/>
    <x v="1"/>
    <n v="2"/>
    <s v="High"/>
    <s v="Technical Degree"/>
    <s v="Excellent"/>
    <s v="Female"/>
    <n v="80"/>
    <s v="Medium"/>
    <s v="Medium"/>
    <s v="Healthcare Representative"/>
    <s v="High"/>
    <s v="Single"/>
    <n v="4553"/>
    <n v="20978"/>
    <s v="Low"/>
    <n v="1"/>
    <x v="1"/>
    <n v="11"/>
    <s v="High"/>
    <s v="Low"/>
    <n v="0"/>
    <n v="20"/>
    <n v="4"/>
    <n v="3"/>
    <n v="20"/>
    <n v="7"/>
    <n v="11"/>
    <n v="10"/>
  </r>
  <r>
    <n v="528"/>
    <n v="32"/>
    <s v="26-35"/>
    <x v="1"/>
    <s v="Travel_Rarely"/>
    <n v="1389"/>
    <x v="0"/>
    <n v="10"/>
    <s v="Medium"/>
    <s v="Marketing"/>
    <s v="Excellent"/>
    <s v="Male"/>
    <n v="55"/>
    <s v="High"/>
    <s v="Medium"/>
    <s v="Sales Executive"/>
    <s v="Excellent"/>
    <s v="Single"/>
    <n v="5396"/>
    <n v="21703"/>
    <s v="Medium"/>
    <n v="1"/>
    <x v="1"/>
    <n v="12"/>
    <s v="High"/>
    <s v="Excellent"/>
    <n v="0"/>
    <n v="10"/>
    <n v="2"/>
    <n v="2"/>
    <n v="10"/>
    <n v="7"/>
    <n v="0"/>
    <n v="8"/>
  </r>
  <r>
    <n v="529"/>
    <n v="50"/>
    <s v="46-55"/>
    <x v="0"/>
    <s v="Travel_Frequently"/>
    <n v="1389"/>
    <x v="0"/>
    <n v="8"/>
    <s v="Good"/>
    <s v="Technical Degree"/>
    <s v="Medium"/>
    <s v="Male"/>
    <n v="50"/>
    <s v="High"/>
    <s v="Medium"/>
    <s v="Sales Executive"/>
    <s v="High"/>
    <s v="Married"/>
    <n v="6796"/>
    <n v="23452"/>
    <s v="Medium"/>
    <n v="3"/>
    <x v="0"/>
    <n v="14"/>
    <s v="High"/>
    <s v="Low"/>
    <n v="1"/>
    <n v="18"/>
    <n v="4"/>
    <n v="3"/>
    <n v="4"/>
    <n v="3"/>
    <n v="1"/>
    <n v="3"/>
  </r>
  <r>
    <n v="530"/>
    <n v="38"/>
    <s v="36-45"/>
    <x v="1"/>
    <s v="Travel_Rarely"/>
    <n v="1389"/>
    <x v="1"/>
    <n v="1"/>
    <s v="High"/>
    <s v="Life Sciences"/>
    <s v="Medium"/>
    <s v="Female"/>
    <n v="33"/>
    <s v="Excellent"/>
    <s v="Medium"/>
    <s v="Healthcare Representative"/>
    <s v="Excellent"/>
    <s v="Single"/>
    <n v="7625"/>
    <n v="19383"/>
    <s v="Medium"/>
    <n v="0"/>
    <x v="1"/>
    <n v="13"/>
    <s v="High"/>
    <s v="High"/>
    <n v="0"/>
    <n v="10"/>
    <n v="4"/>
    <n v="2"/>
    <n v="9"/>
    <n v="7"/>
    <n v="1"/>
    <n v="8"/>
  </r>
  <r>
    <n v="531"/>
    <n v="27"/>
    <s v="26-35"/>
    <x v="1"/>
    <s v="Travel_Rarely"/>
    <n v="1389"/>
    <x v="1"/>
    <n v="1"/>
    <s v="Good"/>
    <s v="Life Sciences"/>
    <s v="High"/>
    <s v="Female"/>
    <n v="68"/>
    <s v="High"/>
    <s v="High"/>
    <s v="Manufacturing Director"/>
    <s v="Low"/>
    <s v="Married"/>
    <n v="7412"/>
    <n v="6009"/>
    <s v="Medium"/>
    <n v="1"/>
    <x v="1"/>
    <n v="11"/>
    <s v="High"/>
    <s v="Excellent"/>
    <n v="0"/>
    <n v="9"/>
    <n v="3"/>
    <n v="3"/>
    <n v="9"/>
    <n v="7"/>
    <n v="0"/>
    <n v="7"/>
  </r>
  <r>
    <n v="532"/>
    <n v="32"/>
    <s v="26-35"/>
    <x v="1"/>
    <s v="Travel_Rarely"/>
    <n v="1389"/>
    <x v="1"/>
    <n v="3"/>
    <s v="Good"/>
    <s v="Life Sciences"/>
    <s v="High"/>
    <s v="Female"/>
    <n v="39"/>
    <s v="High"/>
    <s v="High"/>
    <s v="Research Director"/>
    <s v="Excellent"/>
    <s v="Single"/>
    <n v="11159"/>
    <n v="19373"/>
    <s v="High"/>
    <n v="3"/>
    <x v="1"/>
    <n v="15"/>
    <s v="High"/>
    <s v="Excellent"/>
    <n v="0"/>
    <n v="10"/>
    <n v="6"/>
    <n v="3"/>
    <n v="7"/>
    <n v="7"/>
    <n v="7"/>
    <n v="7"/>
  </r>
  <r>
    <n v="533"/>
    <n v="47"/>
    <s v="46-55"/>
    <x v="1"/>
    <s v="Travel_Rarely"/>
    <n v="1389"/>
    <x v="0"/>
    <n v="14"/>
    <s v="High"/>
    <s v="Marketing"/>
    <s v="Excellent"/>
    <s v="Male"/>
    <n v="42"/>
    <s v="High"/>
    <s v="Medium"/>
    <s v="Sales Executive"/>
    <s v="Low"/>
    <s v="Single"/>
    <n v="4960"/>
    <n v="11825"/>
    <s v="Low"/>
    <n v="2"/>
    <x v="1"/>
    <n v="12"/>
    <s v="High"/>
    <s v="Excellent"/>
    <n v="0"/>
    <n v="20"/>
    <n v="2"/>
    <n v="3"/>
    <n v="7"/>
    <n v="7"/>
    <n v="1"/>
    <n v="7"/>
  </r>
  <r>
    <n v="534"/>
    <n v="40"/>
    <s v="36-45"/>
    <x v="1"/>
    <s v="Travel_Frequently"/>
    <n v="1389"/>
    <x v="0"/>
    <n v="5"/>
    <s v="High"/>
    <s v="Life Sciences"/>
    <s v="Excellent"/>
    <s v="Male"/>
    <n v="48"/>
    <s v="Medium"/>
    <s v="High"/>
    <s v="Sales Executive"/>
    <s v="Low"/>
    <s v="Married"/>
    <n v="10475"/>
    <n v="23772"/>
    <s v="High"/>
    <n v="5"/>
    <x v="0"/>
    <n v="21"/>
    <s v="Excellent"/>
    <s v="High"/>
    <n v="1"/>
    <n v="20"/>
    <n v="2"/>
    <n v="3"/>
    <n v="18"/>
    <n v="13"/>
    <n v="1"/>
    <n v="12"/>
  </r>
  <r>
    <n v="535"/>
    <n v="53"/>
    <s v="46-55"/>
    <x v="1"/>
    <s v="Travel_Rarely"/>
    <n v="1389"/>
    <x v="1"/>
    <n v="7"/>
    <s v="Medium"/>
    <s v="Life Sciences"/>
    <s v="High"/>
    <s v="Male"/>
    <n v="59"/>
    <s v="Excellent"/>
    <s v="Excellent"/>
    <s v="Research Director"/>
    <s v="High"/>
    <s v="Married"/>
    <n v="14814"/>
    <n v="13514"/>
    <s v="High"/>
    <n v="3"/>
    <x v="1"/>
    <n v="19"/>
    <s v="High"/>
    <s v="High"/>
    <n v="0"/>
    <n v="32"/>
    <n v="3"/>
    <n v="3"/>
    <n v="5"/>
    <n v="1"/>
    <n v="1"/>
    <n v="3"/>
  </r>
  <r>
    <n v="536"/>
    <n v="41"/>
    <s v="36-45"/>
    <x v="1"/>
    <s v="Travel_Rarely"/>
    <n v="1389"/>
    <x v="2"/>
    <n v="10"/>
    <s v="High"/>
    <s v="Human Resources"/>
    <s v="Medium"/>
    <s v="Male"/>
    <n v="73"/>
    <s v="Medium"/>
    <e v="#N/A"/>
    <s v="Manager"/>
    <s v="Excellent"/>
    <s v="Divorced"/>
    <n v="19141"/>
    <n v="8861"/>
    <s v="High"/>
    <n v="3"/>
    <x v="1"/>
    <n v="15"/>
    <s v="High"/>
    <s v="Medium"/>
    <n v="3"/>
    <n v="23"/>
    <n v="2"/>
    <n v="2"/>
    <n v="21"/>
    <n v="6"/>
    <n v="12"/>
    <n v="6"/>
  </r>
  <r>
    <n v="537"/>
    <n v="60"/>
    <s v="55+"/>
    <x v="1"/>
    <s v="Travel_Rarely"/>
    <n v="1389"/>
    <x v="0"/>
    <n v="16"/>
    <s v="High"/>
    <s v="Marketing"/>
    <s v="Low"/>
    <s v="Male"/>
    <n v="84"/>
    <s v="High"/>
    <s v="Medium"/>
    <s v="Sales Executive"/>
    <s v="Low"/>
    <s v="Single"/>
    <n v="5405"/>
    <n v="11924"/>
    <s v="Medium"/>
    <n v="8"/>
    <x v="1"/>
    <n v="14"/>
    <s v="High"/>
    <s v="Excellent"/>
    <n v="0"/>
    <n v="10"/>
    <n v="1"/>
    <n v="3"/>
    <n v="2"/>
    <n v="2"/>
    <n v="2"/>
    <n v="2"/>
  </r>
  <r>
    <n v="538"/>
    <n v="27"/>
    <s v="26-35"/>
    <x v="1"/>
    <s v="Travel_Frequently"/>
    <n v="1389"/>
    <x v="1"/>
    <n v="10"/>
    <s v="Good"/>
    <s v="Life Sciences"/>
    <s v="Excellent"/>
    <s v="Male"/>
    <n v="32"/>
    <s v="High"/>
    <s v="High"/>
    <s v="Manufacturing Director"/>
    <s v="Low"/>
    <s v="Divorced"/>
    <n v="8793"/>
    <n v="4809"/>
    <s v="Medium"/>
    <n v="1"/>
    <x v="1"/>
    <n v="21"/>
    <s v="Excellent"/>
    <s v="High"/>
    <n v="2"/>
    <n v="9"/>
    <n v="4"/>
    <n v="2"/>
    <n v="9"/>
    <n v="7"/>
    <n v="1"/>
    <n v="7"/>
  </r>
  <r>
    <n v="539"/>
    <n v="41"/>
    <s v="36-45"/>
    <x v="1"/>
    <s v="Travel_Rarely"/>
    <n v="1389"/>
    <x v="2"/>
    <n v="1"/>
    <s v="Medium"/>
    <s v="Human Resources"/>
    <s v="Excellent"/>
    <s v="Male"/>
    <n v="59"/>
    <s v="Medium"/>
    <e v="#N/A"/>
    <s v="Manager"/>
    <s v="High"/>
    <s v="Married"/>
    <n v="19189"/>
    <n v="19562"/>
    <s v="High"/>
    <n v="1"/>
    <x v="1"/>
    <n v="12"/>
    <s v="High"/>
    <s v="Medium"/>
    <n v="1"/>
    <n v="22"/>
    <n v="3"/>
    <n v="3"/>
    <n v="22"/>
    <n v="7"/>
    <n v="2"/>
    <n v="10"/>
  </r>
  <r>
    <n v="540"/>
    <n v="50"/>
    <s v="46-55"/>
    <x v="1"/>
    <s v="Travel_Rarely"/>
    <n v="1389"/>
    <x v="0"/>
    <n v="8"/>
    <s v="High"/>
    <s v="Marketing"/>
    <s v="Excellent"/>
    <s v="Male"/>
    <n v="54"/>
    <s v="High"/>
    <s v="Low"/>
    <s v="Sales Representative"/>
    <s v="Medium"/>
    <s v="Married"/>
    <n v="3875"/>
    <n v="9983"/>
    <s v="Low"/>
    <n v="7"/>
    <x v="1"/>
    <n v="15"/>
    <s v="High"/>
    <s v="Excellent"/>
    <n v="1"/>
    <n v="4"/>
    <n v="2"/>
    <n v="3"/>
    <n v="2"/>
    <n v="2"/>
    <n v="2"/>
    <n v="2"/>
  </r>
  <r>
    <n v="541"/>
    <n v="28"/>
    <s v="26-35"/>
    <x v="0"/>
    <s v="Travel_Rarely"/>
    <n v="1389"/>
    <x v="1"/>
    <n v="1"/>
    <s v="Good"/>
    <s v="Life Sciences"/>
    <s v="Low"/>
    <s v="Female"/>
    <n v="67"/>
    <s v="Low"/>
    <s v="Low"/>
    <s v="Research Scientist"/>
    <s v="Medium"/>
    <s v="Single"/>
    <n v="2216"/>
    <n v="3872"/>
    <s v="Low"/>
    <n v="7"/>
    <x v="0"/>
    <n v="13"/>
    <s v="High"/>
    <s v="Excellent"/>
    <n v="0"/>
    <n v="10"/>
    <n v="4"/>
    <n v="3"/>
    <n v="7"/>
    <n v="7"/>
    <n v="3"/>
    <n v="7"/>
  </r>
  <r>
    <n v="542"/>
    <n v="36"/>
    <s v="36-45"/>
    <x v="1"/>
    <s v="Non-Travel"/>
    <n v="1389"/>
    <x v="1"/>
    <n v="8"/>
    <s v="Medium"/>
    <s v="Life Sciences"/>
    <s v="Low"/>
    <s v="Female"/>
    <n v="63"/>
    <s v="Excellent"/>
    <s v="High"/>
    <s v="Research Director"/>
    <s v="Low"/>
    <s v="Married"/>
    <n v="11713"/>
    <n v="20335"/>
    <s v="High"/>
    <n v="9"/>
    <x v="1"/>
    <n v="14"/>
    <s v="High"/>
    <s v="Low"/>
    <n v="1"/>
    <n v="10"/>
    <n v="2"/>
    <n v="3"/>
    <n v="8"/>
    <n v="7"/>
    <n v="0"/>
    <n v="5"/>
  </r>
  <r>
    <n v="543"/>
    <n v="38"/>
    <s v="36-45"/>
    <x v="1"/>
    <s v="Travel_Rarely"/>
    <n v="1389"/>
    <x v="1"/>
    <n v="1"/>
    <s v="Medium"/>
    <s v="Life Sciences"/>
    <s v="High"/>
    <s v="Female"/>
    <n v="81"/>
    <s v="High"/>
    <s v="High"/>
    <s v="Manufacturing Director"/>
    <s v="High"/>
    <s v="Single"/>
    <n v="7861"/>
    <n v="15397"/>
    <s v="Medium"/>
    <n v="4"/>
    <x v="0"/>
    <n v="14"/>
    <s v="High"/>
    <s v="Excellent"/>
    <n v="0"/>
    <n v="10"/>
    <n v="4"/>
    <n v="4"/>
    <n v="1"/>
    <n v="0"/>
    <n v="0"/>
    <n v="0"/>
  </r>
  <r>
    <n v="544"/>
    <n v="44"/>
    <s v="36-45"/>
    <x v="1"/>
    <s v="Non-Travel"/>
    <n v="1389"/>
    <x v="1"/>
    <n v="24"/>
    <s v="Medium"/>
    <s v="Medical"/>
    <s v="Low"/>
    <s v="Male"/>
    <n v="49"/>
    <s v="Low"/>
    <s v="Low"/>
    <s v="Laboratory Technician"/>
    <s v="High"/>
    <s v="Single"/>
    <n v="3708"/>
    <n v="2104"/>
    <s v="Low"/>
    <n v="2"/>
    <x v="1"/>
    <n v="14"/>
    <s v="High"/>
    <s v="High"/>
    <n v="0"/>
    <n v="9"/>
    <n v="5"/>
    <n v="3"/>
    <n v="5"/>
    <n v="2"/>
    <n v="1"/>
    <n v="4"/>
  </r>
  <r>
    <n v="545"/>
    <n v="47"/>
    <s v="46-55"/>
    <x v="1"/>
    <s v="Travel_Frequently"/>
    <n v="1389"/>
    <x v="0"/>
    <n v="3"/>
    <s v="Medium"/>
    <s v="Medical"/>
    <s v="Excellent"/>
    <s v="Female"/>
    <n v="49"/>
    <s v="High"/>
    <s v="Excellent"/>
    <s v="Sales Executive"/>
    <s v="High"/>
    <s v="Divorced"/>
    <n v="13770"/>
    <n v="10225"/>
    <s v="High"/>
    <n v="9"/>
    <x v="0"/>
    <n v="12"/>
    <s v="High"/>
    <s v="Excellent"/>
    <n v="2"/>
    <n v="28"/>
    <n v="2"/>
    <n v="2"/>
    <n v="22"/>
    <n v="2"/>
    <n v="11"/>
    <n v="13"/>
  </r>
  <r>
    <n v="546"/>
    <n v="30"/>
    <s v="26-35"/>
    <x v="1"/>
    <s v="Travel_Rarely"/>
    <n v="1389"/>
    <x v="0"/>
    <n v="27"/>
    <s v="Excellent"/>
    <s v="Marketing"/>
    <s v="High"/>
    <s v="Male"/>
    <n v="99"/>
    <s v="High"/>
    <s v="Medium"/>
    <s v="Sales Executive"/>
    <s v="Excellent"/>
    <s v="Divorced"/>
    <n v="5304"/>
    <n v="25275"/>
    <s v="Medium"/>
    <n v="7"/>
    <x v="1"/>
    <n v="23"/>
    <s v="Excellent"/>
    <s v="Excellent"/>
    <n v="1"/>
    <n v="10"/>
    <n v="2"/>
    <n v="2"/>
    <n v="8"/>
    <n v="7"/>
    <n v="7"/>
    <n v="7"/>
  </r>
  <r>
    <n v="547"/>
    <n v="29"/>
    <s v="26-35"/>
    <x v="1"/>
    <s v="Travel_Rarely"/>
    <n v="1389"/>
    <x v="0"/>
    <n v="10"/>
    <s v="Medium"/>
    <s v="Life Sciences"/>
    <s v="High"/>
    <s v="Male"/>
    <n v="99"/>
    <s v="High"/>
    <s v="Low"/>
    <s v="Sales Representative"/>
    <s v="High"/>
    <s v="Single"/>
    <n v="2642"/>
    <n v="2755"/>
    <s v="Low"/>
    <n v="1"/>
    <x v="1"/>
    <n v="11"/>
    <s v="High"/>
    <s v="High"/>
    <n v="0"/>
    <n v="1"/>
    <n v="6"/>
    <n v="3"/>
    <n v="1"/>
    <n v="0"/>
    <n v="0"/>
    <n v="0"/>
  </r>
  <r>
    <n v="548"/>
    <n v="42"/>
    <s v="36-45"/>
    <x v="0"/>
    <s v="Travel_Frequently"/>
    <n v="1389"/>
    <x v="1"/>
    <n v="19"/>
    <s v="Medium"/>
    <s v="Medical"/>
    <s v="High"/>
    <s v="Male"/>
    <n v="57"/>
    <s v="Excellent"/>
    <s v="Low"/>
    <s v="Research Scientist"/>
    <s v="High"/>
    <s v="Divorced"/>
    <n v="2759"/>
    <n v="20366"/>
    <s v="Low"/>
    <n v="6"/>
    <x v="0"/>
    <n v="12"/>
    <s v="High"/>
    <s v="Excellent"/>
    <n v="0"/>
    <n v="7"/>
    <n v="2"/>
    <n v="3"/>
    <n v="2"/>
    <n v="2"/>
    <n v="2"/>
    <n v="2"/>
  </r>
  <r>
    <n v="549"/>
    <n v="43"/>
    <s v="36-45"/>
    <x v="1"/>
    <s v="Travel_Frequently"/>
    <n v="1389"/>
    <x v="0"/>
    <n v="15"/>
    <s v="Medium"/>
    <s v="Life Sciences"/>
    <s v="Excellent"/>
    <s v="Male"/>
    <n v="47"/>
    <s v="Medium"/>
    <s v="Medium"/>
    <s v="Sales Executive"/>
    <s v="Excellent"/>
    <s v="Married"/>
    <n v="6804"/>
    <n v="23683"/>
    <s v="Medium"/>
    <n v="3"/>
    <x v="1"/>
    <n v="18"/>
    <s v="High"/>
    <s v="High"/>
    <n v="1"/>
    <n v="7"/>
    <n v="5"/>
    <n v="3"/>
    <n v="2"/>
    <n v="2"/>
    <n v="2"/>
    <n v="2"/>
  </r>
  <r>
    <n v="550"/>
    <n v="34"/>
    <s v="26-35"/>
    <x v="1"/>
    <s v="Travel_Rarely"/>
    <n v="1389"/>
    <x v="1"/>
    <n v="8"/>
    <s v="Good"/>
    <s v="Medical"/>
    <s v="Medium"/>
    <s v="Female"/>
    <n v="96"/>
    <s v="High"/>
    <s v="Medium"/>
    <s v="Healthcare Representative"/>
    <s v="High"/>
    <s v="Single"/>
    <n v="6142"/>
    <n v="7360"/>
    <s v="Medium"/>
    <n v="3"/>
    <x v="1"/>
    <n v="11"/>
    <s v="High"/>
    <s v="Excellent"/>
    <n v="0"/>
    <n v="10"/>
    <n v="2"/>
    <n v="3"/>
    <n v="5"/>
    <n v="1"/>
    <n v="4"/>
    <n v="3"/>
  </r>
  <r>
    <n v="551"/>
    <n v="23"/>
    <s v="18-25"/>
    <x v="1"/>
    <s v="Travel_Rarely"/>
    <n v="1389"/>
    <x v="1"/>
    <n v="9"/>
    <s v="Low"/>
    <s v="Medical"/>
    <s v="Medium"/>
    <s v="Male"/>
    <n v="37"/>
    <s v="High"/>
    <s v="Low"/>
    <s v="Laboratory Technician"/>
    <s v="Low"/>
    <s v="Married"/>
    <n v="2500"/>
    <n v="4344"/>
    <s v="Low"/>
    <n v="1"/>
    <x v="1"/>
    <n v="14"/>
    <s v="High"/>
    <s v="Excellent"/>
    <n v="1"/>
    <n v="5"/>
    <n v="2"/>
    <n v="4"/>
    <n v="4"/>
    <n v="3"/>
    <n v="0"/>
    <n v="2"/>
  </r>
  <r>
    <n v="552"/>
    <n v="39"/>
    <s v="36-45"/>
    <x v="1"/>
    <s v="Travel_Rarely"/>
    <n v="1389"/>
    <x v="2"/>
    <n v="3"/>
    <s v="Medium"/>
    <s v="Human Resources"/>
    <s v="High"/>
    <s v="Female"/>
    <n v="44"/>
    <s v="Excellent"/>
    <s v="Medium"/>
    <s v="Human Resources"/>
    <s v="Medium"/>
    <s v="Married"/>
    <n v="6389"/>
    <n v="18767"/>
    <s v="Medium"/>
    <n v="9"/>
    <x v="1"/>
    <n v="15"/>
    <s v="High"/>
    <s v="High"/>
    <n v="1"/>
    <n v="12"/>
    <n v="3"/>
    <n v="1"/>
    <n v="8"/>
    <n v="3"/>
    <n v="3"/>
    <n v="6"/>
  </r>
  <r>
    <n v="553"/>
    <n v="56"/>
    <s v="55+"/>
    <x v="1"/>
    <s v="Travel_Rarely"/>
    <n v="1389"/>
    <x v="1"/>
    <n v="9"/>
    <s v="Medium"/>
    <s v="Medical"/>
    <s v="High"/>
    <s v="Male"/>
    <n v="81"/>
    <s v="High"/>
    <s v="Excellent"/>
    <s v="Healthcare Representative"/>
    <s v="Excellent"/>
    <s v="Married"/>
    <n v="11103"/>
    <n v="20420"/>
    <s v="High"/>
    <n v="7"/>
    <x v="1"/>
    <n v="11"/>
    <s v="High"/>
    <s v="High"/>
    <n v="0"/>
    <n v="30"/>
    <n v="1"/>
    <n v="2"/>
    <n v="10"/>
    <n v="7"/>
    <n v="1"/>
    <n v="1"/>
  </r>
  <r>
    <n v="554"/>
    <n v="40"/>
    <s v="36-45"/>
    <x v="1"/>
    <s v="Travel_Rarely"/>
    <n v="1389"/>
    <x v="1"/>
    <n v="2"/>
    <s v="Low"/>
    <s v="Medical"/>
    <s v="Excellent"/>
    <s v="Female"/>
    <n v="86"/>
    <s v="Medium"/>
    <s v="Low"/>
    <s v="Research Scientist"/>
    <s v="Excellent"/>
    <s v="Single"/>
    <n v="2342"/>
    <n v="22929"/>
    <s v="Low"/>
    <n v="0"/>
    <x v="0"/>
    <n v="20"/>
    <s v="Excellent"/>
    <s v="Excellent"/>
    <n v="0"/>
    <n v="5"/>
    <n v="2"/>
    <n v="2"/>
    <n v="4"/>
    <n v="2"/>
    <n v="2"/>
    <n v="3"/>
  </r>
  <r>
    <n v="555"/>
    <n v="27"/>
    <s v="26-35"/>
    <x v="1"/>
    <s v="Travel_Rarely"/>
    <n v="1389"/>
    <x v="1"/>
    <n v="7"/>
    <s v="Medium"/>
    <s v="Medical"/>
    <s v="Excellent"/>
    <s v="Female"/>
    <n v="55"/>
    <s v="Medium"/>
    <s v="Medium"/>
    <s v="Healthcare Representative"/>
    <s v="Low"/>
    <s v="Single"/>
    <n v="6811"/>
    <n v="23398"/>
    <s v="Medium"/>
    <n v="8"/>
    <x v="1"/>
    <n v="19"/>
    <s v="High"/>
    <s v="Low"/>
    <n v="0"/>
    <n v="9"/>
    <n v="2"/>
    <n v="1"/>
    <n v="7"/>
    <n v="6"/>
    <n v="0"/>
    <n v="7"/>
  </r>
  <r>
    <n v="556"/>
    <n v="29"/>
    <s v="26-35"/>
    <x v="1"/>
    <s v="Travel_Rarely"/>
    <n v="1389"/>
    <x v="0"/>
    <n v="10"/>
    <s v="Medium"/>
    <s v="Marketing"/>
    <s v="Excellent"/>
    <s v="Male"/>
    <n v="83"/>
    <s v="High"/>
    <s v="Low"/>
    <s v="Sales Representative"/>
    <s v="Medium"/>
    <s v="Divorced"/>
    <n v="2297"/>
    <n v="17967"/>
    <s v="Low"/>
    <n v="1"/>
    <x v="1"/>
    <n v="14"/>
    <s v="High"/>
    <s v="Excellent"/>
    <n v="2"/>
    <n v="2"/>
    <n v="2"/>
    <n v="3"/>
    <n v="2"/>
    <n v="2"/>
    <n v="2"/>
    <n v="2"/>
  </r>
  <r>
    <n v="557"/>
    <n v="53"/>
    <s v="46-55"/>
    <x v="1"/>
    <s v="Travel_Rarely"/>
    <n v="1389"/>
    <x v="1"/>
    <n v="6"/>
    <s v="Medium"/>
    <s v="Life Sciences"/>
    <s v="Excellent"/>
    <s v="Male"/>
    <n v="86"/>
    <s v="High"/>
    <s v="Medium"/>
    <s v="Laboratory Technician"/>
    <s v="Excellent"/>
    <s v="Single"/>
    <n v="2450"/>
    <n v="10919"/>
    <s v="Low"/>
    <n v="2"/>
    <x v="1"/>
    <n v="17"/>
    <s v="High"/>
    <s v="Excellent"/>
    <n v="0"/>
    <n v="19"/>
    <n v="4"/>
    <n v="3"/>
    <n v="2"/>
    <n v="2"/>
    <n v="2"/>
    <n v="2"/>
  </r>
  <r>
    <n v="558"/>
    <n v="35"/>
    <s v="26-35"/>
    <x v="1"/>
    <s v="Non-Travel"/>
    <n v="1389"/>
    <x v="1"/>
    <n v="2"/>
    <s v="High"/>
    <s v="Life Sciences"/>
    <s v="Excellent"/>
    <s v="Female"/>
    <n v="61"/>
    <s v="High"/>
    <s v="Medium"/>
    <s v="Healthcare Representative"/>
    <s v="Low"/>
    <s v="Divorced"/>
    <n v="5093"/>
    <n v="4761"/>
    <s v="Medium"/>
    <n v="2"/>
    <x v="1"/>
    <n v="11"/>
    <s v="High"/>
    <s v="Low"/>
    <n v="1"/>
    <n v="16"/>
    <n v="2"/>
    <n v="4"/>
    <n v="1"/>
    <n v="0"/>
    <n v="0"/>
    <n v="0"/>
  </r>
  <r>
    <n v="559"/>
    <n v="32"/>
    <s v="26-35"/>
    <x v="1"/>
    <s v="Travel_Frequently"/>
    <n v="1389"/>
    <x v="1"/>
    <n v="24"/>
    <s v="High"/>
    <s v="Life Sciences"/>
    <s v="Low"/>
    <s v="Male"/>
    <n v="80"/>
    <s v="High"/>
    <s v="Medium"/>
    <s v="Laboratory Technician"/>
    <s v="Excellent"/>
    <s v="Married"/>
    <n v="5309"/>
    <n v="21146"/>
    <s v="Medium"/>
    <n v="1"/>
    <x v="1"/>
    <n v="15"/>
    <s v="High"/>
    <s v="Excellent"/>
    <n v="2"/>
    <n v="10"/>
    <n v="2"/>
    <n v="3"/>
    <n v="10"/>
    <n v="8"/>
    <n v="4"/>
    <n v="7"/>
  </r>
  <r>
    <n v="560"/>
    <n v="38"/>
    <s v="36-45"/>
    <x v="1"/>
    <s v="Travel_Rarely"/>
    <n v="1389"/>
    <x v="1"/>
    <n v="2"/>
    <s v="Excellent"/>
    <s v="Medical"/>
    <s v="Excellent"/>
    <s v="Male"/>
    <n v="92"/>
    <s v="High"/>
    <s v="Low"/>
    <s v="Research Scientist"/>
    <s v="High"/>
    <s v="Married"/>
    <n v="3057"/>
    <n v="20471"/>
    <s v="Low"/>
    <n v="6"/>
    <x v="0"/>
    <n v="13"/>
    <s v="High"/>
    <s v="Medium"/>
    <n v="1"/>
    <n v="6"/>
    <n v="0"/>
    <n v="1"/>
    <n v="1"/>
    <n v="0"/>
    <n v="0"/>
    <n v="1"/>
  </r>
  <r>
    <n v="561"/>
    <n v="34"/>
    <s v="26-35"/>
    <x v="1"/>
    <s v="Travel_Rarely"/>
    <n v="1389"/>
    <x v="1"/>
    <n v="8"/>
    <s v="Excellent"/>
    <s v="Life Sciences"/>
    <s v="Medium"/>
    <s v="Female"/>
    <n v="32"/>
    <s v="High"/>
    <s v="Medium"/>
    <s v="Manufacturing Director"/>
    <s v="Low"/>
    <s v="Divorced"/>
    <n v="5121"/>
    <n v="4187"/>
    <s v="Medium"/>
    <n v="3"/>
    <x v="1"/>
    <n v="14"/>
    <s v="High"/>
    <s v="High"/>
    <n v="1"/>
    <n v="7"/>
    <n v="3"/>
    <n v="3"/>
    <n v="0"/>
    <n v="0"/>
    <n v="0"/>
    <n v="0"/>
  </r>
  <r>
    <n v="562"/>
    <n v="52"/>
    <s v="46-55"/>
    <x v="1"/>
    <s v="Travel_Rarely"/>
    <n v="1389"/>
    <x v="0"/>
    <n v="3"/>
    <s v="High"/>
    <s v="Marketing"/>
    <s v="High"/>
    <s v="Male"/>
    <n v="31"/>
    <s v="Medium"/>
    <s v="Excellent"/>
    <s v="Manager"/>
    <s v="Low"/>
    <s v="Married"/>
    <n v="16856"/>
    <n v="10084"/>
    <s v="High"/>
    <n v="1"/>
    <x v="1"/>
    <n v="11"/>
    <s v="High"/>
    <s v="Low"/>
    <n v="0"/>
    <n v="34"/>
    <n v="3"/>
    <n v="4"/>
    <n v="34"/>
    <n v="6"/>
    <n v="1"/>
    <n v="16"/>
  </r>
  <r>
    <n v="563"/>
    <n v="33"/>
    <s v="26-35"/>
    <x v="0"/>
    <s v="Travel_Rarely"/>
    <n v="1389"/>
    <x v="1"/>
    <n v="1"/>
    <s v="High"/>
    <s v="Other"/>
    <s v="Excellent"/>
    <s v="Male"/>
    <n v="63"/>
    <s v="High"/>
    <s v="Low"/>
    <s v="Research Scientist"/>
    <s v="Excellent"/>
    <s v="Single"/>
    <n v="2686"/>
    <n v="5207"/>
    <s v="Low"/>
    <n v="1"/>
    <x v="0"/>
    <n v="13"/>
    <s v="High"/>
    <s v="High"/>
    <n v="0"/>
    <n v="10"/>
    <n v="2"/>
    <n v="2"/>
    <n v="10"/>
    <n v="9"/>
    <n v="7"/>
    <n v="8"/>
  </r>
  <r>
    <n v="564"/>
    <n v="25"/>
    <s v="18-25"/>
    <x v="1"/>
    <s v="Travel_Rarely"/>
    <n v="1389"/>
    <x v="0"/>
    <n v="26"/>
    <s v="Low"/>
    <s v="Medical"/>
    <s v="High"/>
    <s v="Female"/>
    <n v="32"/>
    <s v="High"/>
    <s v="Medium"/>
    <s v="Sales Executive"/>
    <s v="Excellent"/>
    <s v="Single"/>
    <n v="6180"/>
    <n v="22807"/>
    <s v="Medium"/>
    <n v="1"/>
    <x v="1"/>
    <n v="23"/>
    <s v="Excellent"/>
    <s v="Medium"/>
    <n v="0"/>
    <n v="6"/>
    <n v="5"/>
    <n v="2"/>
    <n v="6"/>
    <n v="5"/>
    <n v="1"/>
    <n v="4"/>
  </r>
  <r>
    <n v="565"/>
    <n v="45"/>
    <s v="36-45"/>
    <x v="1"/>
    <s v="Travel_Rarely"/>
    <n v="1389"/>
    <x v="0"/>
    <n v="2"/>
    <s v="Good"/>
    <s v="Technical Degree"/>
    <s v="Medium"/>
    <s v="Male"/>
    <n v="46"/>
    <s v="Low"/>
    <s v="Medium"/>
    <s v="Sales Representative"/>
    <s v="High"/>
    <s v="Single"/>
    <n v="6632"/>
    <n v="12388"/>
    <s v="Medium"/>
    <n v="0"/>
    <x v="1"/>
    <n v="13"/>
    <s v="High"/>
    <s v="Low"/>
    <n v="0"/>
    <n v="9"/>
    <n v="3"/>
    <n v="3"/>
    <n v="8"/>
    <n v="7"/>
    <n v="3"/>
    <n v="1"/>
  </r>
  <r>
    <n v="566"/>
    <n v="23"/>
    <s v="18-25"/>
    <x v="1"/>
    <s v="Travel_Rarely"/>
    <n v="1389"/>
    <x v="1"/>
    <n v="10"/>
    <s v="Low"/>
    <s v="Medical"/>
    <s v="Low"/>
    <s v="Male"/>
    <n v="79"/>
    <s v="Excellent"/>
    <s v="Low"/>
    <s v="Research Scientist"/>
    <s v="High"/>
    <s v="Single"/>
    <n v="3505"/>
    <n v="19630"/>
    <s v="Low"/>
    <n v="1"/>
    <x v="1"/>
    <n v="18"/>
    <s v="High"/>
    <s v="Excellent"/>
    <n v="0"/>
    <n v="2"/>
    <n v="3"/>
    <n v="3"/>
    <n v="2"/>
    <n v="2"/>
    <n v="0"/>
    <n v="2"/>
  </r>
  <r>
    <n v="567"/>
    <n v="47"/>
    <s v="46-55"/>
    <x v="0"/>
    <s v="Travel_Frequently"/>
    <n v="1389"/>
    <x v="0"/>
    <n v="27"/>
    <s v="Good"/>
    <s v="Life Sciences"/>
    <s v="Medium"/>
    <s v="Female"/>
    <n v="77"/>
    <s v="Excellent"/>
    <s v="Medium"/>
    <s v="Sales Executive"/>
    <s v="High"/>
    <s v="Single"/>
    <n v="6397"/>
    <n v="10339"/>
    <s v="Medium"/>
    <n v="4"/>
    <x v="0"/>
    <n v="12"/>
    <s v="High"/>
    <s v="Excellent"/>
    <n v="0"/>
    <n v="8"/>
    <n v="2"/>
    <n v="3"/>
    <n v="5"/>
    <n v="4"/>
    <n v="1"/>
    <n v="3"/>
  </r>
  <r>
    <n v="568"/>
    <n v="34"/>
    <s v="26-35"/>
    <x v="1"/>
    <s v="Travel_Rarely"/>
    <n v="1389"/>
    <x v="0"/>
    <n v="2"/>
    <s v="Medium"/>
    <s v="Other"/>
    <s v="Excellent"/>
    <s v="Male"/>
    <n v="60"/>
    <s v="High"/>
    <s v="Medium"/>
    <s v="Sales Executive"/>
    <s v="Excellent"/>
    <s v="Single"/>
    <n v="6274"/>
    <n v="18686"/>
    <s v="Medium"/>
    <n v="1"/>
    <x v="1"/>
    <n v="22"/>
    <s v="Excellent"/>
    <s v="High"/>
    <n v="0"/>
    <n v="6"/>
    <n v="5"/>
    <n v="3"/>
    <n v="6"/>
    <n v="5"/>
    <n v="1"/>
    <n v="4"/>
  </r>
  <r>
    <n v="569"/>
    <n v="55"/>
    <s v="46-55"/>
    <x v="0"/>
    <s v="Travel_Rarely"/>
    <n v="1389"/>
    <x v="1"/>
    <n v="2"/>
    <s v="Medium"/>
    <s v="Medical"/>
    <s v="Excellent"/>
    <s v="Male"/>
    <n v="78"/>
    <s v="High"/>
    <e v="#N/A"/>
    <s v="Manager"/>
    <s v="Low"/>
    <s v="Married"/>
    <n v="19859"/>
    <n v="21199"/>
    <s v="High"/>
    <n v="5"/>
    <x v="0"/>
    <n v="13"/>
    <s v="High"/>
    <s v="Excellent"/>
    <n v="1"/>
    <n v="24"/>
    <n v="2"/>
    <n v="3"/>
    <n v="5"/>
    <n v="2"/>
    <n v="1"/>
    <n v="4"/>
  </r>
  <r>
    <n v="570"/>
    <n v="36"/>
    <s v="36-45"/>
    <x v="1"/>
    <s v="Non-Travel"/>
    <n v="1389"/>
    <x v="0"/>
    <n v="8"/>
    <s v="High"/>
    <s v="Life Sciences"/>
    <s v="Low"/>
    <s v="Male"/>
    <n v="76"/>
    <s v="Medium"/>
    <s v="High"/>
    <s v="Sales Executive"/>
    <s v="Low"/>
    <s v="Single"/>
    <n v="7587"/>
    <n v="14229"/>
    <s v="Medium"/>
    <n v="1"/>
    <x v="1"/>
    <n v="15"/>
    <s v="High"/>
    <s v="Medium"/>
    <n v="0"/>
    <n v="10"/>
    <n v="1"/>
    <n v="3"/>
    <n v="10"/>
    <n v="7"/>
    <n v="0"/>
    <n v="9"/>
  </r>
  <r>
    <n v="571"/>
    <n v="52"/>
    <s v="46-55"/>
    <x v="1"/>
    <s v="Non-Travel"/>
    <n v="1389"/>
    <x v="1"/>
    <n v="19"/>
    <s v="High"/>
    <s v="Medical"/>
    <s v="Excellent"/>
    <s v="Male"/>
    <n v="41"/>
    <s v="High"/>
    <s v="Low"/>
    <s v="Research Scientist"/>
    <s v="Excellent"/>
    <s v="Married"/>
    <n v="4258"/>
    <n v="26589"/>
    <s v="Low"/>
    <n v="0"/>
    <x v="1"/>
    <n v="18"/>
    <s v="High"/>
    <s v="Low"/>
    <n v="1"/>
    <n v="5"/>
    <n v="3"/>
    <n v="3"/>
    <n v="4"/>
    <n v="3"/>
    <n v="1"/>
    <n v="2"/>
  </r>
  <r>
    <n v="572"/>
    <n v="26"/>
    <s v="26-35"/>
    <x v="1"/>
    <s v="Travel_Frequently"/>
    <n v="1389"/>
    <x v="1"/>
    <n v="1"/>
    <s v="Good"/>
    <s v="Life Sciences"/>
    <s v="Low"/>
    <s v="Female"/>
    <n v="71"/>
    <s v="Low"/>
    <s v="Low"/>
    <s v="Laboratory Technician"/>
    <s v="Excellent"/>
    <s v="Divorced"/>
    <n v="4364"/>
    <n v="5288"/>
    <s v="Low"/>
    <n v="3"/>
    <x v="1"/>
    <n v="14"/>
    <s v="High"/>
    <s v="Low"/>
    <n v="1"/>
    <n v="5"/>
    <n v="2"/>
    <n v="3"/>
    <n v="2"/>
    <n v="2"/>
    <n v="2"/>
    <n v="0"/>
  </r>
  <r>
    <n v="573"/>
    <n v="29"/>
    <s v="26-35"/>
    <x v="1"/>
    <s v="Travel_Rarely"/>
    <n v="1389"/>
    <x v="1"/>
    <n v="27"/>
    <s v="Medium"/>
    <s v="Medical"/>
    <s v="Medium"/>
    <s v="Female"/>
    <n v="66"/>
    <s v="High"/>
    <s v="Medium"/>
    <s v="Healthcare Representative"/>
    <s v="High"/>
    <s v="Married"/>
    <n v="4335"/>
    <n v="25549"/>
    <s v="Low"/>
    <n v="4"/>
    <x v="1"/>
    <n v="12"/>
    <s v="High"/>
    <s v="Low"/>
    <n v="1"/>
    <n v="11"/>
    <n v="3"/>
    <n v="2"/>
    <n v="8"/>
    <n v="7"/>
    <n v="1"/>
    <n v="1"/>
  </r>
  <r>
    <n v="574"/>
    <n v="26"/>
    <s v="26-35"/>
    <x v="0"/>
    <s v="Travel_Rarely"/>
    <n v="1389"/>
    <x v="0"/>
    <n v="8"/>
    <s v="Medium"/>
    <s v="Technical Degree"/>
    <s v="Excellent"/>
    <s v="Male"/>
    <n v="38"/>
    <s v="Medium"/>
    <s v="Medium"/>
    <s v="Sales Executive"/>
    <s v="Low"/>
    <s v="Single"/>
    <n v="5326"/>
    <n v="3064"/>
    <s v="Medium"/>
    <n v="6"/>
    <x v="1"/>
    <n v="17"/>
    <s v="High"/>
    <s v="High"/>
    <n v="0"/>
    <n v="6"/>
    <n v="2"/>
    <n v="2"/>
    <n v="4"/>
    <n v="3"/>
    <n v="1"/>
    <n v="2"/>
  </r>
  <r>
    <n v="575"/>
    <n v="34"/>
    <s v="26-35"/>
    <x v="1"/>
    <s v="Travel_Rarely"/>
    <n v="1389"/>
    <x v="1"/>
    <n v="1"/>
    <s v="High"/>
    <s v="Life Sciences"/>
    <s v="Medium"/>
    <s v="Female"/>
    <n v="72"/>
    <s v="Excellent"/>
    <s v="Low"/>
    <s v="Research Scientist"/>
    <s v="Excellent"/>
    <s v="Single"/>
    <n v="3280"/>
    <n v="13551"/>
    <s v="Low"/>
    <n v="2"/>
    <x v="1"/>
    <n v="16"/>
    <s v="High"/>
    <s v="High"/>
    <n v="0"/>
    <n v="10"/>
    <n v="2"/>
    <n v="3"/>
    <n v="4"/>
    <n v="2"/>
    <n v="1"/>
    <n v="3"/>
  </r>
  <r>
    <n v="576"/>
    <n v="54"/>
    <s v="46-55"/>
    <x v="1"/>
    <s v="Travel_Rarely"/>
    <n v="1389"/>
    <x v="1"/>
    <n v="19"/>
    <s v="High"/>
    <s v="Medical"/>
    <s v="Excellent"/>
    <s v="Female"/>
    <n v="95"/>
    <s v="High"/>
    <s v="Medium"/>
    <s v="Manufacturing Director"/>
    <s v="Low"/>
    <s v="Divorced"/>
    <n v="5485"/>
    <n v="22670"/>
    <s v="Medium"/>
    <n v="9"/>
    <x v="0"/>
    <n v="11"/>
    <s v="High"/>
    <s v="Medium"/>
    <n v="2"/>
    <n v="9"/>
    <n v="4"/>
    <n v="3"/>
    <n v="5"/>
    <n v="3"/>
    <n v="1"/>
    <n v="4"/>
  </r>
  <r>
    <n v="577"/>
    <n v="27"/>
    <s v="26-35"/>
    <x v="1"/>
    <s v="Travel_Frequently"/>
    <n v="1389"/>
    <x v="0"/>
    <n v="8"/>
    <s v="Low"/>
    <s v="Marketing"/>
    <s v="High"/>
    <s v="Male"/>
    <n v="84"/>
    <s v="High"/>
    <s v="Medium"/>
    <s v="Sales Executive"/>
    <s v="Excellent"/>
    <s v="Married"/>
    <n v="4342"/>
    <n v="24008"/>
    <s v="Low"/>
    <n v="0"/>
    <x v="1"/>
    <n v="19"/>
    <s v="High"/>
    <s v="Medium"/>
    <n v="1"/>
    <n v="5"/>
    <n v="3"/>
    <n v="3"/>
    <n v="4"/>
    <n v="2"/>
    <n v="1"/>
    <n v="1"/>
  </r>
  <r>
    <n v="578"/>
    <n v="37"/>
    <s v="36-45"/>
    <x v="1"/>
    <s v="Travel_Rarely"/>
    <n v="1389"/>
    <x v="1"/>
    <n v="10"/>
    <s v="Low"/>
    <s v="Life Sciences"/>
    <s v="Excellent"/>
    <s v="Female"/>
    <n v="82"/>
    <s v="High"/>
    <s v="Low"/>
    <s v="Research Scientist"/>
    <s v="Low"/>
    <s v="Divorced"/>
    <n v="2782"/>
    <n v="19905"/>
    <s v="Low"/>
    <n v="0"/>
    <x v="0"/>
    <n v="13"/>
    <s v="High"/>
    <s v="Medium"/>
    <n v="2"/>
    <n v="6"/>
    <n v="3"/>
    <n v="2"/>
    <n v="5"/>
    <n v="3"/>
    <n v="4"/>
    <n v="3"/>
  </r>
  <r>
    <n v="579"/>
    <n v="38"/>
    <s v="36-45"/>
    <x v="1"/>
    <s v="Travel_Frequently"/>
    <n v="1389"/>
    <x v="1"/>
    <n v="2"/>
    <s v="High"/>
    <s v="Life Sciences"/>
    <s v="Low"/>
    <s v="Female"/>
    <n v="75"/>
    <s v="Excellent"/>
    <s v="Medium"/>
    <s v="Manufacturing Director"/>
    <s v="Low"/>
    <s v="Single"/>
    <n v="5980"/>
    <n v="26085"/>
    <s v="Medium"/>
    <n v="6"/>
    <x v="0"/>
    <n v="12"/>
    <s v="High"/>
    <s v="Excellent"/>
    <n v="0"/>
    <n v="17"/>
    <n v="2"/>
    <n v="3"/>
    <n v="15"/>
    <n v="7"/>
    <n v="4"/>
    <n v="12"/>
  </r>
  <r>
    <n v="580"/>
    <n v="34"/>
    <s v="26-35"/>
    <x v="1"/>
    <s v="Travel_Rarely"/>
    <n v="1389"/>
    <x v="1"/>
    <n v="2"/>
    <s v="High"/>
    <s v="Medical"/>
    <s v="High"/>
    <s v="Female"/>
    <n v="86"/>
    <s v="Medium"/>
    <s v="Low"/>
    <s v="Research Scientist"/>
    <s v="Low"/>
    <s v="Single"/>
    <n v="4381"/>
    <n v="7530"/>
    <s v="Low"/>
    <n v="1"/>
    <x v="1"/>
    <n v="11"/>
    <s v="High"/>
    <s v="High"/>
    <n v="0"/>
    <n v="6"/>
    <n v="3"/>
    <n v="3"/>
    <n v="6"/>
    <n v="5"/>
    <n v="1"/>
    <n v="3"/>
  </r>
  <r>
    <n v="581"/>
    <n v="35"/>
    <s v="26-35"/>
    <x v="1"/>
    <s v="Travel_Rarely"/>
    <n v="1389"/>
    <x v="0"/>
    <n v="8"/>
    <s v="High"/>
    <s v="Life Sciences"/>
    <s v="Low"/>
    <s v="Female"/>
    <n v="72"/>
    <s v="High"/>
    <s v="Low"/>
    <s v="Sales Representative"/>
    <s v="Excellent"/>
    <s v="Married"/>
    <n v="2572"/>
    <n v="20317"/>
    <s v="Low"/>
    <n v="1"/>
    <x v="1"/>
    <n v="16"/>
    <s v="High"/>
    <s v="Medium"/>
    <n v="1"/>
    <n v="3"/>
    <n v="1"/>
    <n v="2"/>
    <n v="3"/>
    <n v="2"/>
    <n v="0"/>
    <n v="2"/>
  </r>
  <r>
    <n v="582"/>
    <n v="30"/>
    <s v="26-35"/>
    <x v="1"/>
    <s v="Travel_Rarely"/>
    <n v="1389"/>
    <x v="1"/>
    <n v="1"/>
    <s v="Medium"/>
    <s v="Life Sciences"/>
    <s v="Excellent"/>
    <s v="Male"/>
    <n v="38"/>
    <s v="Low"/>
    <s v="Low"/>
    <s v="Laboratory Technician"/>
    <s v="High"/>
    <s v="Married"/>
    <n v="3833"/>
    <n v="24375"/>
    <s v="Low"/>
    <n v="3"/>
    <x v="1"/>
    <n v="21"/>
    <s v="Excellent"/>
    <s v="High"/>
    <n v="2"/>
    <n v="7"/>
    <n v="2"/>
    <n v="3"/>
    <n v="2"/>
    <n v="2"/>
    <n v="0"/>
    <n v="2"/>
  </r>
  <r>
    <n v="583"/>
    <n v="40"/>
    <s v="36-45"/>
    <x v="1"/>
    <s v="Travel_Frequently"/>
    <n v="1389"/>
    <x v="1"/>
    <n v="2"/>
    <s v="Good"/>
    <s v="Medical"/>
    <s v="High"/>
    <s v="Female"/>
    <n v="38"/>
    <s v="Excellent"/>
    <s v="Medium"/>
    <s v="Healthcare Representative"/>
    <s v="Medium"/>
    <s v="Married"/>
    <n v="4244"/>
    <n v="9931"/>
    <s v="Low"/>
    <n v="1"/>
    <x v="1"/>
    <n v="24"/>
    <s v="Excellent"/>
    <s v="Excellent"/>
    <n v="1"/>
    <n v="8"/>
    <n v="2"/>
    <n v="3"/>
    <n v="8"/>
    <n v="7"/>
    <n v="3"/>
    <n v="7"/>
  </r>
  <r>
    <n v="584"/>
    <n v="34"/>
    <s v="26-35"/>
    <x v="1"/>
    <s v="Travel_Rarely"/>
    <n v="1389"/>
    <x v="0"/>
    <n v="8"/>
    <s v="Good"/>
    <s v="Life Sciences"/>
    <s v="High"/>
    <s v="Female"/>
    <n v="93"/>
    <s v="High"/>
    <s v="Medium"/>
    <s v="Sales Executive"/>
    <s v="Low"/>
    <s v="Married"/>
    <n v="6500"/>
    <n v="13305"/>
    <s v="Medium"/>
    <n v="5"/>
    <x v="1"/>
    <n v="17"/>
    <s v="High"/>
    <s v="Medium"/>
    <n v="1"/>
    <n v="6"/>
    <n v="1"/>
    <n v="3"/>
    <n v="3"/>
    <n v="2"/>
    <n v="1"/>
    <n v="2"/>
  </r>
  <r>
    <n v="585"/>
    <n v="42"/>
    <s v="36-45"/>
    <x v="1"/>
    <s v="Travel_Frequently"/>
    <n v="1389"/>
    <x v="1"/>
    <n v="8"/>
    <s v="Medium"/>
    <s v="Life Sciences"/>
    <s v="Medium"/>
    <s v="Male"/>
    <n v="66"/>
    <s v="High"/>
    <e v="#N/A"/>
    <s v="Manager"/>
    <s v="Excellent"/>
    <s v="Divorced"/>
    <n v="18430"/>
    <n v="16225"/>
    <s v="High"/>
    <n v="1"/>
    <x v="1"/>
    <n v="13"/>
    <s v="High"/>
    <s v="Medium"/>
    <n v="1"/>
    <n v="24"/>
    <n v="4"/>
    <n v="2"/>
    <n v="24"/>
    <n v="7"/>
    <n v="14"/>
    <n v="9"/>
  </r>
  <r>
    <n v="586"/>
    <n v="23"/>
    <s v="18-25"/>
    <x v="0"/>
    <s v="Travel_Rarely"/>
    <n v="1389"/>
    <x v="1"/>
    <n v="6"/>
    <s v="Medium"/>
    <s v="Life Sciences"/>
    <s v="High"/>
    <s v="Male"/>
    <n v="63"/>
    <s v="Excellent"/>
    <s v="Low"/>
    <s v="Laboratory Technician"/>
    <s v="Low"/>
    <s v="Married"/>
    <n v="1601"/>
    <n v="3445"/>
    <s v="Low"/>
    <n v="1"/>
    <x v="0"/>
    <n v="21"/>
    <s v="Excellent"/>
    <s v="High"/>
    <n v="2"/>
    <n v="1"/>
    <n v="2"/>
    <n v="3"/>
    <n v="0"/>
    <n v="0"/>
    <n v="0"/>
    <n v="0"/>
  </r>
  <r>
    <n v="587"/>
    <n v="24"/>
    <s v="18-25"/>
    <x v="1"/>
    <s v="Non-Travel"/>
    <n v="1389"/>
    <x v="1"/>
    <n v="9"/>
    <s v="Medium"/>
    <s v="Life Sciences"/>
    <s v="High"/>
    <s v="Male"/>
    <n v="60"/>
    <s v="Medium"/>
    <s v="Low"/>
    <s v="Laboratory Technician"/>
    <s v="Medium"/>
    <s v="Divorced"/>
    <n v="2694"/>
    <n v="26551"/>
    <s v="Low"/>
    <n v="1"/>
    <x v="1"/>
    <n v="11"/>
    <s v="High"/>
    <s v="High"/>
    <n v="3"/>
    <n v="1"/>
    <n v="4"/>
    <n v="3"/>
    <n v="1"/>
    <n v="0"/>
    <n v="0"/>
    <n v="0"/>
  </r>
  <r>
    <n v="588"/>
    <n v="52"/>
    <s v="46-55"/>
    <x v="1"/>
    <s v="Travel_Rarely"/>
    <n v="1389"/>
    <x v="1"/>
    <n v="11"/>
    <s v="High"/>
    <s v="Life Sciences"/>
    <s v="Excellent"/>
    <s v="Female"/>
    <n v="82"/>
    <s v="High"/>
    <s v="Medium"/>
    <s v="Laboratory Technician"/>
    <s v="High"/>
    <s v="Married"/>
    <n v="3149"/>
    <n v="21821"/>
    <s v="Low"/>
    <n v="8"/>
    <x v="1"/>
    <n v="20"/>
    <s v="Excellent"/>
    <s v="Medium"/>
    <n v="1"/>
    <n v="9"/>
    <n v="3"/>
    <n v="3"/>
    <n v="5"/>
    <n v="2"/>
    <n v="1"/>
    <n v="4"/>
  </r>
  <r>
    <n v="589"/>
    <n v="50"/>
    <s v="46-55"/>
    <x v="1"/>
    <s v="Travel_Rarely"/>
    <n v="1389"/>
    <x v="1"/>
    <n v="2"/>
    <s v="Medium"/>
    <s v="Medical"/>
    <s v="High"/>
    <s v="Male"/>
    <n v="64"/>
    <s v="High"/>
    <s v="Excellent"/>
    <s v="Research Director"/>
    <s v="High"/>
    <s v="Married"/>
    <n v="17639"/>
    <n v="6881"/>
    <s v="High"/>
    <n v="5"/>
    <x v="1"/>
    <n v="16"/>
    <s v="High"/>
    <s v="Excellent"/>
    <n v="0"/>
    <n v="30"/>
    <n v="3"/>
    <n v="3"/>
    <n v="4"/>
    <n v="3"/>
    <n v="0"/>
    <n v="3"/>
  </r>
  <r>
    <n v="590"/>
    <n v="29"/>
    <s v="26-35"/>
    <x v="0"/>
    <s v="Travel_Rarely"/>
    <n v="1389"/>
    <x v="1"/>
    <n v="1"/>
    <s v="Good"/>
    <s v="Life Sciences"/>
    <s v="Medium"/>
    <s v="Female"/>
    <n v="36"/>
    <s v="Medium"/>
    <s v="Low"/>
    <s v="Laboratory Technician"/>
    <s v="Low"/>
    <s v="Married"/>
    <n v="2319"/>
    <n v="6689"/>
    <s v="Low"/>
    <n v="1"/>
    <x v="0"/>
    <n v="11"/>
    <s v="High"/>
    <s v="Excellent"/>
    <n v="1"/>
    <n v="1"/>
    <n v="1"/>
    <n v="3"/>
    <n v="1"/>
    <n v="0"/>
    <n v="0"/>
    <n v="0"/>
  </r>
  <r>
    <n v="591"/>
    <n v="33"/>
    <s v="26-35"/>
    <x v="1"/>
    <s v="Travel_Rarely"/>
    <n v="1389"/>
    <x v="1"/>
    <n v="7"/>
    <s v="Medium"/>
    <s v="Medical"/>
    <s v="High"/>
    <s v="Male"/>
    <n v="49"/>
    <s v="High"/>
    <s v="High"/>
    <s v="Research Director"/>
    <s v="High"/>
    <s v="Married"/>
    <n v="11691"/>
    <n v="25995"/>
    <s v="High"/>
    <n v="0"/>
    <x v="1"/>
    <n v="11"/>
    <s v="High"/>
    <s v="Excellent"/>
    <n v="0"/>
    <n v="14"/>
    <n v="3"/>
    <n v="4"/>
    <n v="13"/>
    <n v="9"/>
    <n v="3"/>
    <n v="7"/>
  </r>
  <r>
    <n v="592"/>
    <n v="33"/>
    <s v="26-35"/>
    <x v="0"/>
    <s v="Travel_Rarely"/>
    <n v="1389"/>
    <x v="0"/>
    <n v="16"/>
    <s v="Medium"/>
    <s v="Marketing"/>
    <s v="Low"/>
    <s v="Female"/>
    <n v="69"/>
    <s v="High"/>
    <s v="Medium"/>
    <s v="Sales Executive"/>
    <s v="Low"/>
    <s v="Single"/>
    <n v="5324"/>
    <n v="26507"/>
    <s v="Medium"/>
    <n v="5"/>
    <x v="1"/>
    <n v="15"/>
    <s v="High"/>
    <s v="High"/>
    <n v="0"/>
    <n v="6"/>
    <n v="3"/>
    <n v="3"/>
    <n v="3"/>
    <n v="2"/>
    <n v="0"/>
    <n v="2"/>
  </r>
  <r>
    <n v="593"/>
    <n v="47"/>
    <s v="46-55"/>
    <x v="1"/>
    <s v="Travel_Rarely"/>
    <n v="1389"/>
    <x v="1"/>
    <n v="2"/>
    <s v="Good"/>
    <s v="Other"/>
    <s v="High"/>
    <s v="Female"/>
    <n v="33"/>
    <s v="High"/>
    <s v="Excellent"/>
    <s v="Manager"/>
    <s v="Excellent"/>
    <s v="Married"/>
    <n v="16752"/>
    <n v="12982"/>
    <s v="High"/>
    <n v="1"/>
    <x v="0"/>
    <n v="11"/>
    <s v="High"/>
    <s v="High"/>
    <n v="1"/>
    <n v="26"/>
    <n v="3"/>
    <n v="2"/>
    <n v="26"/>
    <n v="14"/>
    <n v="3"/>
    <n v="0"/>
  </r>
  <r>
    <n v="594"/>
    <n v="36"/>
    <s v="36-45"/>
    <x v="1"/>
    <s v="Travel_Rarely"/>
    <n v="1389"/>
    <x v="1"/>
    <n v="1"/>
    <s v="Medium"/>
    <s v="Other"/>
    <s v="High"/>
    <s v="Female"/>
    <n v="35"/>
    <s v="High"/>
    <s v="Medium"/>
    <s v="Manufacturing Director"/>
    <s v="Medium"/>
    <s v="Married"/>
    <n v="5228"/>
    <n v="23361"/>
    <s v="Medium"/>
    <n v="0"/>
    <x v="1"/>
    <n v="15"/>
    <s v="High"/>
    <s v="Low"/>
    <n v="1"/>
    <n v="10"/>
    <n v="2"/>
    <n v="3"/>
    <n v="9"/>
    <n v="7"/>
    <n v="0"/>
    <n v="5"/>
  </r>
  <r>
    <n v="595"/>
    <n v="29"/>
    <s v="26-35"/>
    <x v="1"/>
    <s v="Travel_Rarely"/>
    <n v="1389"/>
    <x v="1"/>
    <n v="23"/>
    <s v="Good"/>
    <s v="Life Sciences"/>
    <s v="High"/>
    <s v="Male"/>
    <n v="81"/>
    <s v="Excellent"/>
    <s v="Low"/>
    <s v="Research Scientist"/>
    <s v="High"/>
    <s v="Married"/>
    <n v="2700"/>
    <n v="23779"/>
    <s v="Low"/>
    <n v="1"/>
    <x v="1"/>
    <n v="24"/>
    <s v="Excellent"/>
    <s v="High"/>
    <n v="1"/>
    <n v="10"/>
    <n v="3"/>
    <n v="3"/>
    <n v="10"/>
    <n v="7"/>
    <n v="0"/>
    <n v="7"/>
  </r>
  <r>
    <n v="596"/>
    <n v="58"/>
    <s v="55+"/>
    <x v="0"/>
    <s v="Travel_Rarely"/>
    <n v="1389"/>
    <x v="1"/>
    <n v="2"/>
    <s v="High"/>
    <s v="Life Sciences"/>
    <s v="Excellent"/>
    <s v="Male"/>
    <n v="31"/>
    <s v="High"/>
    <e v="#N/A"/>
    <s v="Research Director"/>
    <s v="Medium"/>
    <s v="Single"/>
    <n v="19246"/>
    <n v="25761"/>
    <s v="High"/>
    <n v="7"/>
    <x v="0"/>
    <n v="12"/>
    <s v="High"/>
    <s v="Excellent"/>
    <n v="0"/>
    <n v="40"/>
    <n v="2"/>
    <n v="3"/>
    <n v="31"/>
    <n v="15"/>
    <n v="13"/>
    <n v="8"/>
  </r>
  <r>
    <n v="597"/>
    <n v="35"/>
    <s v="26-35"/>
    <x v="1"/>
    <s v="Travel_Rarely"/>
    <n v="1389"/>
    <x v="1"/>
    <n v="1"/>
    <s v="High"/>
    <s v="Life Sciences"/>
    <s v="Excellent"/>
    <s v="Female"/>
    <n v="40"/>
    <s v="Excellent"/>
    <s v="Low"/>
    <s v="Research Scientist"/>
    <s v="High"/>
    <s v="Single"/>
    <n v="2506"/>
    <n v="13301"/>
    <s v="Low"/>
    <n v="3"/>
    <x v="1"/>
    <n v="13"/>
    <s v="High"/>
    <s v="High"/>
    <n v="0"/>
    <n v="7"/>
    <n v="0"/>
    <n v="3"/>
    <n v="2"/>
    <n v="2"/>
    <n v="2"/>
    <n v="2"/>
  </r>
  <r>
    <n v="598"/>
    <n v="42"/>
    <s v="36-45"/>
    <x v="1"/>
    <s v="Travel_Rarely"/>
    <n v="1389"/>
    <x v="1"/>
    <n v="1"/>
    <s v="Good"/>
    <s v="Life Sciences"/>
    <s v="Excellent"/>
    <s v="Female"/>
    <n v="43"/>
    <s v="Medium"/>
    <s v="Medium"/>
    <s v="Manufacturing Director"/>
    <s v="Excellent"/>
    <s v="Married"/>
    <n v="6062"/>
    <n v="4051"/>
    <s v="Medium"/>
    <n v="9"/>
    <x v="0"/>
    <n v="13"/>
    <s v="High"/>
    <s v="Excellent"/>
    <n v="1"/>
    <n v="8"/>
    <n v="4"/>
    <n v="3"/>
    <n v="4"/>
    <n v="3"/>
    <n v="0"/>
    <n v="2"/>
  </r>
  <r>
    <n v="599"/>
    <n v="28"/>
    <s v="26-35"/>
    <x v="0"/>
    <s v="Travel_Rarely"/>
    <n v="1389"/>
    <x v="1"/>
    <n v="2"/>
    <s v="High"/>
    <s v="Medical"/>
    <s v="High"/>
    <s v="Male"/>
    <n v="46"/>
    <s v="High"/>
    <s v="Low"/>
    <s v="Research Scientist"/>
    <s v="High"/>
    <s v="Single"/>
    <n v="4382"/>
    <n v="16374"/>
    <s v="Low"/>
    <n v="6"/>
    <x v="1"/>
    <n v="17"/>
    <s v="High"/>
    <s v="Excellent"/>
    <n v="0"/>
    <n v="5"/>
    <n v="3"/>
    <n v="2"/>
    <n v="2"/>
    <n v="2"/>
    <n v="2"/>
    <n v="1"/>
  </r>
  <r>
    <n v="600"/>
    <n v="36"/>
    <s v="36-45"/>
    <x v="1"/>
    <s v="Travel_Rarely"/>
    <n v="1389"/>
    <x v="2"/>
    <n v="13"/>
    <s v="Medium"/>
    <s v="Human Resources"/>
    <s v="High"/>
    <s v="Male"/>
    <n v="36"/>
    <s v="High"/>
    <s v="Low"/>
    <s v="Human Resources"/>
    <s v="Medium"/>
    <s v="Married"/>
    <n v="2143"/>
    <n v="25527"/>
    <s v="Low"/>
    <n v="4"/>
    <x v="1"/>
    <n v="13"/>
    <s v="High"/>
    <s v="Medium"/>
    <n v="1"/>
    <n v="8"/>
    <n v="2"/>
    <n v="3"/>
    <n v="5"/>
    <n v="2"/>
    <n v="0"/>
    <n v="4"/>
  </r>
  <r>
    <n v="601"/>
    <n v="32"/>
    <s v="26-35"/>
    <x v="1"/>
    <s v="Travel_Rarely"/>
    <n v="1389"/>
    <x v="1"/>
    <n v="4"/>
    <s v="Medium"/>
    <s v="Life Sciences"/>
    <s v="High"/>
    <s v="Female"/>
    <n v="98"/>
    <s v="Medium"/>
    <s v="Medium"/>
    <s v="Manufacturing Director"/>
    <s v="High"/>
    <s v="Married"/>
    <n v="6162"/>
    <n v="19124"/>
    <s v="Medium"/>
    <n v="1"/>
    <x v="1"/>
    <n v="12"/>
    <s v="High"/>
    <s v="High"/>
    <n v="1"/>
    <n v="14"/>
    <n v="3"/>
    <n v="3"/>
    <n v="14"/>
    <n v="13"/>
    <n v="6"/>
    <n v="8"/>
  </r>
  <r>
    <n v="602"/>
    <n v="40"/>
    <s v="36-45"/>
    <x v="1"/>
    <s v="Travel_Frequently"/>
    <n v="1389"/>
    <x v="1"/>
    <n v="16"/>
    <s v="High"/>
    <s v="Medical"/>
    <s v="Low"/>
    <s v="Male"/>
    <n v="51"/>
    <s v="Medium"/>
    <s v="Medium"/>
    <s v="Laboratory Technician"/>
    <s v="High"/>
    <s v="Single"/>
    <n v="5094"/>
    <n v="11983"/>
    <s v="Medium"/>
    <n v="6"/>
    <x v="1"/>
    <n v="14"/>
    <s v="High"/>
    <s v="Excellent"/>
    <n v="0"/>
    <n v="10"/>
    <n v="6"/>
    <n v="3"/>
    <n v="1"/>
    <n v="0"/>
    <n v="0"/>
    <n v="0"/>
  </r>
  <r>
    <n v="603"/>
    <n v="30"/>
    <s v="26-35"/>
    <x v="1"/>
    <s v="Travel_Rarely"/>
    <n v="1389"/>
    <x v="1"/>
    <n v="2"/>
    <s v="Medium"/>
    <s v="Medical"/>
    <s v="High"/>
    <s v="Female"/>
    <n v="52"/>
    <s v="Medium"/>
    <s v="Medium"/>
    <s v="Manufacturing Director"/>
    <s v="Excellent"/>
    <s v="Single"/>
    <n v="6877"/>
    <n v="20234"/>
    <s v="Medium"/>
    <n v="5"/>
    <x v="0"/>
    <n v="24"/>
    <s v="Excellent"/>
    <s v="Medium"/>
    <n v="0"/>
    <n v="12"/>
    <n v="4"/>
    <n v="2"/>
    <n v="0"/>
    <n v="0"/>
    <n v="0"/>
    <n v="0"/>
  </r>
  <r>
    <n v="604"/>
    <n v="45"/>
    <s v="36-45"/>
    <x v="1"/>
    <s v="Travel_Rarely"/>
    <n v="1389"/>
    <x v="1"/>
    <n v="2"/>
    <s v="Medium"/>
    <s v="Life Sciences"/>
    <s v="Medium"/>
    <s v="Female"/>
    <n v="95"/>
    <s v="Medium"/>
    <s v="Low"/>
    <s v="Research Scientist"/>
    <s v="High"/>
    <s v="Single"/>
    <n v="2274"/>
    <n v="6153"/>
    <s v="Low"/>
    <n v="1"/>
    <x v="1"/>
    <n v="14"/>
    <s v="High"/>
    <s v="Excellent"/>
    <n v="0"/>
    <n v="1"/>
    <n v="3"/>
    <n v="3"/>
    <n v="1"/>
    <n v="0"/>
    <n v="0"/>
    <n v="0"/>
  </r>
  <r>
    <n v="605"/>
    <n v="42"/>
    <s v="36-45"/>
    <x v="1"/>
    <s v="Travel_Rarely"/>
    <n v="1389"/>
    <x v="1"/>
    <n v="29"/>
    <s v="Medium"/>
    <s v="Life Sciences"/>
    <s v="Medium"/>
    <s v="Male"/>
    <n v="98"/>
    <s v="High"/>
    <s v="Medium"/>
    <s v="Manufacturing Director"/>
    <s v="Medium"/>
    <s v="Married"/>
    <n v="4434"/>
    <n v="11806"/>
    <s v="Low"/>
    <n v="1"/>
    <x v="1"/>
    <n v="13"/>
    <s v="High"/>
    <s v="Excellent"/>
    <n v="1"/>
    <n v="10"/>
    <n v="3"/>
    <n v="2"/>
    <n v="9"/>
    <n v="8"/>
    <n v="7"/>
    <n v="8"/>
  </r>
  <r>
    <n v="606"/>
    <n v="38"/>
    <s v="36-45"/>
    <x v="1"/>
    <s v="Travel_Frequently"/>
    <n v="1389"/>
    <x v="1"/>
    <n v="12"/>
    <s v="Medium"/>
    <s v="Life Sciences"/>
    <s v="Low"/>
    <s v="Male"/>
    <n v="45"/>
    <s v="Medium"/>
    <s v="Medium"/>
    <s v="Healthcare Representative"/>
    <s v="Low"/>
    <s v="Divorced"/>
    <n v="6288"/>
    <n v="4284"/>
    <s v="Medium"/>
    <n v="2"/>
    <x v="1"/>
    <n v="15"/>
    <s v="High"/>
    <s v="High"/>
    <n v="1"/>
    <n v="13"/>
    <n v="3"/>
    <n v="2"/>
    <n v="4"/>
    <n v="3"/>
    <n v="1"/>
    <n v="2"/>
  </r>
  <r>
    <n v="607"/>
    <n v="34"/>
    <s v="26-35"/>
    <x v="1"/>
    <s v="Travel_Frequently"/>
    <n v="1389"/>
    <x v="1"/>
    <n v="16"/>
    <s v="High"/>
    <s v="Life Sciences"/>
    <s v="High"/>
    <s v="Female"/>
    <n v="100"/>
    <s v="Medium"/>
    <s v="Low"/>
    <s v="Research Scientist"/>
    <s v="Excellent"/>
    <s v="Single"/>
    <n v="2553"/>
    <n v="8306"/>
    <s v="Low"/>
    <n v="1"/>
    <x v="1"/>
    <n v="16"/>
    <s v="High"/>
    <s v="High"/>
    <n v="0"/>
    <n v="6"/>
    <n v="3"/>
    <n v="3"/>
    <n v="5"/>
    <n v="2"/>
    <n v="1"/>
    <n v="3"/>
  </r>
  <r>
    <n v="608"/>
    <n v="49"/>
    <s v="46-55"/>
    <x v="0"/>
    <s v="Travel_Rarely"/>
    <n v="1389"/>
    <x v="0"/>
    <n v="11"/>
    <s v="Medium"/>
    <s v="Marketing"/>
    <s v="High"/>
    <s v="Female"/>
    <n v="43"/>
    <s v="High"/>
    <s v="High"/>
    <s v="Sales Executive"/>
    <s v="Excellent"/>
    <s v="Married"/>
    <n v="7654"/>
    <n v="5860"/>
    <s v="Medium"/>
    <n v="1"/>
    <x v="1"/>
    <n v="18"/>
    <s v="High"/>
    <s v="Low"/>
    <n v="2"/>
    <n v="9"/>
    <n v="3"/>
    <n v="4"/>
    <n v="9"/>
    <n v="8"/>
    <n v="7"/>
    <n v="7"/>
  </r>
  <r>
    <n v="609"/>
    <n v="55"/>
    <s v="46-55"/>
    <x v="0"/>
    <s v="Travel_Rarely"/>
    <n v="1389"/>
    <x v="0"/>
    <n v="2"/>
    <s v="Low"/>
    <s v="Medical"/>
    <s v="High"/>
    <s v="Male"/>
    <n v="37"/>
    <s v="High"/>
    <s v="Medium"/>
    <s v="Sales Executive"/>
    <s v="Excellent"/>
    <s v="Single"/>
    <n v="5160"/>
    <n v="21519"/>
    <s v="Medium"/>
    <n v="4"/>
    <x v="1"/>
    <n v="16"/>
    <s v="High"/>
    <s v="High"/>
    <n v="0"/>
    <n v="12"/>
    <n v="3"/>
    <n v="2"/>
    <n v="9"/>
    <n v="7"/>
    <n v="7"/>
    <n v="3"/>
  </r>
  <r>
    <n v="610"/>
    <n v="43"/>
    <s v="36-45"/>
    <x v="1"/>
    <s v="Travel_Rarely"/>
    <n v="1389"/>
    <x v="1"/>
    <n v="14"/>
    <s v="Good"/>
    <s v="Life Sciences"/>
    <s v="Medium"/>
    <s v="Male"/>
    <n v="94"/>
    <s v="High"/>
    <s v="Excellent"/>
    <s v="Research Director"/>
    <s v="Low"/>
    <s v="Married"/>
    <n v="17159"/>
    <n v="5200"/>
    <s v="High"/>
    <n v="6"/>
    <x v="1"/>
    <n v="24"/>
    <s v="Excellent"/>
    <s v="High"/>
    <n v="1"/>
    <n v="22"/>
    <n v="3"/>
    <n v="3"/>
    <n v="4"/>
    <n v="1"/>
    <n v="1"/>
    <n v="0"/>
  </r>
  <r>
    <n v="611"/>
    <n v="27"/>
    <s v="26-35"/>
    <x v="1"/>
    <s v="Travel_Rarely"/>
    <n v="1389"/>
    <x v="1"/>
    <n v="5"/>
    <s v="Low"/>
    <s v="Technical Degree"/>
    <s v="High"/>
    <s v="Male"/>
    <n v="42"/>
    <s v="Medium"/>
    <s v="High"/>
    <s v="Research Director"/>
    <s v="Excellent"/>
    <s v="Divorced"/>
    <n v="12808"/>
    <n v="8842"/>
    <s v="High"/>
    <n v="1"/>
    <x v="0"/>
    <n v="16"/>
    <s v="High"/>
    <s v="Medium"/>
    <n v="1"/>
    <n v="9"/>
    <n v="3"/>
    <n v="3"/>
    <n v="9"/>
    <n v="8"/>
    <n v="0"/>
    <n v="8"/>
  </r>
  <r>
    <n v="612"/>
    <n v="35"/>
    <s v="26-35"/>
    <x v="1"/>
    <s v="Travel_Rarely"/>
    <n v="1389"/>
    <x v="1"/>
    <n v="7"/>
    <s v="Medium"/>
    <s v="Other"/>
    <s v="High"/>
    <s v="Male"/>
    <n v="59"/>
    <s v="High"/>
    <s v="High"/>
    <s v="Manufacturing Director"/>
    <s v="High"/>
    <s v="Single"/>
    <n v="10221"/>
    <n v="18869"/>
    <s v="High"/>
    <n v="3"/>
    <x v="1"/>
    <n v="21"/>
    <s v="Excellent"/>
    <s v="Medium"/>
    <n v="0"/>
    <n v="17"/>
    <n v="3"/>
    <n v="4"/>
    <n v="8"/>
    <n v="5"/>
    <n v="1"/>
    <n v="6"/>
  </r>
  <r>
    <n v="613"/>
    <n v="28"/>
    <s v="26-35"/>
    <x v="1"/>
    <s v="Travel_Rarely"/>
    <n v="1389"/>
    <x v="0"/>
    <n v="2"/>
    <s v="High"/>
    <s v="Marketing"/>
    <s v="Medium"/>
    <s v="Female"/>
    <n v="81"/>
    <s v="High"/>
    <s v="Medium"/>
    <s v="Sales Executive"/>
    <s v="Medium"/>
    <s v="Married"/>
    <n v="4779"/>
    <n v="3698"/>
    <s v="Low"/>
    <n v="1"/>
    <x v="0"/>
    <n v="20"/>
    <s v="Excellent"/>
    <s v="Low"/>
    <n v="0"/>
    <n v="8"/>
    <n v="2"/>
    <n v="3"/>
    <n v="8"/>
    <n v="7"/>
    <n v="7"/>
    <n v="5"/>
  </r>
  <r>
    <n v="614"/>
    <n v="34"/>
    <s v="26-35"/>
    <x v="1"/>
    <s v="Travel_Rarely"/>
    <n v="1389"/>
    <x v="2"/>
    <n v="3"/>
    <s v="Good"/>
    <s v="Human Resources"/>
    <s v="High"/>
    <s v="Male"/>
    <n v="88"/>
    <s v="High"/>
    <s v="Low"/>
    <s v="Human Resources"/>
    <s v="Excellent"/>
    <s v="Married"/>
    <n v="3737"/>
    <n v="2243"/>
    <s v="Low"/>
    <n v="0"/>
    <x v="1"/>
    <n v="19"/>
    <s v="High"/>
    <s v="High"/>
    <n v="1"/>
    <n v="4"/>
    <n v="1"/>
    <n v="1"/>
    <n v="3"/>
    <n v="2"/>
    <n v="0"/>
    <n v="2"/>
  </r>
  <r>
    <n v="615"/>
    <n v="26"/>
    <s v="26-35"/>
    <x v="0"/>
    <s v="Travel_Frequently"/>
    <n v="1389"/>
    <x v="1"/>
    <n v="5"/>
    <s v="Good"/>
    <s v="Medical"/>
    <s v="High"/>
    <s v="Female"/>
    <n v="88"/>
    <s v="Medium"/>
    <s v="Low"/>
    <s v="Research Scientist"/>
    <s v="High"/>
    <s v="Married"/>
    <n v="2366"/>
    <n v="20898"/>
    <s v="Low"/>
    <n v="1"/>
    <x v="0"/>
    <n v="14"/>
    <s v="High"/>
    <s v="Low"/>
    <n v="1"/>
    <n v="8"/>
    <n v="2"/>
    <n v="3"/>
    <n v="8"/>
    <n v="7"/>
    <n v="1"/>
    <n v="7"/>
  </r>
  <r>
    <n v="616"/>
    <n v="27"/>
    <s v="26-35"/>
    <x v="1"/>
    <s v="Non-Travel"/>
    <n v="1389"/>
    <x v="1"/>
    <n v="3"/>
    <s v="Medium"/>
    <s v="Medical"/>
    <s v="Excellent"/>
    <s v="Male"/>
    <n v="50"/>
    <s v="High"/>
    <s v="Low"/>
    <s v="Research Scientist"/>
    <s v="Excellent"/>
    <s v="Married"/>
    <n v="1706"/>
    <n v="16571"/>
    <s v="Low"/>
    <n v="1"/>
    <x v="1"/>
    <n v="11"/>
    <s v="High"/>
    <s v="High"/>
    <n v="3"/>
    <n v="0"/>
    <n v="6"/>
    <n v="2"/>
    <n v="0"/>
    <n v="0"/>
    <n v="0"/>
    <n v="0"/>
  </r>
  <r>
    <n v="617"/>
    <n v="51"/>
    <s v="46-55"/>
    <x v="1"/>
    <s v="Travel_Rarely"/>
    <n v="1389"/>
    <x v="0"/>
    <n v="26"/>
    <s v="High"/>
    <s v="Marketing"/>
    <s v="Low"/>
    <s v="Female"/>
    <n v="66"/>
    <s v="High"/>
    <s v="Excellent"/>
    <s v="Manager"/>
    <s v="High"/>
    <s v="Married"/>
    <n v="16307"/>
    <n v="5594"/>
    <s v="High"/>
    <n v="2"/>
    <x v="1"/>
    <n v="14"/>
    <s v="High"/>
    <s v="High"/>
    <n v="1"/>
    <n v="29"/>
    <n v="2"/>
    <n v="2"/>
    <n v="20"/>
    <n v="6"/>
    <n v="4"/>
    <n v="17"/>
  </r>
  <r>
    <n v="618"/>
    <n v="44"/>
    <s v="36-45"/>
    <x v="1"/>
    <s v="Travel_Rarely"/>
    <n v="1389"/>
    <x v="1"/>
    <n v="4"/>
    <s v="Medium"/>
    <s v="Medical"/>
    <s v="Excellent"/>
    <s v="Male"/>
    <n v="50"/>
    <s v="High"/>
    <s v="Medium"/>
    <s v="Healthcare Representative"/>
    <s v="Medium"/>
    <s v="Single"/>
    <n v="5933"/>
    <n v="5197"/>
    <s v="Medium"/>
    <n v="9"/>
    <x v="1"/>
    <n v="12"/>
    <s v="High"/>
    <s v="Excellent"/>
    <n v="0"/>
    <n v="10"/>
    <n v="2"/>
    <n v="2"/>
    <n v="5"/>
    <n v="2"/>
    <n v="2"/>
    <n v="3"/>
  </r>
  <r>
    <n v="619"/>
    <n v="25"/>
    <s v="18-25"/>
    <x v="1"/>
    <s v="Travel_Rarely"/>
    <n v="1389"/>
    <x v="1"/>
    <n v="2"/>
    <s v="Low"/>
    <s v="Medical"/>
    <s v="Low"/>
    <s v="Male"/>
    <n v="65"/>
    <s v="Excellent"/>
    <s v="Low"/>
    <s v="Research Scientist"/>
    <s v="Low"/>
    <s v="Single"/>
    <n v="3424"/>
    <n v="21632"/>
    <s v="Low"/>
    <n v="7"/>
    <x v="1"/>
    <n v="13"/>
    <s v="High"/>
    <s v="High"/>
    <n v="0"/>
    <n v="6"/>
    <n v="3"/>
    <n v="2"/>
    <n v="4"/>
    <n v="3"/>
    <n v="0"/>
    <n v="1"/>
  </r>
  <r>
    <n v="620"/>
    <n v="33"/>
    <s v="26-35"/>
    <x v="1"/>
    <s v="Travel_Rarely"/>
    <n v="1389"/>
    <x v="0"/>
    <n v="1"/>
    <s v="Medium"/>
    <s v="Medical"/>
    <s v="Low"/>
    <s v="Male"/>
    <n v="48"/>
    <s v="Excellent"/>
    <s v="Medium"/>
    <s v="Sales Executive"/>
    <s v="Low"/>
    <s v="Divorced"/>
    <n v="4037"/>
    <n v="21816"/>
    <s v="Low"/>
    <n v="1"/>
    <x v="1"/>
    <n v="22"/>
    <s v="Excellent"/>
    <s v="Low"/>
    <n v="1"/>
    <n v="9"/>
    <n v="5"/>
    <n v="3"/>
    <n v="9"/>
    <n v="8"/>
    <n v="0"/>
    <n v="8"/>
  </r>
  <r>
    <n v="621"/>
    <n v="35"/>
    <s v="26-35"/>
    <x v="1"/>
    <s v="Travel_Rarely"/>
    <n v="1389"/>
    <x v="1"/>
    <n v="27"/>
    <s v="Low"/>
    <s v="Medical"/>
    <s v="High"/>
    <s v="Female"/>
    <n v="53"/>
    <s v="Medium"/>
    <s v="Low"/>
    <s v="Research Scientist"/>
    <s v="Low"/>
    <s v="Single"/>
    <n v="2559"/>
    <n v="17852"/>
    <s v="Low"/>
    <n v="1"/>
    <x v="1"/>
    <n v="11"/>
    <s v="High"/>
    <s v="Excellent"/>
    <n v="0"/>
    <n v="6"/>
    <n v="3"/>
    <n v="2"/>
    <n v="6"/>
    <n v="5"/>
    <n v="1"/>
    <n v="1"/>
  </r>
  <r>
    <n v="622"/>
    <n v="36"/>
    <s v="36-45"/>
    <x v="1"/>
    <s v="Travel_Rarely"/>
    <n v="1389"/>
    <x v="0"/>
    <n v="1"/>
    <s v="Good"/>
    <s v="Life Sciences"/>
    <s v="Medium"/>
    <s v="Male"/>
    <n v="56"/>
    <s v="High"/>
    <s v="Medium"/>
    <s v="Sales Executive"/>
    <s v="Excellent"/>
    <s v="Married"/>
    <n v="6201"/>
    <n v="2823"/>
    <s v="Medium"/>
    <n v="1"/>
    <x v="0"/>
    <n v="14"/>
    <s v="High"/>
    <s v="Excellent"/>
    <n v="1"/>
    <n v="18"/>
    <n v="1"/>
    <n v="2"/>
    <n v="18"/>
    <n v="14"/>
    <n v="4"/>
    <n v="11"/>
  </r>
  <r>
    <n v="623"/>
    <n v="32"/>
    <s v="26-35"/>
    <x v="1"/>
    <s v="Travel_Rarely"/>
    <n v="1389"/>
    <x v="0"/>
    <n v="13"/>
    <s v="High"/>
    <s v="Life Sciences"/>
    <s v="Medium"/>
    <s v="Male"/>
    <n v="73"/>
    <s v="High"/>
    <s v="Medium"/>
    <s v="Sales Executive"/>
    <s v="Excellent"/>
    <s v="Divorced"/>
    <n v="4403"/>
    <n v="9250"/>
    <s v="Low"/>
    <n v="2"/>
    <x v="1"/>
    <n v="11"/>
    <s v="High"/>
    <s v="High"/>
    <n v="1"/>
    <n v="8"/>
    <n v="3"/>
    <n v="2"/>
    <n v="5"/>
    <n v="2"/>
    <n v="0"/>
    <n v="3"/>
  </r>
  <r>
    <n v="624"/>
    <n v="30"/>
    <s v="26-35"/>
    <x v="1"/>
    <s v="Travel_Frequently"/>
    <n v="1389"/>
    <x v="1"/>
    <n v="5"/>
    <s v="High"/>
    <s v="Life Sciences"/>
    <s v="Medium"/>
    <s v="Male"/>
    <n v="75"/>
    <s v="Medium"/>
    <s v="Low"/>
    <s v="Research Scientist"/>
    <s v="Excellent"/>
    <s v="Divorced"/>
    <n v="3761"/>
    <n v="2373"/>
    <s v="Low"/>
    <n v="9"/>
    <x v="1"/>
    <n v="12"/>
    <s v="High"/>
    <s v="Medium"/>
    <n v="1"/>
    <n v="10"/>
    <n v="3"/>
    <n v="2"/>
    <n v="5"/>
    <n v="4"/>
    <n v="0"/>
    <n v="3"/>
  </r>
  <r>
    <n v="625"/>
    <n v="53"/>
    <s v="46-55"/>
    <x v="1"/>
    <s v="Travel_Rarely"/>
    <n v="1389"/>
    <x v="0"/>
    <n v="7"/>
    <s v="Good"/>
    <s v="Marketing"/>
    <s v="Low"/>
    <s v="Female"/>
    <n v="78"/>
    <s v="Medium"/>
    <s v="High"/>
    <s v="Sales Executive"/>
    <s v="Excellent"/>
    <s v="Married"/>
    <n v="10934"/>
    <n v="20715"/>
    <s v="High"/>
    <n v="7"/>
    <x v="0"/>
    <n v="18"/>
    <s v="High"/>
    <s v="Excellent"/>
    <n v="1"/>
    <n v="35"/>
    <n v="3"/>
    <n v="3"/>
    <n v="5"/>
    <n v="2"/>
    <n v="0"/>
    <n v="4"/>
  </r>
  <r>
    <n v="626"/>
    <n v="45"/>
    <s v="36-45"/>
    <x v="1"/>
    <s v="Travel_Rarely"/>
    <n v="1389"/>
    <x v="0"/>
    <n v="9"/>
    <s v="Medium"/>
    <s v="Marketing"/>
    <s v="Excellent"/>
    <s v="Male"/>
    <n v="74"/>
    <s v="High"/>
    <s v="High"/>
    <s v="Sales Executive"/>
    <s v="Low"/>
    <s v="Divorced"/>
    <n v="10761"/>
    <n v="19239"/>
    <s v="High"/>
    <n v="4"/>
    <x v="0"/>
    <n v="12"/>
    <s v="High"/>
    <s v="High"/>
    <n v="1"/>
    <n v="18"/>
    <n v="2"/>
    <n v="3"/>
    <n v="5"/>
    <n v="4"/>
    <n v="0"/>
    <n v="2"/>
  </r>
  <r>
    <n v="627"/>
    <n v="32"/>
    <s v="26-35"/>
    <x v="1"/>
    <s v="Travel_Rarely"/>
    <n v="1389"/>
    <x v="1"/>
    <n v="8"/>
    <s v="Good"/>
    <s v="Medical"/>
    <s v="High"/>
    <s v="Female"/>
    <n v="91"/>
    <s v="Excellent"/>
    <s v="Medium"/>
    <s v="Research Scientist"/>
    <s v="High"/>
    <s v="Married"/>
    <n v="5175"/>
    <n v="22162"/>
    <s v="Medium"/>
    <n v="5"/>
    <x v="1"/>
    <n v="12"/>
    <s v="High"/>
    <s v="High"/>
    <n v="1"/>
    <n v="9"/>
    <n v="3"/>
    <n v="2"/>
    <n v="5"/>
    <n v="3"/>
    <n v="1"/>
    <n v="3"/>
  </r>
  <r>
    <n v="628"/>
    <n v="52"/>
    <s v="46-55"/>
    <x v="1"/>
    <s v="Travel_Frequently"/>
    <n v="1389"/>
    <x v="1"/>
    <n v="25"/>
    <s v="High"/>
    <s v="Medical"/>
    <s v="High"/>
    <s v="Female"/>
    <n v="81"/>
    <s v="Medium"/>
    <s v="Excellent"/>
    <s v="Manufacturing Director"/>
    <s v="Excellent"/>
    <s v="Married"/>
    <n v="13826"/>
    <n v="19028"/>
    <s v="High"/>
    <n v="3"/>
    <x v="1"/>
    <n v="22"/>
    <s v="Excellent"/>
    <s v="High"/>
    <n v="0"/>
    <n v="31"/>
    <n v="3"/>
    <n v="3"/>
    <n v="9"/>
    <n v="8"/>
    <n v="0"/>
    <n v="0"/>
  </r>
  <r>
    <n v="629"/>
    <n v="37"/>
    <s v="36-45"/>
    <x v="1"/>
    <s v="Travel_Rarely"/>
    <n v="1389"/>
    <x v="0"/>
    <n v="16"/>
    <s v="High"/>
    <s v="Marketing"/>
    <s v="Excellent"/>
    <s v="Male"/>
    <n v="66"/>
    <s v="Medium"/>
    <s v="Medium"/>
    <s v="Sales Executive"/>
    <s v="High"/>
    <s v="Divorced"/>
    <n v="6334"/>
    <n v="24558"/>
    <s v="Medium"/>
    <n v="4"/>
    <x v="1"/>
    <n v="19"/>
    <s v="High"/>
    <s v="Excellent"/>
    <n v="2"/>
    <n v="9"/>
    <n v="2"/>
    <n v="3"/>
    <n v="1"/>
    <n v="0"/>
    <n v="0"/>
    <n v="0"/>
  </r>
  <r>
    <n v="630"/>
    <n v="28"/>
    <s v="26-35"/>
    <x v="1"/>
    <s v="Travel_Rarely"/>
    <n v="1389"/>
    <x v="2"/>
    <n v="8"/>
    <s v="Good"/>
    <s v="Medical"/>
    <s v="Medium"/>
    <s v="Male"/>
    <n v="63"/>
    <s v="Medium"/>
    <s v="Low"/>
    <s v="Human Resources"/>
    <s v="Excellent"/>
    <s v="Divorced"/>
    <n v="4936"/>
    <n v="23965"/>
    <s v="Low"/>
    <n v="1"/>
    <x v="1"/>
    <n v="13"/>
    <s v="High"/>
    <s v="Excellent"/>
    <n v="1"/>
    <n v="6"/>
    <n v="6"/>
    <n v="3"/>
    <n v="5"/>
    <n v="1"/>
    <n v="0"/>
    <n v="4"/>
  </r>
  <r>
    <n v="631"/>
    <n v="22"/>
    <s v="18-25"/>
    <x v="1"/>
    <s v="Travel_Rarely"/>
    <n v="1389"/>
    <x v="1"/>
    <n v="1"/>
    <s v="Good"/>
    <s v="Life Sciences"/>
    <s v="Excellent"/>
    <s v="Male"/>
    <n v="33"/>
    <s v="Medium"/>
    <s v="Medium"/>
    <s v="Manufacturing Director"/>
    <s v="Excellent"/>
    <s v="Married"/>
    <n v="4775"/>
    <n v="19146"/>
    <s v="Low"/>
    <n v="6"/>
    <x v="1"/>
    <n v="22"/>
    <s v="Excellent"/>
    <s v="Low"/>
    <n v="2"/>
    <n v="4"/>
    <n v="2"/>
    <n v="1"/>
    <n v="2"/>
    <n v="2"/>
    <n v="2"/>
    <n v="2"/>
  </r>
  <r>
    <n v="632"/>
    <n v="44"/>
    <s v="36-45"/>
    <x v="1"/>
    <s v="Travel_Rarely"/>
    <n v="1389"/>
    <x v="1"/>
    <n v="8"/>
    <s v="High"/>
    <s v="Life Sciences"/>
    <s v="Low"/>
    <s v="Male"/>
    <n v="62"/>
    <s v="Excellent"/>
    <s v="Low"/>
    <s v="Laboratory Technician"/>
    <s v="Excellent"/>
    <s v="Married"/>
    <n v="2818"/>
    <n v="5044"/>
    <s v="Low"/>
    <n v="2"/>
    <x v="0"/>
    <n v="24"/>
    <s v="Excellent"/>
    <s v="High"/>
    <n v="1"/>
    <n v="10"/>
    <n v="2"/>
    <n v="2"/>
    <n v="3"/>
    <n v="2"/>
    <n v="0"/>
    <n v="2"/>
  </r>
  <r>
    <n v="633"/>
    <n v="42"/>
    <s v="36-45"/>
    <x v="1"/>
    <s v="Travel_Frequently"/>
    <n v="1389"/>
    <x v="1"/>
    <n v="2"/>
    <s v="Low"/>
    <s v="Medical"/>
    <s v="Medium"/>
    <s v="Male"/>
    <n v="35"/>
    <s v="High"/>
    <s v="Low"/>
    <s v="Research Scientist"/>
    <s v="Excellent"/>
    <s v="Single"/>
    <n v="2515"/>
    <n v="9068"/>
    <s v="Low"/>
    <n v="5"/>
    <x v="0"/>
    <n v="14"/>
    <s v="High"/>
    <s v="Excellent"/>
    <n v="0"/>
    <n v="8"/>
    <n v="2"/>
    <n v="3"/>
    <n v="2"/>
    <n v="1"/>
    <n v="2"/>
    <n v="2"/>
  </r>
  <r>
    <n v="634"/>
    <n v="36"/>
    <s v="36-45"/>
    <x v="1"/>
    <s v="Travel_Rarely"/>
    <n v="1389"/>
    <x v="2"/>
    <n v="8"/>
    <s v="Medium"/>
    <s v="Life Sciences"/>
    <s v="Low"/>
    <s v="Male"/>
    <n v="77"/>
    <s v="Medium"/>
    <s v="Low"/>
    <s v="Human Resources"/>
    <s v="Low"/>
    <s v="Married"/>
    <n v="2342"/>
    <n v="8635"/>
    <s v="Low"/>
    <n v="0"/>
    <x v="1"/>
    <n v="21"/>
    <s v="Excellent"/>
    <s v="High"/>
    <n v="0"/>
    <n v="6"/>
    <n v="3"/>
    <n v="3"/>
    <n v="5"/>
    <n v="4"/>
    <n v="0"/>
    <n v="3"/>
  </r>
  <r>
    <n v="635"/>
    <n v="25"/>
    <s v="18-25"/>
    <x v="1"/>
    <s v="Travel_Rarely"/>
    <n v="1389"/>
    <x v="0"/>
    <n v="3"/>
    <s v="Low"/>
    <s v="Other"/>
    <s v="High"/>
    <s v="Male"/>
    <n v="98"/>
    <s v="High"/>
    <s v="Medium"/>
    <s v="Sales Executive"/>
    <s v="Low"/>
    <s v="Married"/>
    <n v="4194"/>
    <n v="14363"/>
    <s v="Low"/>
    <n v="1"/>
    <x v="0"/>
    <n v="18"/>
    <s v="High"/>
    <s v="Excellent"/>
    <n v="0"/>
    <n v="5"/>
    <n v="3"/>
    <n v="3"/>
    <n v="5"/>
    <n v="3"/>
    <n v="0"/>
    <n v="3"/>
  </r>
  <r>
    <n v="636"/>
    <n v="35"/>
    <s v="26-35"/>
    <x v="1"/>
    <s v="Travel_Rarely"/>
    <n v="1389"/>
    <x v="1"/>
    <n v="9"/>
    <s v="Medium"/>
    <s v="Life Sciences"/>
    <s v="Excellent"/>
    <s v="Female"/>
    <n v="66"/>
    <s v="Medium"/>
    <s v="High"/>
    <s v="Manufacturing Director"/>
    <s v="High"/>
    <s v="Married"/>
    <n v="10685"/>
    <n v="23457"/>
    <s v="High"/>
    <n v="1"/>
    <x v="0"/>
    <n v="20"/>
    <s v="Excellent"/>
    <s v="Medium"/>
    <n v="1"/>
    <n v="17"/>
    <n v="2"/>
    <n v="3"/>
    <n v="17"/>
    <n v="14"/>
    <n v="5"/>
    <n v="15"/>
  </r>
  <r>
    <n v="637"/>
    <n v="35"/>
    <s v="26-35"/>
    <x v="0"/>
    <s v="Travel_Frequently"/>
    <n v="1389"/>
    <x v="1"/>
    <n v="25"/>
    <s v="High"/>
    <s v="Life Sciences"/>
    <s v="Excellent"/>
    <s v="Female"/>
    <n v="96"/>
    <s v="High"/>
    <s v="Low"/>
    <s v="Research Scientist"/>
    <s v="Medium"/>
    <s v="Divorced"/>
    <n v="2022"/>
    <n v="16612"/>
    <s v="Low"/>
    <n v="1"/>
    <x v="0"/>
    <n v="19"/>
    <s v="High"/>
    <s v="Low"/>
    <n v="1"/>
    <n v="10"/>
    <n v="3"/>
    <n v="2"/>
    <n v="10"/>
    <n v="2"/>
    <n v="7"/>
    <n v="8"/>
  </r>
  <r>
    <n v="638"/>
    <n v="32"/>
    <s v="26-35"/>
    <x v="1"/>
    <s v="Non-Travel"/>
    <n v="1389"/>
    <x v="1"/>
    <n v="1"/>
    <s v="Medium"/>
    <s v="Life Sciences"/>
    <s v="Excellent"/>
    <s v="Male"/>
    <n v="61"/>
    <s v="High"/>
    <s v="Low"/>
    <s v="Laboratory Technician"/>
    <s v="Excellent"/>
    <s v="Divorced"/>
    <n v="2314"/>
    <n v="9148"/>
    <s v="Low"/>
    <n v="0"/>
    <x v="1"/>
    <n v="12"/>
    <s v="High"/>
    <s v="Medium"/>
    <n v="1"/>
    <n v="4"/>
    <n v="2"/>
    <n v="3"/>
    <n v="3"/>
    <n v="0"/>
    <n v="0"/>
    <n v="2"/>
  </r>
  <r>
    <n v="639"/>
    <n v="25"/>
    <s v="18-25"/>
    <x v="1"/>
    <s v="Travel_Rarely"/>
    <n v="1389"/>
    <x v="0"/>
    <n v="4"/>
    <s v="Low"/>
    <s v="Marketing"/>
    <s v="High"/>
    <s v="Male"/>
    <n v="87"/>
    <s v="Medium"/>
    <s v="Medium"/>
    <s v="Sales Executive"/>
    <s v="Low"/>
    <s v="Married"/>
    <n v="4256"/>
    <n v="18154"/>
    <s v="Low"/>
    <n v="1"/>
    <x v="1"/>
    <n v="12"/>
    <s v="High"/>
    <s v="Low"/>
    <n v="0"/>
    <n v="5"/>
    <n v="1"/>
    <n v="4"/>
    <n v="5"/>
    <n v="2"/>
    <n v="0"/>
    <n v="3"/>
  </r>
  <r>
    <n v="640"/>
    <n v="49"/>
    <s v="46-55"/>
    <x v="1"/>
    <s v="Travel_Rarely"/>
    <n v="1389"/>
    <x v="1"/>
    <n v="1"/>
    <s v="Medium"/>
    <s v="Technical Degree"/>
    <s v="High"/>
    <s v="Female"/>
    <n v="36"/>
    <s v="High"/>
    <s v="Low"/>
    <s v="Research Scientist"/>
    <s v="Low"/>
    <s v="Married"/>
    <n v="3580"/>
    <n v="10554"/>
    <s v="Low"/>
    <n v="2"/>
    <x v="1"/>
    <n v="16"/>
    <s v="High"/>
    <s v="Medium"/>
    <n v="1"/>
    <n v="7"/>
    <n v="2"/>
    <n v="3"/>
    <n v="4"/>
    <n v="2"/>
    <n v="0"/>
    <n v="2"/>
  </r>
  <r>
    <n v="641"/>
    <n v="24"/>
    <s v="18-25"/>
    <x v="1"/>
    <s v="Non-Travel"/>
    <n v="1389"/>
    <x v="1"/>
    <n v="4"/>
    <s v="Low"/>
    <s v="Life Sciences"/>
    <s v="Low"/>
    <s v="Male"/>
    <n v="46"/>
    <s v="Medium"/>
    <s v="Low"/>
    <s v="Laboratory Technician"/>
    <s v="Excellent"/>
    <s v="Married"/>
    <n v="3162"/>
    <n v="10778"/>
    <s v="Low"/>
    <n v="0"/>
    <x v="1"/>
    <n v="17"/>
    <s v="High"/>
    <s v="Excellent"/>
    <n v="0"/>
    <n v="6"/>
    <n v="2"/>
    <n v="2"/>
    <n v="5"/>
    <n v="2"/>
    <n v="3"/>
    <n v="4"/>
  </r>
  <r>
    <n v="642"/>
    <n v="32"/>
    <s v="26-35"/>
    <x v="1"/>
    <s v="Travel_Frequently"/>
    <n v="1389"/>
    <x v="0"/>
    <n v="5"/>
    <s v="Good"/>
    <s v="Life Sciences"/>
    <s v="Medium"/>
    <s v="Male"/>
    <n v="48"/>
    <s v="High"/>
    <s v="Medium"/>
    <s v="Sales Executive"/>
    <s v="Medium"/>
    <s v="Married"/>
    <n v="6524"/>
    <n v="8891"/>
    <s v="Medium"/>
    <n v="1"/>
    <x v="1"/>
    <n v="14"/>
    <s v="High"/>
    <s v="Excellent"/>
    <n v="1"/>
    <n v="10"/>
    <n v="3"/>
    <n v="3"/>
    <n v="10"/>
    <n v="8"/>
    <n v="5"/>
    <n v="3"/>
  </r>
  <r>
    <n v="643"/>
    <n v="38"/>
    <s v="36-45"/>
    <x v="1"/>
    <s v="Travel_Rarely"/>
    <n v="1389"/>
    <x v="0"/>
    <n v="9"/>
    <s v="Medium"/>
    <s v="Marketing"/>
    <s v="Medium"/>
    <s v="Male"/>
    <n v="98"/>
    <s v="Medium"/>
    <s v="Low"/>
    <s v="Sales Representative"/>
    <s v="Medium"/>
    <s v="Married"/>
    <n v="2899"/>
    <n v="12102"/>
    <s v="Low"/>
    <n v="0"/>
    <x v="1"/>
    <n v="19"/>
    <s v="High"/>
    <s v="Excellent"/>
    <n v="1"/>
    <n v="3"/>
    <n v="3"/>
    <n v="3"/>
    <n v="2"/>
    <n v="2"/>
    <n v="1"/>
    <n v="2"/>
  </r>
  <r>
    <n v="644"/>
    <n v="42"/>
    <s v="36-45"/>
    <x v="1"/>
    <s v="Travel_Rarely"/>
    <n v="1389"/>
    <x v="1"/>
    <n v="3"/>
    <s v="Medium"/>
    <s v="Life Sciences"/>
    <s v="High"/>
    <s v="Female"/>
    <n v="95"/>
    <s v="Excellent"/>
    <s v="Medium"/>
    <s v="Laboratory Technician"/>
    <s v="Excellent"/>
    <s v="Married"/>
    <n v="5231"/>
    <n v="23726"/>
    <s v="Medium"/>
    <n v="2"/>
    <x v="0"/>
    <n v="13"/>
    <s v="High"/>
    <s v="Medium"/>
    <n v="1"/>
    <n v="17"/>
    <n v="1"/>
    <n v="2"/>
    <n v="5"/>
    <n v="3"/>
    <n v="1"/>
    <n v="3"/>
  </r>
  <r>
    <n v="645"/>
    <n v="31"/>
    <s v="26-35"/>
    <x v="1"/>
    <s v="Travel_Rarely"/>
    <n v="1389"/>
    <x v="1"/>
    <n v="11"/>
    <s v="High"/>
    <s v="Life Sciences"/>
    <s v="Excellent"/>
    <s v="Male"/>
    <n v="48"/>
    <s v="High"/>
    <s v="Low"/>
    <s v="Research Scientist"/>
    <s v="Excellent"/>
    <s v="Married"/>
    <n v="2356"/>
    <n v="14871"/>
    <s v="Low"/>
    <n v="3"/>
    <x v="0"/>
    <n v="19"/>
    <s v="High"/>
    <s v="Medium"/>
    <n v="1"/>
    <n v="8"/>
    <n v="2"/>
    <n v="3"/>
    <n v="6"/>
    <n v="4"/>
    <n v="0"/>
    <n v="2"/>
  </r>
  <r>
    <n v="646"/>
    <n v="29"/>
    <s v="26-35"/>
    <x v="0"/>
    <s v="Travel_Rarely"/>
    <n v="1389"/>
    <x v="0"/>
    <n v="1"/>
    <s v="Medium"/>
    <s v="Medical"/>
    <s v="Medium"/>
    <s v="Female"/>
    <n v="48"/>
    <s v="Medium"/>
    <s v="Low"/>
    <s v="Sales Representative"/>
    <s v="High"/>
    <s v="Divorced"/>
    <n v="2800"/>
    <n v="23522"/>
    <s v="Low"/>
    <n v="6"/>
    <x v="0"/>
    <n v="19"/>
    <s v="High"/>
    <s v="High"/>
    <n v="3"/>
    <n v="5"/>
    <n v="3"/>
    <n v="3"/>
    <n v="3"/>
    <n v="2"/>
    <n v="0"/>
    <n v="2"/>
  </r>
  <r>
    <n v="647"/>
    <n v="53"/>
    <s v="46-55"/>
    <x v="1"/>
    <s v="Travel_Rarely"/>
    <n v="1389"/>
    <x v="0"/>
    <n v="8"/>
    <s v="Medium"/>
    <s v="Marketing"/>
    <s v="Low"/>
    <s v="Male"/>
    <n v="73"/>
    <s v="High"/>
    <s v="Excellent"/>
    <s v="Sales Executive"/>
    <s v="Excellent"/>
    <s v="Married"/>
    <n v="11836"/>
    <n v="22789"/>
    <s v="High"/>
    <n v="5"/>
    <x v="1"/>
    <n v="14"/>
    <s v="High"/>
    <s v="High"/>
    <n v="1"/>
    <n v="28"/>
    <n v="3"/>
    <n v="3"/>
    <n v="2"/>
    <n v="0"/>
    <n v="2"/>
    <n v="2"/>
  </r>
  <r>
    <n v="648"/>
    <n v="35"/>
    <s v="26-35"/>
    <x v="1"/>
    <s v="Travel_Rarely"/>
    <n v="1389"/>
    <x v="1"/>
    <n v="25"/>
    <s v="Medium"/>
    <s v="Technical Degree"/>
    <s v="Excellent"/>
    <s v="Male"/>
    <n v="78"/>
    <s v="Medium"/>
    <s v="High"/>
    <s v="Manufacturing Director"/>
    <s v="Medium"/>
    <s v="Married"/>
    <n v="10903"/>
    <n v="9129"/>
    <s v="High"/>
    <n v="3"/>
    <x v="1"/>
    <n v="16"/>
    <s v="High"/>
    <s v="Low"/>
    <n v="0"/>
    <n v="16"/>
    <n v="2"/>
    <n v="3"/>
    <n v="13"/>
    <n v="10"/>
    <n v="4"/>
    <n v="8"/>
  </r>
  <r>
    <n v="649"/>
    <n v="37"/>
    <s v="36-45"/>
    <x v="1"/>
    <s v="Travel_Frequently"/>
    <n v="1389"/>
    <x v="0"/>
    <n v="21"/>
    <s v="Good"/>
    <s v="Medical"/>
    <s v="High"/>
    <s v="Female"/>
    <n v="54"/>
    <s v="High"/>
    <s v="Low"/>
    <s v="Sales Representative"/>
    <s v="Excellent"/>
    <s v="Married"/>
    <n v="2973"/>
    <n v="21222"/>
    <s v="Low"/>
    <n v="5"/>
    <x v="1"/>
    <n v="15"/>
    <s v="High"/>
    <s v="Medium"/>
    <n v="1"/>
    <n v="10"/>
    <n v="3"/>
    <n v="3"/>
    <n v="5"/>
    <n v="4"/>
    <n v="0"/>
    <n v="0"/>
  </r>
  <r>
    <n v="650"/>
    <n v="53"/>
    <s v="46-55"/>
    <x v="1"/>
    <s v="Travel_Rarely"/>
    <n v="1389"/>
    <x v="1"/>
    <n v="23"/>
    <s v="High"/>
    <s v="Life Sciences"/>
    <s v="Excellent"/>
    <s v="Female"/>
    <n v="72"/>
    <s v="High"/>
    <s v="Excellent"/>
    <s v="Research Director"/>
    <s v="Excellent"/>
    <s v="Single"/>
    <n v="14275"/>
    <n v="20206"/>
    <s v="High"/>
    <n v="6"/>
    <x v="1"/>
    <n v="18"/>
    <s v="High"/>
    <s v="High"/>
    <n v="0"/>
    <n v="33"/>
    <n v="0"/>
    <n v="3"/>
    <n v="12"/>
    <n v="9"/>
    <n v="3"/>
    <n v="8"/>
  </r>
  <r>
    <n v="651"/>
    <n v="43"/>
    <s v="36-45"/>
    <x v="1"/>
    <s v="Travel_Frequently"/>
    <n v="1389"/>
    <x v="1"/>
    <n v="1"/>
    <s v="Medium"/>
    <s v="Life Sciences"/>
    <s v="Excellent"/>
    <s v="Female"/>
    <n v="33"/>
    <s v="High"/>
    <s v="Medium"/>
    <s v="Healthcare Representative"/>
    <s v="Excellent"/>
    <s v="Married"/>
    <n v="5562"/>
    <n v="21782"/>
    <s v="Medium"/>
    <n v="4"/>
    <x v="1"/>
    <n v="13"/>
    <s v="High"/>
    <s v="Medium"/>
    <n v="1"/>
    <n v="12"/>
    <n v="2"/>
    <n v="2"/>
    <n v="5"/>
    <n v="2"/>
    <n v="2"/>
    <n v="2"/>
  </r>
  <r>
    <n v="652"/>
    <n v="47"/>
    <s v="46-55"/>
    <x v="1"/>
    <s v="Travel_Rarely"/>
    <n v="1389"/>
    <x v="0"/>
    <n v="2"/>
    <s v="Good"/>
    <s v="Marketing"/>
    <s v="High"/>
    <s v="Female"/>
    <n v="35"/>
    <s v="High"/>
    <s v="Medium"/>
    <s v="Sales Executive"/>
    <s v="Excellent"/>
    <s v="Married"/>
    <n v="4537"/>
    <n v="17783"/>
    <s v="Low"/>
    <n v="0"/>
    <x v="0"/>
    <n v="22"/>
    <s v="Excellent"/>
    <s v="Low"/>
    <n v="1"/>
    <n v="8"/>
    <n v="2"/>
    <n v="3"/>
    <n v="7"/>
    <n v="6"/>
    <n v="7"/>
    <n v="7"/>
  </r>
  <r>
    <n v="653"/>
    <n v="37"/>
    <s v="36-45"/>
    <x v="1"/>
    <s v="Non-Travel"/>
    <n v="1389"/>
    <x v="0"/>
    <n v="19"/>
    <s v="Good"/>
    <s v="Medical"/>
    <s v="Low"/>
    <s v="Male"/>
    <n v="32"/>
    <s v="High"/>
    <s v="High"/>
    <s v="Sales Executive"/>
    <s v="Medium"/>
    <s v="Single"/>
    <n v="7642"/>
    <n v="4814"/>
    <s v="Medium"/>
    <n v="1"/>
    <x v="0"/>
    <n v="13"/>
    <s v="High"/>
    <s v="Excellent"/>
    <n v="0"/>
    <n v="10"/>
    <n v="2"/>
    <n v="3"/>
    <n v="10"/>
    <n v="0"/>
    <n v="0"/>
    <n v="9"/>
  </r>
  <r>
    <n v="654"/>
    <n v="50"/>
    <s v="46-55"/>
    <x v="1"/>
    <s v="Non-Travel"/>
    <n v="1389"/>
    <x v="1"/>
    <n v="2"/>
    <s v="High"/>
    <s v="Life Sciences"/>
    <s v="Low"/>
    <s v="Male"/>
    <n v="98"/>
    <s v="High"/>
    <s v="Excellent"/>
    <s v="Manager"/>
    <s v="Low"/>
    <s v="Divorced"/>
    <n v="17924"/>
    <n v="4544"/>
    <s v="High"/>
    <n v="1"/>
    <x v="1"/>
    <n v="11"/>
    <s v="High"/>
    <s v="Excellent"/>
    <n v="1"/>
    <n v="31"/>
    <n v="3"/>
    <n v="3"/>
    <n v="31"/>
    <n v="6"/>
    <n v="14"/>
    <n v="7"/>
  </r>
  <r>
    <n v="655"/>
    <n v="39"/>
    <s v="36-45"/>
    <x v="1"/>
    <s v="Travel_Rarely"/>
    <n v="1389"/>
    <x v="2"/>
    <n v="2"/>
    <s v="Medium"/>
    <s v="Life Sciences"/>
    <s v="Excellent"/>
    <s v="Female"/>
    <n v="42"/>
    <s v="Medium"/>
    <s v="Medium"/>
    <s v="Human Resources"/>
    <s v="Excellent"/>
    <s v="Married"/>
    <n v="5204"/>
    <n v="7790"/>
    <s v="Medium"/>
    <n v="8"/>
    <x v="1"/>
    <n v="11"/>
    <s v="High"/>
    <s v="High"/>
    <n v="2"/>
    <n v="13"/>
    <n v="2"/>
    <n v="3"/>
    <n v="5"/>
    <n v="4"/>
    <n v="0"/>
    <n v="4"/>
  </r>
  <r>
    <n v="656"/>
    <n v="33"/>
    <s v="26-35"/>
    <x v="1"/>
    <s v="Travel_Rarely"/>
    <n v="1389"/>
    <x v="2"/>
    <n v="3"/>
    <s v="Good"/>
    <s v="Human Resources"/>
    <s v="Excellent"/>
    <s v="Male"/>
    <n v="57"/>
    <s v="High"/>
    <s v="Low"/>
    <s v="Human Resources"/>
    <s v="Medium"/>
    <s v="Divorced"/>
    <n v="2277"/>
    <n v="22650"/>
    <s v="Low"/>
    <n v="3"/>
    <x v="0"/>
    <n v="11"/>
    <s v="High"/>
    <s v="High"/>
    <n v="1"/>
    <n v="7"/>
    <n v="4"/>
    <n v="4"/>
    <n v="4"/>
    <n v="3"/>
    <n v="0"/>
    <n v="3"/>
  </r>
  <r>
    <n v="657"/>
    <n v="32"/>
    <s v="26-35"/>
    <x v="0"/>
    <s v="Travel_Rarely"/>
    <n v="1389"/>
    <x v="1"/>
    <n v="25"/>
    <s v="High"/>
    <s v="Life Sciences"/>
    <s v="Low"/>
    <s v="Male"/>
    <n v="87"/>
    <s v="High"/>
    <s v="Low"/>
    <s v="Laboratory Technician"/>
    <s v="Excellent"/>
    <s v="Single"/>
    <n v="2795"/>
    <n v="18016"/>
    <s v="Low"/>
    <n v="1"/>
    <x v="0"/>
    <n v="24"/>
    <s v="Excellent"/>
    <s v="High"/>
    <n v="0"/>
    <n v="1"/>
    <n v="2"/>
    <n v="1"/>
    <n v="1"/>
    <n v="0"/>
    <n v="0"/>
    <n v="1"/>
  </r>
  <r>
    <n v="658"/>
    <n v="29"/>
    <s v="26-35"/>
    <x v="1"/>
    <s v="Travel_Rarely"/>
    <n v="1389"/>
    <x v="1"/>
    <n v="7"/>
    <s v="Low"/>
    <s v="Medical"/>
    <s v="Low"/>
    <s v="Female"/>
    <n v="62"/>
    <s v="Medium"/>
    <s v="Low"/>
    <s v="Laboratory Technician"/>
    <s v="Excellent"/>
    <s v="Divorced"/>
    <n v="2532"/>
    <n v="6054"/>
    <s v="Low"/>
    <n v="6"/>
    <x v="1"/>
    <n v="14"/>
    <s v="High"/>
    <s v="High"/>
    <n v="3"/>
    <n v="8"/>
    <n v="5"/>
    <n v="3"/>
    <n v="4"/>
    <n v="3"/>
    <n v="0"/>
    <n v="3"/>
  </r>
  <r>
    <n v="659"/>
    <n v="44"/>
    <s v="36-45"/>
    <x v="1"/>
    <s v="Travel_Rarely"/>
    <n v="1389"/>
    <x v="1"/>
    <n v="9"/>
    <s v="Good"/>
    <s v="Life Sciences"/>
    <s v="Medium"/>
    <s v="Male"/>
    <n v="61"/>
    <s v="High"/>
    <s v="Low"/>
    <s v="Research Scientist"/>
    <s v="Low"/>
    <s v="Married"/>
    <n v="2559"/>
    <n v="7508"/>
    <s v="Low"/>
    <n v="1"/>
    <x v="0"/>
    <n v="13"/>
    <s v="High"/>
    <s v="Excellent"/>
    <n v="0"/>
    <n v="8"/>
    <n v="0"/>
    <n v="3"/>
    <n v="8"/>
    <n v="7"/>
    <n v="7"/>
    <n v="1"/>
  </r>
  <r>
    <n v="660"/>
    <n v="28"/>
    <s v="26-35"/>
    <x v="1"/>
    <s v="Travel_Rarely"/>
    <n v="1389"/>
    <x v="0"/>
    <n v="5"/>
    <s v="High"/>
    <s v="Medical"/>
    <s v="Low"/>
    <s v="Male"/>
    <n v="98"/>
    <s v="High"/>
    <s v="Medium"/>
    <s v="Sales Executive"/>
    <s v="Excellent"/>
    <s v="Single"/>
    <n v="4908"/>
    <n v="24252"/>
    <s v="Low"/>
    <n v="1"/>
    <x v="1"/>
    <n v="14"/>
    <s v="High"/>
    <s v="Medium"/>
    <n v="0"/>
    <n v="4"/>
    <n v="3"/>
    <n v="3"/>
    <n v="4"/>
    <n v="2"/>
    <n v="0"/>
    <n v="2"/>
  </r>
  <r>
    <n v="661"/>
    <n v="58"/>
    <s v="55+"/>
    <x v="0"/>
    <s v="Travel_Frequently"/>
    <n v="1389"/>
    <x v="1"/>
    <n v="2"/>
    <s v="Low"/>
    <s v="Life Sciences"/>
    <s v="Excellent"/>
    <s v="Male"/>
    <n v="57"/>
    <s v="Medium"/>
    <s v="Low"/>
    <s v="Laboratory Technician"/>
    <s v="Excellent"/>
    <s v="Divorced"/>
    <n v="2380"/>
    <n v="13384"/>
    <s v="Low"/>
    <n v="9"/>
    <x v="0"/>
    <n v="14"/>
    <s v="High"/>
    <s v="Excellent"/>
    <n v="1"/>
    <n v="3"/>
    <n v="3"/>
    <n v="2"/>
    <n v="1"/>
    <n v="0"/>
    <n v="0"/>
    <n v="0"/>
  </r>
  <r>
    <n v="662"/>
    <n v="43"/>
    <s v="36-45"/>
    <x v="1"/>
    <s v="Travel_Rarely"/>
    <n v="1389"/>
    <x v="1"/>
    <n v="8"/>
    <s v="Medium"/>
    <s v="Life Sciences"/>
    <s v="Low"/>
    <s v="Female"/>
    <n v="55"/>
    <s v="High"/>
    <s v="Medium"/>
    <s v="Manufacturing Director"/>
    <s v="Medium"/>
    <s v="Divorced"/>
    <n v="4765"/>
    <n v="23814"/>
    <s v="Low"/>
    <n v="4"/>
    <x v="1"/>
    <n v="21"/>
    <s v="Excellent"/>
    <s v="High"/>
    <n v="1"/>
    <n v="4"/>
    <n v="2"/>
    <n v="4"/>
    <n v="1"/>
    <n v="0"/>
    <n v="0"/>
    <n v="0"/>
  </r>
  <r>
    <n v="663"/>
    <n v="20"/>
    <s v="18-25"/>
    <x v="0"/>
    <s v="Travel_Rarely"/>
    <n v="1389"/>
    <x v="0"/>
    <n v="2"/>
    <s v="Medium"/>
    <s v="Medical"/>
    <s v="High"/>
    <s v="Female"/>
    <n v="49"/>
    <s v="Medium"/>
    <s v="Low"/>
    <s v="Sales Representative"/>
    <s v="High"/>
    <s v="Single"/>
    <n v="2044"/>
    <n v="22052"/>
    <s v="Low"/>
    <n v="1"/>
    <x v="1"/>
    <n v="13"/>
    <s v="High"/>
    <s v="Excellent"/>
    <n v="0"/>
    <n v="2"/>
    <n v="3"/>
    <n v="2"/>
    <n v="2"/>
    <n v="2"/>
    <n v="0"/>
    <n v="2"/>
  </r>
  <r>
    <n v="664"/>
    <n v="21"/>
    <s v="18-25"/>
    <x v="0"/>
    <s v="Travel_Rarely"/>
    <n v="1389"/>
    <x v="1"/>
    <n v="18"/>
    <s v="Low"/>
    <s v="Other"/>
    <s v="Excellent"/>
    <s v="Female"/>
    <n v="65"/>
    <s v="High"/>
    <s v="Low"/>
    <s v="Research Scientist"/>
    <s v="Excellent"/>
    <s v="Single"/>
    <n v="2693"/>
    <n v="8870"/>
    <s v="Low"/>
    <n v="1"/>
    <x v="1"/>
    <n v="19"/>
    <s v="High"/>
    <s v="Low"/>
    <n v="0"/>
    <n v="1"/>
    <n v="3"/>
    <n v="2"/>
    <n v="1"/>
    <n v="0"/>
    <n v="0"/>
    <n v="0"/>
  </r>
  <r>
    <n v="665"/>
    <n v="36"/>
    <s v="36-45"/>
    <x v="1"/>
    <s v="Travel_Rarely"/>
    <n v="1389"/>
    <x v="1"/>
    <n v="14"/>
    <s v="Low"/>
    <s v="Life Sciences"/>
    <s v="High"/>
    <s v="Male"/>
    <n v="68"/>
    <s v="High"/>
    <s v="Medium"/>
    <s v="Healthcare Representative"/>
    <s v="Excellent"/>
    <s v="Married"/>
    <n v="6586"/>
    <n v="4821"/>
    <s v="Medium"/>
    <n v="0"/>
    <x v="0"/>
    <n v="17"/>
    <s v="High"/>
    <s v="Low"/>
    <n v="1"/>
    <n v="17"/>
    <n v="2"/>
    <n v="2"/>
    <n v="16"/>
    <n v="8"/>
    <n v="4"/>
    <n v="11"/>
  </r>
  <r>
    <n v="666"/>
    <n v="47"/>
    <s v="46-55"/>
    <x v="1"/>
    <s v="Travel_Rarely"/>
    <n v="1389"/>
    <x v="0"/>
    <n v="2"/>
    <s v="High"/>
    <s v="Life Sciences"/>
    <s v="Excellent"/>
    <s v="Female"/>
    <n v="65"/>
    <s v="Medium"/>
    <s v="Low"/>
    <s v="Sales Representative"/>
    <s v="Excellent"/>
    <s v="Single"/>
    <n v="3294"/>
    <n v="13137"/>
    <s v="Low"/>
    <n v="1"/>
    <x v="0"/>
    <n v="18"/>
    <s v="High"/>
    <s v="Low"/>
    <n v="0"/>
    <n v="3"/>
    <n v="3"/>
    <n v="2"/>
    <n v="3"/>
    <n v="2"/>
    <n v="1"/>
    <n v="2"/>
  </r>
  <r>
    <n v="667"/>
    <n v="22"/>
    <s v="18-25"/>
    <x v="0"/>
    <s v="Travel_Rarely"/>
    <n v="1389"/>
    <x v="1"/>
    <n v="3"/>
    <s v="Low"/>
    <s v="Life Sciences"/>
    <s v="Medium"/>
    <s v="Female"/>
    <n v="34"/>
    <s v="High"/>
    <s v="Medium"/>
    <s v="Manufacturing Director"/>
    <s v="High"/>
    <s v="Married"/>
    <n v="4171"/>
    <n v="10022"/>
    <s v="Low"/>
    <n v="0"/>
    <x v="0"/>
    <n v="19"/>
    <s v="High"/>
    <s v="Low"/>
    <n v="1"/>
    <n v="4"/>
    <n v="3"/>
    <n v="4"/>
    <n v="3"/>
    <n v="2"/>
    <n v="0"/>
    <n v="2"/>
  </r>
  <r>
    <n v="668"/>
    <n v="41"/>
    <s v="36-45"/>
    <x v="0"/>
    <s v="Travel_Rarely"/>
    <n v="1389"/>
    <x v="1"/>
    <n v="2"/>
    <s v="High"/>
    <s v="Life Sciences"/>
    <s v="Medium"/>
    <s v="Female"/>
    <n v="57"/>
    <s v="Low"/>
    <s v="Low"/>
    <s v="Laboratory Technician"/>
    <s v="Excellent"/>
    <s v="Divorced"/>
    <n v="2778"/>
    <n v="17725"/>
    <s v="Low"/>
    <n v="4"/>
    <x v="0"/>
    <n v="13"/>
    <s v="High"/>
    <s v="High"/>
    <n v="1"/>
    <n v="10"/>
    <n v="1"/>
    <n v="2"/>
    <n v="7"/>
    <n v="7"/>
    <n v="1"/>
    <n v="0"/>
  </r>
  <r>
    <n v="669"/>
    <n v="28"/>
    <s v="26-35"/>
    <x v="1"/>
    <s v="Travel_Rarely"/>
    <n v="1389"/>
    <x v="1"/>
    <n v="9"/>
    <s v="Medium"/>
    <s v="Medical"/>
    <s v="High"/>
    <s v="Female"/>
    <n v="77"/>
    <s v="High"/>
    <s v="Low"/>
    <s v="Research Scientist"/>
    <s v="High"/>
    <s v="Divorced"/>
    <n v="2377"/>
    <n v="9834"/>
    <s v="Low"/>
    <n v="5"/>
    <x v="1"/>
    <n v="18"/>
    <s v="High"/>
    <s v="Medium"/>
    <n v="1"/>
    <n v="6"/>
    <n v="2"/>
    <n v="3"/>
    <n v="2"/>
    <n v="2"/>
    <n v="2"/>
    <n v="2"/>
  </r>
  <r>
    <n v="670"/>
    <n v="39"/>
    <s v="36-45"/>
    <x v="0"/>
    <s v="Travel_Rarely"/>
    <n v="1389"/>
    <x v="1"/>
    <n v="6"/>
    <s v="Medium"/>
    <s v="Medical"/>
    <s v="Excellent"/>
    <s v="Male"/>
    <n v="70"/>
    <s v="High"/>
    <s v="Low"/>
    <s v="Laboratory Technician"/>
    <s v="Low"/>
    <s v="Married"/>
    <n v="2404"/>
    <n v="4303"/>
    <s v="Low"/>
    <n v="7"/>
    <x v="0"/>
    <n v="21"/>
    <s v="Excellent"/>
    <s v="Excellent"/>
    <n v="0"/>
    <n v="8"/>
    <n v="2"/>
    <n v="1"/>
    <n v="2"/>
    <n v="2"/>
    <n v="2"/>
    <n v="2"/>
  </r>
  <r>
    <n v="671"/>
    <n v="27"/>
    <s v="26-35"/>
    <x v="1"/>
    <s v="Travel_Rarely"/>
    <n v="1389"/>
    <x v="1"/>
    <n v="4"/>
    <s v="Medium"/>
    <s v="Life Sciences"/>
    <s v="Medium"/>
    <s v="Female"/>
    <n v="76"/>
    <s v="High"/>
    <s v="Low"/>
    <s v="Research Scientist"/>
    <s v="High"/>
    <s v="Single"/>
    <n v="2318"/>
    <n v="17808"/>
    <s v="Low"/>
    <n v="1"/>
    <x v="1"/>
    <n v="19"/>
    <s v="High"/>
    <s v="High"/>
    <n v="0"/>
    <n v="1"/>
    <n v="2"/>
    <n v="3"/>
    <n v="1"/>
    <n v="1"/>
    <n v="0"/>
    <n v="0"/>
  </r>
  <r>
    <n v="672"/>
    <n v="34"/>
    <s v="26-35"/>
    <x v="1"/>
    <s v="Travel_Rarely"/>
    <n v="1389"/>
    <x v="1"/>
    <n v="10"/>
    <s v="Medium"/>
    <s v="Life Sciences"/>
    <s v="Medium"/>
    <s v="Male"/>
    <n v="83"/>
    <s v="High"/>
    <s v="Low"/>
    <s v="Laboratory Technician"/>
    <s v="Medium"/>
    <s v="Divorced"/>
    <n v="2008"/>
    <n v="6896"/>
    <s v="Low"/>
    <n v="1"/>
    <x v="1"/>
    <n v="14"/>
    <s v="High"/>
    <s v="Medium"/>
    <n v="2"/>
    <n v="1"/>
    <n v="3"/>
    <n v="3"/>
    <n v="1"/>
    <n v="0"/>
    <n v="1"/>
    <n v="0"/>
  </r>
  <r>
    <n v="673"/>
    <n v="42"/>
    <s v="36-45"/>
    <x v="1"/>
    <s v="Travel_Rarely"/>
    <n v="1389"/>
    <x v="0"/>
    <n v="14"/>
    <s v="Good"/>
    <s v="Medical"/>
    <s v="High"/>
    <s v="Female"/>
    <n v="68"/>
    <s v="Medium"/>
    <s v="Medium"/>
    <s v="Sales Executive"/>
    <s v="High"/>
    <s v="Single"/>
    <n v="6244"/>
    <n v="7824"/>
    <s v="Medium"/>
    <n v="7"/>
    <x v="1"/>
    <n v="17"/>
    <s v="High"/>
    <s v="Low"/>
    <n v="0"/>
    <n v="10"/>
    <n v="6"/>
    <n v="3"/>
    <n v="5"/>
    <n v="4"/>
    <n v="0"/>
    <n v="3"/>
  </r>
  <r>
    <n v="674"/>
    <n v="33"/>
    <s v="26-35"/>
    <x v="1"/>
    <s v="Travel_Rarely"/>
    <n v="1389"/>
    <x v="1"/>
    <n v="1"/>
    <s v="High"/>
    <s v="Other"/>
    <s v="High"/>
    <s v="Male"/>
    <n v="100"/>
    <s v="Medium"/>
    <s v="Low"/>
    <s v="Research Scientist"/>
    <s v="Low"/>
    <s v="Single"/>
    <n v="2799"/>
    <n v="3339"/>
    <s v="Low"/>
    <n v="3"/>
    <x v="0"/>
    <n v="11"/>
    <s v="High"/>
    <s v="Medium"/>
    <n v="0"/>
    <n v="6"/>
    <n v="1"/>
    <n v="3"/>
    <n v="3"/>
    <n v="2"/>
    <n v="0"/>
    <n v="2"/>
  </r>
  <r>
    <n v="675"/>
    <n v="58"/>
    <s v="55+"/>
    <x v="1"/>
    <s v="Travel_Rarely"/>
    <n v="1389"/>
    <x v="1"/>
    <n v="5"/>
    <s v="Medium"/>
    <s v="Technical Degree"/>
    <s v="High"/>
    <s v="Female"/>
    <n v="37"/>
    <s v="Medium"/>
    <s v="High"/>
    <s v="Healthcare Representative"/>
    <s v="Medium"/>
    <s v="Divorced"/>
    <n v="10552"/>
    <n v="9255"/>
    <s v="High"/>
    <n v="2"/>
    <x v="0"/>
    <n v="13"/>
    <s v="High"/>
    <s v="Excellent"/>
    <n v="1"/>
    <n v="24"/>
    <n v="3"/>
    <n v="3"/>
    <n v="6"/>
    <n v="0"/>
    <n v="0"/>
    <n v="4"/>
  </r>
  <r>
    <n v="676"/>
    <n v="31"/>
    <s v="26-35"/>
    <x v="1"/>
    <s v="Travel_Rarely"/>
    <n v="1389"/>
    <x v="0"/>
    <n v="7"/>
    <s v="High"/>
    <s v="Life Sciences"/>
    <s v="Medium"/>
    <s v="Male"/>
    <n v="41"/>
    <s v="Medium"/>
    <s v="Low"/>
    <s v="Sales Representative"/>
    <s v="High"/>
    <s v="Married"/>
    <n v="2329"/>
    <n v="11737"/>
    <s v="Low"/>
    <n v="3"/>
    <x v="1"/>
    <n v="15"/>
    <s v="High"/>
    <s v="Medium"/>
    <n v="0"/>
    <n v="13"/>
    <n v="2"/>
    <n v="4"/>
    <n v="7"/>
    <n v="7"/>
    <n v="5"/>
    <n v="2"/>
  </r>
  <r>
    <n v="677"/>
    <n v="35"/>
    <s v="26-35"/>
    <x v="1"/>
    <s v="Travel_Rarely"/>
    <n v="1389"/>
    <x v="1"/>
    <n v="21"/>
    <s v="Low"/>
    <s v="Life Sciences"/>
    <s v="Excellent"/>
    <s v="Female"/>
    <n v="51"/>
    <s v="High"/>
    <s v="Medium"/>
    <s v="Healthcare Representative"/>
    <s v="Excellent"/>
    <s v="Married"/>
    <n v="4014"/>
    <n v="19170"/>
    <s v="Low"/>
    <n v="1"/>
    <x v="0"/>
    <n v="25"/>
    <s v="Excellent"/>
    <s v="Excellent"/>
    <n v="1"/>
    <n v="10"/>
    <n v="2"/>
    <n v="1"/>
    <n v="10"/>
    <n v="6"/>
    <n v="0"/>
    <n v="7"/>
  </r>
  <r>
    <n v="678"/>
    <n v="49"/>
    <s v="46-55"/>
    <x v="1"/>
    <s v="Travel_Rarely"/>
    <n v="1389"/>
    <x v="1"/>
    <n v="8"/>
    <s v="Good"/>
    <s v="Other"/>
    <s v="Low"/>
    <s v="Female"/>
    <n v="51"/>
    <s v="High"/>
    <s v="High"/>
    <s v="Laboratory Technician"/>
    <s v="Medium"/>
    <s v="Married"/>
    <n v="7403"/>
    <n v="22477"/>
    <s v="Medium"/>
    <n v="4"/>
    <x v="1"/>
    <n v="11"/>
    <s v="High"/>
    <s v="High"/>
    <n v="1"/>
    <n v="29"/>
    <n v="3"/>
    <n v="2"/>
    <n v="26"/>
    <n v="9"/>
    <n v="1"/>
    <n v="7"/>
  </r>
  <r>
    <n v="679"/>
    <n v="48"/>
    <s v="46-55"/>
    <x v="1"/>
    <s v="Travel_Rarely"/>
    <n v="1389"/>
    <x v="1"/>
    <n v="20"/>
    <s v="High"/>
    <s v="Medical"/>
    <s v="Excellent"/>
    <s v="Male"/>
    <n v="51"/>
    <s v="High"/>
    <s v="Low"/>
    <s v="Research Scientist"/>
    <s v="High"/>
    <s v="Married"/>
    <n v="2259"/>
    <n v="5543"/>
    <s v="Low"/>
    <n v="4"/>
    <x v="1"/>
    <n v="17"/>
    <s v="High"/>
    <s v="Low"/>
    <n v="2"/>
    <n v="13"/>
    <n v="2"/>
    <n v="2"/>
    <n v="0"/>
    <n v="0"/>
    <n v="0"/>
    <n v="0"/>
  </r>
  <r>
    <n v="680"/>
    <n v="31"/>
    <s v="26-35"/>
    <x v="1"/>
    <s v="Non-Travel"/>
    <n v="1389"/>
    <x v="0"/>
    <n v="20"/>
    <s v="Good"/>
    <s v="Marketing"/>
    <s v="Excellent"/>
    <s v="Female"/>
    <n v="45"/>
    <s v="High"/>
    <s v="Medium"/>
    <s v="Sales Executive"/>
    <s v="High"/>
    <s v="Married"/>
    <n v="6932"/>
    <n v="24406"/>
    <s v="Medium"/>
    <n v="1"/>
    <x v="1"/>
    <n v="13"/>
    <s v="High"/>
    <s v="Excellent"/>
    <n v="1"/>
    <n v="9"/>
    <n v="2"/>
    <n v="2"/>
    <n v="9"/>
    <n v="8"/>
    <n v="0"/>
    <n v="0"/>
  </r>
  <r>
    <n v="681"/>
    <n v="36"/>
    <s v="36-45"/>
    <x v="1"/>
    <s v="Travel_Rarely"/>
    <n v="1389"/>
    <x v="1"/>
    <n v="7"/>
    <s v="High"/>
    <s v="Other"/>
    <s v="Medium"/>
    <s v="Male"/>
    <n v="65"/>
    <s v="High"/>
    <s v="Low"/>
    <s v="Research Scientist"/>
    <s v="Excellent"/>
    <s v="Single"/>
    <n v="4678"/>
    <n v="23293"/>
    <s v="Low"/>
    <n v="2"/>
    <x v="1"/>
    <n v="18"/>
    <s v="High"/>
    <s v="High"/>
    <n v="0"/>
    <n v="8"/>
    <n v="6"/>
    <n v="3"/>
    <n v="6"/>
    <n v="2"/>
    <n v="0"/>
    <n v="1"/>
  </r>
  <r>
    <n v="682"/>
    <n v="38"/>
    <s v="36-45"/>
    <x v="1"/>
    <s v="Travel_Rarely"/>
    <n v="1389"/>
    <x v="1"/>
    <n v="1"/>
    <s v="Medium"/>
    <s v="Technical Degree"/>
    <s v="Excellent"/>
    <s v="Female"/>
    <n v="80"/>
    <s v="High"/>
    <s v="High"/>
    <s v="Research Director"/>
    <s v="Low"/>
    <s v="Married"/>
    <n v="13582"/>
    <n v="16292"/>
    <s v="High"/>
    <n v="1"/>
    <x v="1"/>
    <n v="13"/>
    <s v="High"/>
    <s v="Medium"/>
    <n v="1"/>
    <n v="15"/>
    <n v="3"/>
    <n v="3"/>
    <n v="15"/>
    <n v="12"/>
    <n v="5"/>
    <n v="11"/>
  </r>
  <r>
    <n v="683"/>
    <n v="32"/>
    <s v="26-35"/>
    <x v="1"/>
    <s v="Non-Travel"/>
    <n v="1389"/>
    <x v="1"/>
    <n v="1"/>
    <s v="Medium"/>
    <s v="Life Sciences"/>
    <s v="High"/>
    <s v="Female"/>
    <n v="70"/>
    <s v="Medium"/>
    <s v="Low"/>
    <s v="Laboratory Technician"/>
    <s v="Medium"/>
    <s v="Married"/>
    <n v="2332"/>
    <n v="3974"/>
    <s v="Low"/>
    <n v="6"/>
    <x v="1"/>
    <n v="20"/>
    <s v="Excellent"/>
    <s v="High"/>
    <n v="0"/>
    <n v="5"/>
    <n v="3"/>
    <n v="3"/>
    <n v="3"/>
    <n v="0"/>
    <n v="0"/>
    <n v="2"/>
  </r>
  <r>
    <n v="684"/>
    <n v="25"/>
    <s v="18-25"/>
    <x v="0"/>
    <s v="Travel_Rarely"/>
    <n v="1389"/>
    <x v="0"/>
    <n v="19"/>
    <s v="Good"/>
    <s v="Marketing"/>
    <s v="High"/>
    <s v="Male"/>
    <n v="36"/>
    <s v="Medium"/>
    <s v="Low"/>
    <s v="Sales Representative"/>
    <s v="Medium"/>
    <s v="Married"/>
    <n v="2413"/>
    <n v="18798"/>
    <s v="Low"/>
    <n v="1"/>
    <x v="0"/>
    <n v="18"/>
    <s v="High"/>
    <s v="High"/>
    <n v="3"/>
    <n v="1"/>
    <n v="2"/>
    <n v="3"/>
    <n v="1"/>
    <n v="0"/>
    <n v="0"/>
    <n v="0"/>
  </r>
  <r>
    <n v="685"/>
    <n v="40"/>
    <s v="36-45"/>
    <x v="1"/>
    <s v="Travel_Rarely"/>
    <n v="1389"/>
    <x v="0"/>
    <n v="10"/>
    <s v="High"/>
    <s v="Marketing"/>
    <s v="Low"/>
    <s v="Male"/>
    <n v="67"/>
    <s v="Medium"/>
    <s v="High"/>
    <s v="Sales Executive"/>
    <s v="Medium"/>
    <s v="Divorced"/>
    <n v="9705"/>
    <n v="20652"/>
    <s v="Medium"/>
    <n v="2"/>
    <x v="1"/>
    <n v="12"/>
    <s v="High"/>
    <s v="Medium"/>
    <n v="1"/>
    <n v="11"/>
    <n v="2"/>
    <n v="2"/>
    <n v="1"/>
    <n v="0"/>
    <n v="0"/>
    <n v="0"/>
  </r>
  <r>
    <n v="686"/>
    <n v="26"/>
    <s v="26-35"/>
    <x v="1"/>
    <s v="Travel_Frequently"/>
    <n v="1389"/>
    <x v="0"/>
    <n v="1"/>
    <s v="Medium"/>
    <s v="Medical"/>
    <s v="High"/>
    <s v="Male"/>
    <n v="52"/>
    <s v="Medium"/>
    <s v="Medium"/>
    <s v="Sales Executive"/>
    <s v="Low"/>
    <s v="Single"/>
    <n v="4294"/>
    <n v="11148"/>
    <s v="Low"/>
    <n v="1"/>
    <x v="1"/>
    <n v="12"/>
    <s v="High"/>
    <s v="Medium"/>
    <n v="0"/>
    <n v="7"/>
    <n v="2"/>
    <n v="3"/>
    <n v="7"/>
    <n v="7"/>
    <n v="0"/>
    <n v="7"/>
  </r>
  <r>
    <n v="687"/>
    <n v="41"/>
    <s v="36-45"/>
    <x v="1"/>
    <s v="Travel_Rarely"/>
    <n v="1389"/>
    <x v="1"/>
    <n v="6"/>
    <s v="Medium"/>
    <s v="Medical"/>
    <s v="Excellent"/>
    <s v="Male"/>
    <n v="59"/>
    <s v="High"/>
    <s v="Low"/>
    <s v="Laboratory Technician"/>
    <s v="Low"/>
    <s v="Single"/>
    <n v="4721"/>
    <n v="3119"/>
    <s v="Low"/>
    <n v="2"/>
    <x v="0"/>
    <n v="13"/>
    <s v="High"/>
    <s v="High"/>
    <n v="0"/>
    <n v="20"/>
    <n v="3"/>
    <n v="3"/>
    <n v="18"/>
    <n v="13"/>
    <n v="2"/>
    <n v="17"/>
  </r>
  <r>
    <n v="688"/>
    <n v="36"/>
    <s v="36-45"/>
    <x v="1"/>
    <s v="Travel_Rarely"/>
    <n v="1389"/>
    <x v="1"/>
    <n v="2"/>
    <s v="High"/>
    <s v="Medical"/>
    <s v="High"/>
    <s v="Male"/>
    <n v="79"/>
    <s v="High"/>
    <s v="Low"/>
    <s v="Laboratory Technician"/>
    <s v="High"/>
    <s v="Single"/>
    <n v="2519"/>
    <n v="12287"/>
    <s v="Low"/>
    <n v="4"/>
    <x v="1"/>
    <n v="21"/>
    <s v="Excellent"/>
    <s v="High"/>
    <n v="0"/>
    <n v="16"/>
    <n v="6"/>
    <n v="3"/>
    <n v="11"/>
    <n v="8"/>
    <n v="3"/>
    <n v="9"/>
  </r>
  <r>
    <n v="689"/>
    <n v="19"/>
    <s v="18-25"/>
    <x v="0"/>
    <s v="Travel_Rarely"/>
    <n v="1389"/>
    <x v="0"/>
    <n v="21"/>
    <s v="Medium"/>
    <s v="Other"/>
    <s v="Excellent"/>
    <s v="Male"/>
    <n v="37"/>
    <s v="Medium"/>
    <s v="Low"/>
    <s v="Sales Representative"/>
    <s v="Medium"/>
    <s v="Single"/>
    <n v="2121"/>
    <n v="9947"/>
    <s v="Low"/>
    <n v="1"/>
    <x v="0"/>
    <n v="13"/>
    <s v="High"/>
    <s v="Medium"/>
    <n v="0"/>
    <n v="1"/>
    <n v="3"/>
    <n v="4"/>
    <n v="1"/>
    <n v="0"/>
    <n v="0"/>
    <n v="0"/>
  </r>
  <r>
    <n v="690"/>
    <n v="20"/>
    <s v="18-25"/>
    <x v="0"/>
    <s v="Travel_Rarely"/>
    <n v="1389"/>
    <x v="1"/>
    <n v="4"/>
    <s v="Medium"/>
    <s v="Technical Degree"/>
    <s v="Low"/>
    <s v="Male"/>
    <n v="84"/>
    <s v="High"/>
    <s v="Low"/>
    <s v="Laboratory Technician"/>
    <s v="Low"/>
    <s v="Single"/>
    <n v="2973"/>
    <n v="13008"/>
    <s v="Low"/>
    <n v="1"/>
    <x v="1"/>
    <n v="19"/>
    <s v="High"/>
    <s v="Medium"/>
    <n v="0"/>
    <n v="1"/>
    <n v="2"/>
    <n v="3"/>
    <n v="1"/>
    <n v="0"/>
    <n v="0"/>
    <n v="0"/>
  </r>
  <r>
    <n v="691"/>
    <n v="31"/>
    <s v="26-35"/>
    <x v="1"/>
    <s v="Travel_Rarely"/>
    <n v="1389"/>
    <x v="1"/>
    <n v="12"/>
    <s v="Medium"/>
    <s v="Medical"/>
    <s v="Excellent"/>
    <s v="Female"/>
    <n v="41"/>
    <s v="High"/>
    <s v="Medium"/>
    <s v="Healthcare Representative"/>
    <s v="Excellent"/>
    <s v="Married"/>
    <n v="5855"/>
    <n v="17369"/>
    <s v="Medium"/>
    <n v="0"/>
    <x v="0"/>
    <n v="11"/>
    <s v="High"/>
    <s v="High"/>
    <n v="2"/>
    <n v="10"/>
    <n v="2"/>
    <n v="1"/>
    <n v="9"/>
    <n v="7"/>
    <n v="8"/>
    <n v="5"/>
  </r>
  <r>
    <n v="692"/>
    <n v="40"/>
    <s v="36-45"/>
    <x v="1"/>
    <s v="Travel_Frequently"/>
    <n v="1389"/>
    <x v="1"/>
    <n v="9"/>
    <s v="High"/>
    <s v="Medical"/>
    <s v="Excellent"/>
    <s v="Male"/>
    <n v="35"/>
    <s v="High"/>
    <s v="Low"/>
    <s v="Research Scientist"/>
    <s v="Medium"/>
    <s v="Divorced"/>
    <n v="3617"/>
    <n v="25063"/>
    <s v="Low"/>
    <n v="8"/>
    <x v="0"/>
    <n v="14"/>
    <s v="High"/>
    <s v="Excellent"/>
    <n v="1"/>
    <n v="3"/>
    <n v="2"/>
    <n v="3"/>
    <n v="1"/>
    <n v="1"/>
    <n v="0"/>
    <n v="0"/>
  </r>
  <r>
    <n v="693"/>
    <n v="32"/>
    <s v="26-35"/>
    <x v="1"/>
    <s v="Travel_Rarely"/>
    <n v="1389"/>
    <x v="1"/>
    <n v="3"/>
    <s v="High"/>
    <s v="Medical"/>
    <s v="High"/>
    <s v="Female"/>
    <n v="93"/>
    <s v="High"/>
    <s v="Medium"/>
    <s v="Manufacturing Director"/>
    <s v="Low"/>
    <s v="Married"/>
    <n v="6725"/>
    <n v="13554"/>
    <s v="Medium"/>
    <n v="1"/>
    <x v="1"/>
    <n v="12"/>
    <s v="High"/>
    <s v="High"/>
    <n v="1"/>
    <n v="8"/>
    <n v="2"/>
    <n v="4"/>
    <n v="8"/>
    <n v="7"/>
    <n v="6"/>
    <n v="3"/>
  </r>
  <r>
    <n v="694"/>
    <n v="36"/>
    <s v="36-45"/>
    <x v="0"/>
    <s v="Travel_Rarely"/>
    <n v="1389"/>
    <x v="0"/>
    <n v="3"/>
    <s v="Low"/>
    <s v="Life Sciences"/>
    <s v="High"/>
    <s v="Male"/>
    <n v="51"/>
    <s v="Medium"/>
    <s v="High"/>
    <s v="Sales Executive"/>
    <s v="Excellent"/>
    <s v="Married"/>
    <n v="10325"/>
    <n v="5518"/>
    <s v="High"/>
    <n v="1"/>
    <x v="0"/>
    <n v="11"/>
    <s v="High"/>
    <s v="Low"/>
    <n v="1"/>
    <n v="16"/>
    <n v="6"/>
    <n v="3"/>
    <n v="16"/>
    <n v="7"/>
    <n v="3"/>
    <n v="7"/>
  </r>
  <r>
    <n v="695"/>
    <n v="33"/>
    <s v="26-35"/>
    <x v="1"/>
    <s v="Travel_Rarely"/>
    <n v="1389"/>
    <x v="1"/>
    <n v="1"/>
    <s v="Medium"/>
    <s v="Life Sciences"/>
    <s v="Medium"/>
    <s v="Female"/>
    <n v="42"/>
    <s v="Medium"/>
    <s v="Medium"/>
    <s v="Healthcare Representative"/>
    <s v="Excellent"/>
    <s v="Single"/>
    <n v="6949"/>
    <n v="12291"/>
    <s v="Medium"/>
    <n v="0"/>
    <x v="1"/>
    <n v="14"/>
    <s v="High"/>
    <s v="Low"/>
    <n v="0"/>
    <n v="6"/>
    <n v="3"/>
    <n v="3"/>
    <n v="5"/>
    <n v="0"/>
    <n v="1"/>
    <n v="4"/>
  </r>
  <r>
    <n v="696"/>
    <n v="37"/>
    <s v="36-45"/>
    <x v="0"/>
    <s v="Travel_Rarely"/>
    <n v="1389"/>
    <x v="0"/>
    <n v="1"/>
    <s v="High"/>
    <s v="Life Sciences"/>
    <s v="Low"/>
    <s v="Male"/>
    <n v="46"/>
    <s v="Medium"/>
    <s v="High"/>
    <s v="Sales Executive"/>
    <s v="High"/>
    <s v="Married"/>
    <n v="10609"/>
    <n v="14922"/>
    <s v="High"/>
    <n v="5"/>
    <x v="1"/>
    <n v="11"/>
    <s v="High"/>
    <s v="High"/>
    <n v="0"/>
    <n v="17"/>
    <n v="2"/>
    <n v="1"/>
    <n v="14"/>
    <n v="1"/>
    <n v="11"/>
    <n v="7"/>
  </r>
  <r>
    <n v="697"/>
    <n v="45"/>
    <s v="36-45"/>
    <x v="1"/>
    <s v="Non-Travel"/>
    <n v="1389"/>
    <x v="1"/>
    <n v="4"/>
    <s v="Good"/>
    <s v="Life Sciences"/>
    <s v="High"/>
    <s v="Male"/>
    <n v="57"/>
    <s v="High"/>
    <s v="Medium"/>
    <s v="Laboratory Technician"/>
    <s v="Medium"/>
    <s v="Married"/>
    <n v="4447"/>
    <n v="23163"/>
    <s v="Low"/>
    <n v="1"/>
    <x v="1"/>
    <n v="12"/>
    <s v="High"/>
    <s v="Medium"/>
    <n v="0"/>
    <n v="9"/>
    <n v="5"/>
    <n v="2"/>
    <n v="9"/>
    <n v="7"/>
    <n v="0"/>
    <n v="8"/>
  </r>
  <r>
    <n v="698"/>
    <n v="29"/>
    <s v="26-35"/>
    <x v="1"/>
    <s v="Travel_Frequently"/>
    <n v="1389"/>
    <x v="0"/>
    <n v="20"/>
    <s v="Medium"/>
    <s v="Technical Degree"/>
    <s v="High"/>
    <s v="Female"/>
    <n v="84"/>
    <s v="High"/>
    <s v="Low"/>
    <s v="Sales Representative"/>
    <s v="Excellent"/>
    <s v="Married"/>
    <n v="2157"/>
    <n v="18203"/>
    <s v="Low"/>
    <n v="1"/>
    <x v="1"/>
    <n v="15"/>
    <s v="High"/>
    <s v="Medium"/>
    <n v="1"/>
    <n v="3"/>
    <n v="5"/>
    <n v="3"/>
    <n v="3"/>
    <n v="1"/>
    <n v="0"/>
    <n v="2"/>
  </r>
  <r>
    <n v="699"/>
    <n v="35"/>
    <s v="26-35"/>
    <x v="1"/>
    <s v="Travel_Rarely"/>
    <n v="1389"/>
    <x v="0"/>
    <n v="18"/>
    <s v="Medium"/>
    <s v="Medical"/>
    <s v="High"/>
    <s v="Female"/>
    <n v="86"/>
    <s v="High"/>
    <s v="Medium"/>
    <s v="Sales Executive"/>
    <s v="High"/>
    <s v="Married"/>
    <n v="4601"/>
    <n v="6179"/>
    <s v="Low"/>
    <n v="1"/>
    <x v="1"/>
    <n v="16"/>
    <s v="High"/>
    <s v="Medium"/>
    <n v="0"/>
    <n v="5"/>
    <n v="3"/>
    <n v="3"/>
    <n v="5"/>
    <n v="2"/>
    <n v="1"/>
    <n v="0"/>
  </r>
  <r>
    <n v="700"/>
    <n v="52"/>
    <s v="46-55"/>
    <x v="1"/>
    <s v="Travel_Rarely"/>
    <n v="1389"/>
    <x v="1"/>
    <n v="1"/>
    <s v="Good"/>
    <s v="Life Sciences"/>
    <s v="Excellent"/>
    <s v="Male"/>
    <n v="70"/>
    <s v="High"/>
    <s v="Excellent"/>
    <s v="Manager"/>
    <s v="Excellent"/>
    <s v="Married"/>
    <n v="17099"/>
    <n v="13829"/>
    <s v="High"/>
    <n v="2"/>
    <x v="1"/>
    <n v="15"/>
    <s v="High"/>
    <s v="Medium"/>
    <n v="1"/>
    <n v="26"/>
    <n v="2"/>
    <n v="2"/>
    <n v="9"/>
    <n v="8"/>
    <n v="7"/>
    <n v="8"/>
  </r>
  <r>
    <n v="701"/>
    <n v="58"/>
    <s v="55+"/>
    <x v="0"/>
    <s v="Travel_Rarely"/>
    <n v="1389"/>
    <x v="1"/>
    <n v="2"/>
    <s v="Medium"/>
    <s v="Technical Degree"/>
    <s v="Excellent"/>
    <s v="Male"/>
    <n v="51"/>
    <s v="High"/>
    <s v="Low"/>
    <s v="Research Scientist"/>
    <s v="High"/>
    <s v="Single"/>
    <n v="2479"/>
    <n v="26227"/>
    <s v="Low"/>
    <n v="4"/>
    <x v="1"/>
    <n v="24"/>
    <s v="Excellent"/>
    <s v="Low"/>
    <n v="0"/>
    <n v="7"/>
    <n v="4"/>
    <n v="3"/>
    <n v="1"/>
    <n v="0"/>
    <n v="0"/>
    <n v="0"/>
  </r>
  <r>
    <n v="702"/>
    <n v="53"/>
    <s v="46-55"/>
    <x v="1"/>
    <s v="Travel_Rarely"/>
    <n v="1389"/>
    <x v="0"/>
    <n v="2"/>
    <s v="Good"/>
    <s v="Medical"/>
    <s v="High"/>
    <s v="Male"/>
    <n v="45"/>
    <s v="High"/>
    <s v="Excellent"/>
    <s v="Manager"/>
    <s v="High"/>
    <s v="Divorced"/>
    <n v="14852"/>
    <n v="13938"/>
    <s v="High"/>
    <n v="6"/>
    <x v="1"/>
    <n v="13"/>
    <s v="High"/>
    <s v="High"/>
    <n v="1"/>
    <n v="22"/>
    <n v="3"/>
    <n v="4"/>
    <n v="17"/>
    <n v="13"/>
    <n v="15"/>
    <n v="2"/>
  </r>
  <r>
    <n v="703"/>
    <n v="30"/>
    <s v="26-35"/>
    <x v="1"/>
    <s v="Travel_Rarely"/>
    <n v="1389"/>
    <x v="0"/>
    <n v="8"/>
    <s v="Good"/>
    <s v="Other"/>
    <s v="High"/>
    <s v="Male"/>
    <n v="62"/>
    <s v="High"/>
    <s v="High"/>
    <s v="Sales Executive"/>
    <s v="High"/>
    <s v="Divorced"/>
    <n v="7264"/>
    <n v="9977"/>
    <s v="Medium"/>
    <n v="5"/>
    <x v="1"/>
    <n v="11"/>
    <s v="High"/>
    <s v="Low"/>
    <n v="1"/>
    <n v="10"/>
    <n v="2"/>
    <n v="4"/>
    <n v="8"/>
    <n v="4"/>
    <n v="7"/>
    <n v="7"/>
  </r>
  <r>
    <n v="704"/>
    <n v="38"/>
    <s v="36-45"/>
    <x v="1"/>
    <s v="Non-Travel"/>
    <n v="1389"/>
    <x v="0"/>
    <n v="10"/>
    <s v="Medium"/>
    <s v="Technical Degree"/>
    <s v="High"/>
    <s v="Female"/>
    <n v="85"/>
    <s v="High"/>
    <s v="Medium"/>
    <s v="Sales Executive"/>
    <s v="Excellent"/>
    <s v="Single"/>
    <n v="5666"/>
    <n v="19899"/>
    <s v="Medium"/>
    <n v="1"/>
    <x v="0"/>
    <n v="13"/>
    <s v="High"/>
    <s v="Medium"/>
    <n v="0"/>
    <n v="6"/>
    <n v="1"/>
    <n v="3"/>
    <n v="5"/>
    <n v="3"/>
    <n v="1"/>
    <n v="3"/>
  </r>
  <r>
    <n v="705"/>
    <n v="35"/>
    <s v="26-35"/>
    <x v="1"/>
    <s v="Travel_Rarely"/>
    <n v="1389"/>
    <x v="0"/>
    <n v="3"/>
    <s v="High"/>
    <s v="Life Sciences"/>
    <s v="Excellent"/>
    <s v="Male"/>
    <n v="92"/>
    <s v="High"/>
    <s v="High"/>
    <s v="Sales Executive"/>
    <s v="Excellent"/>
    <s v="Divorced"/>
    <n v="7823"/>
    <n v="6812"/>
    <s v="Medium"/>
    <n v="6"/>
    <x v="1"/>
    <n v="13"/>
    <s v="High"/>
    <s v="Medium"/>
    <n v="1"/>
    <n v="12"/>
    <n v="2"/>
    <n v="3"/>
    <n v="10"/>
    <n v="9"/>
    <n v="0"/>
    <n v="8"/>
  </r>
  <r>
    <n v="706"/>
    <n v="39"/>
    <s v="36-45"/>
    <x v="1"/>
    <s v="Travel_Rarely"/>
    <n v="1389"/>
    <x v="0"/>
    <n v="2"/>
    <s v="Excellent"/>
    <s v="Life Sciences"/>
    <s v="Low"/>
    <s v="Male"/>
    <n v="41"/>
    <s v="Excellent"/>
    <s v="High"/>
    <s v="Sales Executive"/>
    <s v="High"/>
    <s v="Single"/>
    <n v="7880"/>
    <n v="2560"/>
    <s v="Medium"/>
    <n v="0"/>
    <x v="1"/>
    <n v="18"/>
    <s v="High"/>
    <s v="Excellent"/>
    <n v="0"/>
    <n v="9"/>
    <n v="3"/>
    <n v="3"/>
    <n v="8"/>
    <n v="7"/>
    <n v="0"/>
    <n v="7"/>
  </r>
  <r>
    <n v="707"/>
    <n v="40"/>
    <s v="36-45"/>
    <x v="0"/>
    <s v="Non-Travel"/>
    <n v="1389"/>
    <x v="0"/>
    <n v="24"/>
    <s v="Medium"/>
    <s v="Life Sciences"/>
    <s v="Medium"/>
    <s v="Female"/>
    <n v="100"/>
    <s v="Excellent"/>
    <s v="Excellent"/>
    <s v="Sales Executive"/>
    <s v="Medium"/>
    <s v="Single"/>
    <n v="13194"/>
    <n v="17071"/>
    <s v="High"/>
    <n v="4"/>
    <x v="0"/>
    <n v="16"/>
    <s v="High"/>
    <s v="Excellent"/>
    <n v="0"/>
    <n v="22"/>
    <n v="2"/>
    <n v="2"/>
    <n v="1"/>
    <n v="0"/>
    <n v="0"/>
    <n v="0"/>
  </r>
  <r>
    <n v="708"/>
    <n v="47"/>
    <s v="46-55"/>
    <x v="1"/>
    <s v="Travel_Frequently"/>
    <n v="1389"/>
    <x v="1"/>
    <n v="16"/>
    <s v="High"/>
    <s v="Medical"/>
    <s v="High"/>
    <s v="Male"/>
    <n v="64"/>
    <s v="Excellent"/>
    <s v="Medium"/>
    <s v="Manufacturing Director"/>
    <s v="High"/>
    <s v="Divorced"/>
    <n v="5067"/>
    <n v="6759"/>
    <s v="Medium"/>
    <n v="1"/>
    <x v="0"/>
    <n v="19"/>
    <s v="High"/>
    <s v="High"/>
    <n v="0"/>
    <n v="20"/>
    <n v="3"/>
    <n v="4"/>
    <n v="19"/>
    <n v="10"/>
    <n v="2"/>
    <n v="7"/>
  </r>
  <r>
    <n v="709"/>
    <n v="36"/>
    <s v="36-45"/>
    <x v="1"/>
    <s v="Non-Travel"/>
    <n v="1389"/>
    <x v="0"/>
    <n v="8"/>
    <s v="High"/>
    <s v="Technical Degree"/>
    <s v="Low"/>
    <s v="Male"/>
    <n v="84"/>
    <s v="High"/>
    <s v="Medium"/>
    <s v="Sales Executive"/>
    <s v="Excellent"/>
    <s v="Divorced"/>
    <n v="5079"/>
    <n v="25952"/>
    <s v="Medium"/>
    <n v="4"/>
    <x v="1"/>
    <n v="13"/>
    <s v="High"/>
    <s v="Excellent"/>
    <n v="2"/>
    <n v="12"/>
    <n v="3"/>
    <n v="3"/>
    <n v="7"/>
    <n v="7"/>
    <n v="0"/>
    <n v="7"/>
  </r>
  <r>
    <n v="710"/>
    <n v="31"/>
    <s v="26-35"/>
    <x v="0"/>
    <s v="Non-Travel"/>
    <n v="1389"/>
    <x v="1"/>
    <n v="9"/>
    <s v="Good"/>
    <s v="Medical"/>
    <s v="High"/>
    <s v="Male"/>
    <n v="46"/>
    <s v="Medium"/>
    <s v="Low"/>
    <s v="Research Scientist"/>
    <s v="Low"/>
    <s v="Single"/>
    <n v="2321"/>
    <n v="10322"/>
    <s v="Low"/>
    <n v="0"/>
    <x v="0"/>
    <n v="22"/>
    <s v="Excellent"/>
    <s v="Low"/>
    <n v="0"/>
    <n v="4"/>
    <n v="0"/>
    <n v="3"/>
    <n v="3"/>
    <n v="2"/>
    <n v="1"/>
    <n v="2"/>
  </r>
  <r>
    <n v="711"/>
    <n v="33"/>
    <s v="26-35"/>
    <x v="1"/>
    <s v="Non-Travel"/>
    <n v="1389"/>
    <x v="0"/>
    <n v="17"/>
    <s v="Medium"/>
    <s v="Life Sciences"/>
    <s v="Excellent"/>
    <s v="Male"/>
    <n v="38"/>
    <s v="High"/>
    <s v="Excellent"/>
    <s v="Manager"/>
    <s v="High"/>
    <s v="Single"/>
    <n v="17444"/>
    <n v="20489"/>
    <s v="High"/>
    <n v="1"/>
    <x v="1"/>
    <n v="11"/>
    <s v="High"/>
    <s v="Excellent"/>
    <n v="0"/>
    <n v="10"/>
    <n v="2"/>
    <n v="3"/>
    <n v="10"/>
    <n v="8"/>
    <n v="6"/>
    <n v="0"/>
  </r>
  <r>
    <n v="712"/>
    <n v="29"/>
    <s v="26-35"/>
    <x v="0"/>
    <s v="Travel_Rarely"/>
    <n v="1389"/>
    <x v="1"/>
    <n v="10"/>
    <s v="Medium"/>
    <s v="Life Sciences"/>
    <s v="Excellent"/>
    <s v="Female"/>
    <n v="92"/>
    <s v="Medium"/>
    <s v="Low"/>
    <s v="Research Scientist"/>
    <s v="Low"/>
    <s v="Single"/>
    <n v="2404"/>
    <n v="11479"/>
    <s v="Low"/>
    <n v="6"/>
    <x v="0"/>
    <n v="20"/>
    <s v="Excellent"/>
    <s v="High"/>
    <n v="0"/>
    <n v="3"/>
    <n v="5"/>
    <n v="3"/>
    <n v="0"/>
    <n v="0"/>
    <n v="0"/>
    <n v="0"/>
  </r>
  <r>
    <n v="713"/>
    <n v="33"/>
    <s v="26-35"/>
    <x v="1"/>
    <s v="Travel_Rarely"/>
    <n v="1389"/>
    <x v="1"/>
    <n v="13"/>
    <s v="Low"/>
    <s v="Life Sciences"/>
    <s v="Medium"/>
    <s v="Female"/>
    <n v="53"/>
    <s v="High"/>
    <s v="Low"/>
    <s v="Research Scientist"/>
    <s v="Excellent"/>
    <s v="Single"/>
    <n v="3452"/>
    <n v="17241"/>
    <s v="Low"/>
    <n v="3"/>
    <x v="1"/>
    <n v="18"/>
    <s v="High"/>
    <s v="Low"/>
    <n v="0"/>
    <n v="5"/>
    <n v="4"/>
    <n v="3"/>
    <n v="3"/>
    <n v="2"/>
    <n v="0"/>
    <n v="2"/>
  </r>
  <r>
    <n v="714"/>
    <n v="45"/>
    <s v="36-45"/>
    <x v="1"/>
    <s v="Travel_Rarely"/>
    <n v="1389"/>
    <x v="1"/>
    <n v="1"/>
    <s v="High"/>
    <s v="Medical"/>
    <s v="Excellent"/>
    <s v="Female"/>
    <n v="91"/>
    <s v="High"/>
    <s v="Low"/>
    <s v="Laboratory Technician"/>
    <s v="Excellent"/>
    <s v="Divorced"/>
    <n v="2270"/>
    <n v="11005"/>
    <s v="Low"/>
    <n v="3"/>
    <x v="1"/>
    <n v="14"/>
    <s v="High"/>
    <s v="Excellent"/>
    <n v="2"/>
    <n v="8"/>
    <n v="2"/>
    <n v="3"/>
    <n v="5"/>
    <n v="3"/>
    <n v="0"/>
    <n v="2"/>
  </r>
  <r>
    <n v="715"/>
    <n v="50"/>
    <s v="46-55"/>
    <x v="1"/>
    <s v="Travel_Rarely"/>
    <n v="1389"/>
    <x v="1"/>
    <n v="1"/>
    <s v="Good"/>
    <s v="Medical"/>
    <s v="Excellent"/>
    <s v="Male"/>
    <n v="66"/>
    <s v="High"/>
    <s v="Excellent"/>
    <s v="Research Director"/>
    <s v="Excellent"/>
    <s v="Divorced"/>
    <n v="17399"/>
    <n v="6615"/>
    <s v="High"/>
    <n v="9"/>
    <x v="1"/>
    <n v="22"/>
    <s v="Excellent"/>
    <s v="High"/>
    <n v="1"/>
    <n v="32"/>
    <n v="1"/>
    <n v="2"/>
    <n v="5"/>
    <n v="4"/>
    <n v="1"/>
    <n v="3"/>
  </r>
  <r>
    <n v="716"/>
    <n v="33"/>
    <s v="26-35"/>
    <x v="1"/>
    <s v="Travel_Frequently"/>
    <n v="1389"/>
    <x v="1"/>
    <n v="1"/>
    <s v="High"/>
    <s v="Other"/>
    <s v="High"/>
    <s v="Female"/>
    <n v="84"/>
    <s v="Excellent"/>
    <s v="Medium"/>
    <s v="Healthcare Representative"/>
    <s v="Medium"/>
    <s v="Married"/>
    <n v="5488"/>
    <n v="20161"/>
    <s v="Medium"/>
    <n v="1"/>
    <x v="0"/>
    <n v="13"/>
    <s v="High"/>
    <s v="Low"/>
    <n v="1"/>
    <n v="6"/>
    <n v="2"/>
    <n v="3"/>
    <n v="6"/>
    <n v="5"/>
    <n v="1"/>
    <n v="2"/>
  </r>
  <r>
    <n v="717"/>
    <n v="41"/>
    <s v="36-45"/>
    <x v="1"/>
    <s v="Travel_Frequently"/>
    <n v="1389"/>
    <x v="1"/>
    <n v="9"/>
    <s v="Medium"/>
    <s v="Medical"/>
    <s v="Low"/>
    <s v="Male"/>
    <n v="64"/>
    <s v="High"/>
    <e v="#N/A"/>
    <s v="Research Director"/>
    <s v="High"/>
    <s v="Divorced"/>
    <n v="19419"/>
    <n v="3735"/>
    <s v="High"/>
    <n v="2"/>
    <x v="1"/>
    <n v="17"/>
    <s v="High"/>
    <s v="Medium"/>
    <n v="1"/>
    <n v="21"/>
    <n v="2"/>
    <n v="4"/>
    <n v="18"/>
    <n v="16"/>
    <n v="0"/>
    <n v="11"/>
  </r>
  <r>
    <n v="718"/>
    <n v="27"/>
    <s v="26-35"/>
    <x v="1"/>
    <s v="Travel_Rarely"/>
    <n v="1389"/>
    <x v="1"/>
    <n v="16"/>
    <s v="High"/>
    <s v="Technical Degree"/>
    <s v="High"/>
    <s v="Female"/>
    <n v="37"/>
    <s v="High"/>
    <s v="Low"/>
    <s v="Laboratory Technician"/>
    <s v="Medium"/>
    <s v="Married"/>
    <n v="2811"/>
    <n v="12086"/>
    <s v="Low"/>
    <n v="9"/>
    <x v="1"/>
    <n v="14"/>
    <s v="High"/>
    <s v="Medium"/>
    <n v="1"/>
    <n v="4"/>
    <n v="2"/>
    <n v="3"/>
    <n v="2"/>
    <n v="2"/>
    <n v="2"/>
    <n v="2"/>
  </r>
  <r>
    <n v="719"/>
    <n v="45"/>
    <s v="36-45"/>
    <x v="1"/>
    <s v="Non-Travel"/>
    <n v="1389"/>
    <x v="1"/>
    <n v="23"/>
    <s v="Good"/>
    <s v="Life Sciences"/>
    <s v="Excellent"/>
    <s v="Male"/>
    <n v="42"/>
    <s v="High"/>
    <s v="Medium"/>
    <s v="Laboratory Technician"/>
    <s v="Low"/>
    <s v="Married"/>
    <n v="3633"/>
    <n v="14039"/>
    <s v="Low"/>
    <n v="1"/>
    <x v="0"/>
    <n v="15"/>
    <s v="High"/>
    <s v="High"/>
    <n v="1"/>
    <n v="9"/>
    <n v="2"/>
    <n v="3"/>
    <n v="9"/>
    <n v="8"/>
    <n v="0"/>
    <n v="8"/>
  </r>
  <r>
    <n v="720"/>
    <n v="47"/>
    <s v="46-55"/>
    <x v="1"/>
    <s v="Travel_Rarely"/>
    <n v="1389"/>
    <x v="0"/>
    <n v="4"/>
    <s v="Good"/>
    <s v="Life Sciences"/>
    <s v="Excellent"/>
    <s v="Female"/>
    <n v="83"/>
    <s v="High"/>
    <s v="Medium"/>
    <s v="Sales Executive"/>
    <s v="Excellent"/>
    <s v="Single"/>
    <n v="4163"/>
    <n v="8571"/>
    <s v="Low"/>
    <n v="1"/>
    <x v="0"/>
    <n v="17"/>
    <s v="High"/>
    <s v="High"/>
    <n v="0"/>
    <n v="9"/>
    <n v="0"/>
    <n v="3"/>
    <n v="9"/>
    <n v="0"/>
    <n v="0"/>
    <n v="7"/>
  </r>
  <r>
    <n v="721"/>
    <n v="30"/>
    <s v="26-35"/>
    <x v="0"/>
    <s v="Travel_Rarely"/>
    <n v="1389"/>
    <x v="1"/>
    <n v="22"/>
    <s v="Medium"/>
    <s v="Life Sciences"/>
    <s v="Low"/>
    <s v="Female"/>
    <n v="48"/>
    <s v="High"/>
    <s v="Low"/>
    <s v="Research Scientist"/>
    <s v="High"/>
    <s v="Married"/>
    <n v="2132"/>
    <n v="11539"/>
    <s v="Low"/>
    <n v="4"/>
    <x v="0"/>
    <n v="11"/>
    <s v="High"/>
    <s v="Medium"/>
    <n v="0"/>
    <n v="7"/>
    <n v="2"/>
    <n v="3"/>
    <n v="5"/>
    <n v="2"/>
    <n v="0"/>
    <n v="1"/>
  </r>
  <r>
    <n v="722"/>
    <n v="50"/>
    <s v="46-55"/>
    <x v="1"/>
    <s v="Travel_Rarely"/>
    <n v="1389"/>
    <x v="1"/>
    <n v="24"/>
    <s v="Medium"/>
    <s v="Life Sciences"/>
    <s v="Excellent"/>
    <s v="Male"/>
    <n v="95"/>
    <s v="High"/>
    <s v="Excellent"/>
    <s v="Manufacturing Director"/>
    <s v="High"/>
    <s v="Married"/>
    <n v="13973"/>
    <n v="4161"/>
    <s v="High"/>
    <n v="3"/>
    <x v="0"/>
    <n v="18"/>
    <s v="High"/>
    <s v="Excellent"/>
    <n v="1"/>
    <n v="22"/>
    <n v="2"/>
    <n v="3"/>
    <n v="12"/>
    <n v="11"/>
    <n v="1"/>
    <n v="5"/>
  </r>
  <r>
    <n v="723"/>
    <n v="38"/>
    <s v="36-45"/>
    <x v="1"/>
    <s v="Travel_Frequently"/>
    <n v="1389"/>
    <x v="1"/>
    <n v="10"/>
    <s v="Low"/>
    <s v="Medical"/>
    <s v="High"/>
    <s v="Male"/>
    <n v="66"/>
    <s v="High"/>
    <s v="Low"/>
    <s v="Research Scientist"/>
    <s v="High"/>
    <s v="Married"/>
    <n v="2684"/>
    <n v="12127"/>
    <s v="Low"/>
    <n v="0"/>
    <x v="1"/>
    <n v="17"/>
    <s v="High"/>
    <s v="Medium"/>
    <n v="1"/>
    <n v="3"/>
    <n v="0"/>
    <n v="2"/>
    <n v="2"/>
    <n v="1"/>
    <n v="0"/>
    <n v="2"/>
  </r>
  <r>
    <n v="724"/>
    <n v="46"/>
    <s v="46-55"/>
    <x v="1"/>
    <s v="Travel_Rarely"/>
    <n v="1389"/>
    <x v="1"/>
    <n v="7"/>
    <s v="Good"/>
    <s v="Medical"/>
    <s v="Excellent"/>
    <s v="Male"/>
    <n v="75"/>
    <s v="High"/>
    <s v="High"/>
    <s v="Manufacturing Director"/>
    <s v="High"/>
    <s v="Divorced"/>
    <n v="10845"/>
    <n v="24208"/>
    <s v="High"/>
    <n v="6"/>
    <x v="1"/>
    <n v="13"/>
    <s v="High"/>
    <s v="Medium"/>
    <n v="1"/>
    <n v="13"/>
    <n v="3"/>
    <n v="3"/>
    <n v="8"/>
    <n v="7"/>
    <n v="0"/>
    <n v="7"/>
  </r>
  <r>
    <n v="725"/>
    <n v="24"/>
    <s v="18-25"/>
    <x v="1"/>
    <s v="Travel_Rarely"/>
    <n v="1389"/>
    <x v="1"/>
    <n v="17"/>
    <s v="Low"/>
    <s v="Medical"/>
    <s v="Excellent"/>
    <s v="Female"/>
    <n v="41"/>
    <s v="Medium"/>
    <s v="Medium"/>
    <s v="Manufacturing Director"/>
    <s v="High"/>
    <s v="Divorced"/>
    <n v="4377"/>
    <n v="24117"/>
    <s v="Low"/>
    <n v="1"/>
    <x v="1"/>
    <n v="15"/>
    <s v="High"/>
    <s v="Medium"/>
    <n v="2"/>
    <n v="5"/>
    <n v="6"/>
    <n v="3"/>
    <n v="4"/>
    <n v="2"/>
    <n v="3"/>
    <n v="2"/>
  </r>
  <r>
    <n v="726"/>
    <n v="35"/>
    <s v="26-35"/>
    <x v="0"/>
    <s v="Travel_Rarely"/>
    <n v="1389"/>
    <x v="1"/>
    <n v="14"/>
    <s v="High"/>
    <s v="Other"/>
    <s v="High"/>
    <s v="Male"/>
    <n v="39"/>
    <s v="Medium"/>
    <s v="Low"/>
    <s v="Laboratory Technician"/>
    <s v="Medium"/>
    <s v="Divorced"/>
    <n v="3743"/>
    <n v="10074"/>
    <s v="Low"/>
    <n v="1"/>
    <x v="0"/>
    <n v="24"/>
    <s v="Excellent"/>
    <s v="Excellent"/>
    <n v="1"/>
    <n v="5"/>
    <n v="2"/>
    <n v="1"/>
    <n v="4"/>
    <n v="2"/>
    <n v="0"/>
    <n v="2"/>
  </r>
  <r>
    <n v="727"/>
    <n v="31"/>
    <s v="26-35"/>
    <x v="1"/>
    <s v="Travel_Frequently"/>
    <n v="1389"/>
    <x v="1"/>
    <n v="1"/>
    <s v="Low"/>
    <s v="Life Sciences"/>
    <s v="High"/>
    <s v="Female"/>
    <n v="96"/>
    <s v="High"/>
    <s v="Medium"/>
    <s v="Manufacturing Director"/>
    <s v="Low"/>
    <s v="Married"/>
    <n v="4148"/>
    <n v="11275"/>
    <s v="Low"/>
    <n v="1"/>
    <x v="1"/>
    <n v="12"/>
    <s v="High"/>
    <s v="High"/>
    <n v="1"/>
    <n v="4"/>
    <n v="1"/>
    <n v="3"/>
    <n v="4"/>
    <n v="3"/>
    <n v="0"/>
    <n v="3"/>
  </r>
  <r>
    <n v="728"/>
    <n v="18"/>
    <s v="18-25"/>
    <x v="1"/>
    <s v="Non-Travel"/>
    <n v="1389"/>
    <x v="1"/>
    <n v="5"/>
    <s v="Good"/>
    <s v="Life Sciences"/>
    <s v="Medium"/>
    <s v="Male"/>
    <n v="73"/>
    <s v="High"/>
    <s v="Low"/>
    <s v="Research Scientist"/>
    <s v="Excellent"/>
    <s v="Single"/>
    <n v="1051"/>
    <n v="13493"/>
    <s v="Low"/>
    <n v="1"/>
    <x v="1"/>
    <n v="15"/>
    <s v="High"/>
    <s v="Excellent"/>
    <n v="0"/>
    <n v="0"/>
    <n v="2"/>
    <n v="3"/>
    <n v="0"/>
    <n v="0"/>
    <n v="0"/>
    <n v="0"/>
  </r>
  <r>
    <n v="729"/>
    <n v="54"/>
    <s v="46-55"/>
    <x v="1"/>
    <s v="Travel_Rarely"/>
    <n v="1389"/>
    <x v="1"/>
    <n v="17"/>
    <s v="Medium"/>
    <s v="Technical Degree"/>
    <s v="High"/>
    <s v="Female"/>
    <n v="56"/>
    <s v="High"/>
    <s v="High"/>
    <s v="Manufacturing Director"/>
    <s v="High"/>
    <s v="Married"/>
    <n v="10739"/>
    <n v="13943"/>
    <s v="High"/>
    <n v="8"/>
    <x v="1"/>
    <n v="11"/>
    <s v="High"/>
    <s v="High"/>
    <n v="1"/>
    <n v="22"/>
    <n v="2"/>
    <n v="3"/>
    <n v="10"/>
    <n v="7"/>
    <n v="0"/>
    <n v="8"/>
  </r>
  <r>
    <n v="730"/>
    <n v="35"/>
    <s v="26-35"/>
    <x v="1"/>
    <s v="Travel_Rarely"/>
    <n v="1389"/>
    <x v="1"/>
    <n v="25"/>
    <s v="High"/>
    <s v="Medical"/>
    <s v="High"/>
    <s v="Female"/>
    <n v="57"/>
    <s v="High"/>
    <s v="High"/>
    <s v="Healthcare Representative"/>
    <s v="High"/>
    <s v="Divorced"/>
    <n v="10388"/>
    <n v="6975"/>
    <s v="High"/>
    <n v="1"/>
    <x v="0"/>
    <n v="11"/>
    <s v="High"/>
    <s v="High"/>
    <n v="1"/>
    <n v="16"/>
    <n v="3"/>
    <n v="2"/>
    <n v="16"/>
    <n v="10"/>
    <n v="10"/>
    <n v="1"/>
  </r>
  <r>
    <n v="731"/>
    <n v="30"/>
    <s v="26-35"/>
    <x v="1"/>
    <s v="Travel_Rarely"/>
    <n v="1389"/>
    <x v="1"/>
    <n v="8"/>
    <s v="Good"/>
    <s v="Life Sciences"/>
    <s v="Medium"/>
    <s v="Female"/>
    <n v="73"/>
    <s v="Excellent"/>
    <s v="High"/>
    <s v="Research Director"/>
    <s v="Low"/>
    <s v="Married"/>
    <n v="11416"/>
    <n v="17802"/>
    <s v="High"/>
    <n v="0"/>
    <x v="0"/>
    <n v="12"/>
    <s v="High"/>
    <s v="High"/>
    <n v="3"/>
    <n v="9"/>
    <n v="4"/>
    <n v="2"/>
    <n v="8"/>
    <n v="7"/>
    <n v="1"/>
    <n v="7"/>
  </r>
  <r>
    <n v="732"/>
    <n v="20"/>
    <s v="18-25"/>
    <x v="0"/>
    <s v="Travel_Rarely"/>
    <n v="1389"/>
    <x v="1"/>
    <n v="11"/>
    <s v="Medium"/>
    <s v="Medical"/>
    <s v="Excellent"/>
    <s v="Female"/>
    <n v="98"/>
    <s v="Medium"/>
    <s v="Low"/>
    <s v="Research Scientist"/>
    <s v="Low"/>
    <s v="Single"/>
    <n v="2600"/>
    <n v="18275"/>
    <s v="Low"/>
    <n v="1"/>
    <x v="0"/>
    <n v="15"/>
    <s v="High"/>
    <s v="Low"/>
    <n v="0"/>
    <n v="1"/>
    <n v="2"/>
    <n v="3"/>
    <n v="1"/>
    <n v="0"/>
    <n v="0"/>
    <n v="0"/>
  </r>
  <r>
    <n v="733"/>
    <n v="30"/>
    <s v="26-35"/>
    <x v="0"/>
    <s v="Travel_Frequently"/>
    <n v="1389"/>
    <x v="1"/>
    <n v="5"/>
    <s v="Medium"/>
    <s v="Medical"/>
    <s v="Medium"/>
    <s v="Female"/>
    <n v="60"/>
    <s v="High"/>
    <s v="Low"/>
    <s v="Laboratory Technician"/>
    <s v="Medium"/>
    <s v="Single"/>
    <n v="2422"/>
    <n v="25725"/>
    <s v="Low"/>
    <n v="0"/>
    <x v="1"/>
    <n v="17"/>
    <s v="High"/>
    <s v="Low"/>
    <n v="0"/>
    <n v="4"/>
    <n v="3"/>
    <n v="3"/>
    <n v="3"/>
    <n v="2"/>
    <n v="1"/>
    <n v="2"/>
  </r>
  <r>
    <n v="734"/>
    <n v="26"/>
    <s v="26-35"/>
    <x v="1"/>
    <s v="Travel_Rarely"/>
    <n v="1389"/>
    <x v="1"/>
    <n v="2"/>
    <s v="Good"/>
    <s v="Medical"/>
    <s v="Excellent"/>
    <s v="Male"/>
    <n v="32"/>
    <s v="Excellent"/>
    <s v="Medium"/>
    <s v="Manufacturing Director"/>
    <s v="Excellent"/>
    <s v="Married"/>
    <n v="5472"/>
    <n v="3334"/>
    <s v="Medium"/>
    <n v="1"/>
    <x v="1"/>
    <n v="12"/>
    <s v="High"/>
    <s v="Medium"/>
    <n v="0"/>
    <n v="8"/>
    <n v="2"/>
    <n v="3"/>
    <n v="8"/>
    <n v="7"/>
    <n v="1"/>
    <n v="3"/>
  </r>
  <r>
    <n v="735"/>
    <n v="22"/>
    <s v="18-25"/>
    <x v="1"/>
    <s v="Travel_Rarely"/>
    <n v="1389"/>
    <x v="1"/>
    <n v="8"/>
    <s v="Low"/>
    <s v="Life Sciences"/>
    <s v="Medium"/>
    <s v="Male"/>
    <n v="94"/>
    <s v="Low"/>
    <s v="Low"/>
    <s v="Laboratory Technician"/>
    <s v="Low"/>
    <s v="Married"/>
    <n v="2451"/>
    <n v="6881"/>
    <s v="Low"/>
    <n v="1"/>
    <x v="1"/>
    <n v="15"/>
    <s v="High"/>
    <s v="Low"/>
    <n v="1"/>
    <n v="4"/>
    <n v="3"/>
    <n v="2"/>
    <n v="4"/>
    <n v="3"/>
    <n v="1"/>
    <n v="1"/>
  </r>
  <r>
    <n v="736"/>
    <n v="48"/>
    <s v="46-55"/>
    <x v="1"/>
    <s v="Travel_Rarely"/>
    <n v="1389"/>
    <x v="1"/>
    <n v="6"/>
    <s v="Medium"/>
    <s v="Life Sciences"/>
    <s v="Low"/>
    <s v="Male"/>
    <n v="97"/>
    <s v="Medium"/>
    <s v="Medium"/>
    <s v="Healthcare Representative"/>
    <s v="High"/>
    <s v="Single"/>
    <n v="4240"/>
    <n v="13119"/>
    <s v="Low"/>
    <n v="2"/>
    <x v="1"/>
    <n v="13"/>
    <s v="High"/>
    <s v="Excellent"/>
    <n v="0"/>
    <n v="19"/>
    <n v="0"/>
    <n v="3"/>
    <n v="2"/>
    <n v="2"/>
    <n v="2"/>
    <n v="2"/>
  </r>
  <r>
    <n v="737"/>
    <n v="48"/>
    <s v="46-55"/>
    <x v="1"/>
    <s v="Travel_Rarely"/>
    <n v="1389"/>
    <x v="1"/>
    <n v="4"/>
    <s v="High"/>
    <s v="Life Sciences"/>
    <s v="High"/>
    <s v="Male"/>
    <n v="78"/>
    <s v="Medium"/>
    <s v="High"/>
    <s v="Healthcare Representative"/>
    <s v="High"/>
    <s v="Single"/>
    <n v="10999"/>
    <n v="22245"/>
    <s v="High"/>
    <n v="7"/>
    <x v="1"/>
    <n v="14"/>
    <s v="High"/>
    <s v="Medium"/>
    <n v="0"/>
    <n v="27"/>
    <n v="3"/>
    <n v="3"/>
    <n v="15"/>
    <n v="11"/>
    <n v="4"/>
    <n v="8"/>
  </r>
  <r>
    <n v="738"/>
    <n v="41"/>
    <s v="36-45"/>
    <x v="1"/>
    <s v="Travel_Rarely"/>
    <n v="1389"/>
    <x v="1"/>
    <n v="7"/>
    <s v="Good"/>
    <s v="Medical"/>
    <s v="Excellent"/>
    <s v="Female"/>
    <n v="42"/>
    <s v="High"/>
    <s v="Medium"/>
    <s v="Manufacturing Director"/>
    <s v="High"/>
    <s v="Single"/>
    <n v="5003"/>
    <n v="23371"/>
    <s v="Medium"/>
    <n v="6"/>
    <x v="1"/>
    <n v="14"/>
    <s v="High"/>
    <s v="Medium"/>
    <n v="0"/>
    <n v="8"/>
    <n v="6"/>
    <n v="3"/>
    <n v="2"/>
    <n v="2"/>
    <n v="2"/>
    <n v="1"/>
  </r>
  <r>
    <n v="739"/>
    <n v="39"/>
    <s v="36-45"/>
    <x v="1"/>
    <s v="Travel_Rarely"/>
    <n v="1389"/>
    <x v="1"/>
    <n v="1"/>
    <s v="Low"/>
    <s v="Life Sciences"/>
    <s v="Excellent"/>
    <s v="Female"/>
    <n v="65"/>
    <s v="Medium"/>
    <s v="Excellent"/>
    <s v="Manufacturing Director"/>
    <s v="Excellent"/>
    <s v="Married"/>
    <n v="12742"/>
    <n v="7060"/>
    <s v="High"/>
    <n v="1"/>
    <x v="1"/>
    <n v="16"/>
    <s v="High"/>
    <s v="High"/>
    <n v="1"/>
    <n v="21"/>
    <n v="3"/>
    <n v="3"/>
    <n v="21"/>
    <n v="6"/>
    <n v="11"/>
    <n v="8"/>
  </r>
  <r>
    <n v="740"/>
    <n v="27"/>
    <s v="26-35"/>
    <x v="1"/>
    <s v="Travel_Rarely"/>
    <n v="1389"/>
    <x v="1"/>
    <n v="2"/>
    <s v="High"/>
    <s v="Life Sciences"/>
    <s v="Low"/>
    <s v="Female"/>
    <n v="47"/>
    <s v="High"/>
    <s v="Medium"/>
    <s v="Manufacturing Director"/>
    <s v="Excellent"/>
    <s v="Married"/>
    <n v="4227"/>
    <n v="4658"/>
    <s v="Low"/>
    <n v="0"/>
    <x v="1"/>
    <n v="18"/>
    <s v="High"/>
    <s v="Medium"/>
    <n v="1"/>
    <n v="4"/>
    <n v="2"/>
    <n v="3"/>
    <n v="3"/>
    <n v="2"/>
    <n v="2"/>
    <n v="2"/>
  </r>
  <r>
    <n v="741"/>
    <n v="35"/>
    <s v="26-35"/>
    <x v="1"/>
    <s v="Travel_Rarely"/>
    <n v="1389"/>
    <x v="1"/>
    <n v="10"/>
    <s v="Medium"/>
    <s v="Other"/>
    <s v="Medium"/>
    <s v="Male"/>
    <n v="45"/>
    <s v="High"/>
    <s v="Low"/>
    <s v="Laboratory Technician"/>
    <s v="Excellent"/>
    <s v="Divorced"/>
    <n v="3917"/>
    <n v="9541"/>
    <s v="Low"/>
    <n v="1"/>
    <x v="1"/>
    <n v="20"/>
    <s v="Excellent"/>
    <s v="Low"/>
    <n v="1"/>
    <n v="3"/>
    <n v="4"/>
    <n v="2"/>
    <n v="3"/>
    <n v="2"/>
    <n v="1"/>
    <n v="2"/>
  </r>
  <r>
    <n v="742"/>
    <n v="42"/>
    <s v="36-45"/>
    <x v="1"/>
    <s v="Travel_Rarely"/>
    <n v="1389"/>
    <x v="0"/>
    <n v="5"/>
    <s v="Good"/>
    <s v="Marketing"/>
    <s v="Excellent"/>
    <s v="Male"/>
    <n v="90"/>
    <s v="High"/>
    <e v="#N/A"/>
    <s v="Manager"/>
    <s v="High"/>
    <s v="Married"/>
    <n v="18303"/>
    <n v="7770"/>
    <s v="High"/>
    <n v="6"/>
    <x v="1"/>
    <n v="13"/>
    <s v="High"/>
    <s v="Medium"/>
    <n v="0"/>
    <n v="21"/>
    <n v="3"/>
    <n v="4"/>
    <n v="1"/>
    <n v="0"/>
    <n v="0"/>
    <n v="0"/>
  </r>
  <r>
    <n v="743"/>
    <n v="50"/>
    <s v="46-55"/>
    <x v="1"/>
    <s v="Travel_Rarely"/>
    <n v="1389"/>
    <x v="1"/>
    <n v="9"/>
    <s v="Medium"/>
    <s v="Life Sciences"/>
    <s v="Low"/>
    <s v="Male"/>
    <n v="64"/>
    <s v="High"/>
    <s v="Low"/>
    <s v="Laboratory Technician"/>
    <s v="Excellent"/>
    <s v="Married"/>
    <n v="2380"/>
    <n v="20165"/>
    <s v="Low"/>
    <n v="4"/>
    <x v="1"/>
    <n v="18"/>
    <s v="High"/>
    <s v="Medium"/>
    <n v="0"/>
    <n v="8"/>
    <n v="5"/>
    <n v="3"/>
    <n v="1"/>
    <n v="0"/>
    <n v="0"/>
    <n v="0"/>
  </r>
  <r>
    <n v="744"/>
    <n v="59"/>
    <s v="55+"/>
    <x v="1"/>
    <s v="Travel_Rarely"/>
    <n v="1389"/>
    <x v="1"/>
    <n v="2"/>
    <s v="Medium"/>
    <s v="Life Sciences"/>
    <s v="High"/>
    <s v="Female"/>
    <n v="69"/>
    <s v="Medium"/>
    <s v="Excellent"/>
    <s v="Manufacturing Director"/>
    <s v="Excellent"/>
    <s v="Single"/>
    <n v="13726"/>
    <n v="21829"/>
    <s v="High"/>
    <n v="3"/>
    <x v="0"/>
    <n v="13"/>
    <s v="High"/>
    <s v="Low"/>
    <n v="0"/>
    <n v="30"/>
    <n v="4"/>
    <n v="3"/>
    <n v="5"/>
    <n v="3"/>
    <n v="4"/>
    <n v="3"/>
  </r>
  <r>
    <n v="745"/>
    <n v="37"/>
    <s v="36-45"/>
    <x v="0"/>
    <s v="Travel_Rarely"/>
    <n v="1389"/>
    <x v="1"/>
    <n v="11"/>
    <s v="Good"/>
    <s v="Medical"/>
    <s v="Low"/>
    <s v="Female"/>
    <n v="61"/>
    <s v="Low"/>
    <s v="Medium"/>
    <s v="Healthcare Representative"/>
    <s v="Medium"/>
    <s v="Married"/>
    <n v="4777"/>
    <n v="14382"/>
    <s v="Low"/>
    <n v="5"/>
    <x v="1"/>
    <n v="15"/>
    <s v="High"/>
    <s v="Low"/>
    <n v="0"/>
    <n v="15"/>
    <n v="2"/>
    <n v="1"/>
    <n v="1"/>
    <n v="0"/>
    <n v="0"/>
    <n v="0"/>
  </r>
  <r>
    <n v="746"/>
    <n v="55"/>
    <s v="46-55"/>
    <x v="1"/>
    <s v="Travel_Frequently"/>
    <n v="1389"/>
    <x v="1"/>
    <n v="18"/>
    <s v="High"/>
    <s v="Medical"/>
    <s v="High"/>
    <s v="Male"/>
    <n v="62"/>
    <s v="High"/>
    <s v="Medium"/>
    <s v="Healthcare Representative"/>
    <s v="Medium"/>
    <s v="Married"/>
    <n v="6385"/>
    <n v="12992"/>
    <s v="Medium"/>
    <n v="3"/>
    <x v="0"/>
    <n v="14"/>
    <s v="High"/>
    <s v="Excellent"/>
    <n v="2"/>
    <n v="17"/>
    <n v="3"/>
    <n v="3"/>
    <n v="8"/>
    <n v="7"/>
    <n v="6"/>
    <n v="7"/>
  </r>
  <r>
    <n v="747"/>
    <n v="41"/>
    <s v="36-45"/>
    <x v="1"/>
    <s v="Non-Travel"/>
    <n v="1389"/>
    <x v="1"/>
    <n v="7"/>
    <s v="Low"/>
    <s v="Life Sciences"/>
    <s v="Medium"/>
    <s v="Female"/>
    <n v="55"/>
    <s v="Low"/>
    <e v="#N/A"/>
    <s v="Research Director"/>
    <s v="High"/>
    <s v="Divorced"/>
    <n v="19973"/>
    <n v="20284"/>
    <s v="High"/>
    <n v="1"/>
    <x v="1"/>
    <n v="22"/>
    <s v="Excellent"/>
    <s v="Medium"/>
    <n v="2"/>
    <n v="21"/>
    <n v="3"/>
    <n v="3"/>
    <n v="21"/>
    <n v="16"/>
    <n v="5"/>
    <n v="10"/>
  </r>
  <r>
    <n v="748"/>
    <n v="38"/>
    <s v="36-45"/>
    <x v="1"/>
    <s v="Travel_Rarely"/>
    <n v="1389"/>
    <x v="0"/>
    <n v="3"/>
    <s v="High"/>
    <s v="Life Sciences"/>
    <s v="Medium"/>
    <s v="Male"/>
    <n v="42"/>
    <s v="High"/>
    <s v="Medium"/>
    <s v="Sales Executive"/>
    <s v="Excellent"/>
    <s v="Single"/>
    <n v="6861"/>
    <n v="4981"/>
    <s v="Medium"/>
    <n v="8"/>
    <x v="0"/>
    <n v="12"/>
    <s v="High"/>
    <s v="High"/>
    <n v="0"/>
    <n v="19"/>
    <n v="1"/>
    <n v="3"/>
    <n v="1"/>
    <n v="0"/>
    <n v="0"/>
    <n v="0"/>
  </r>
  <r>
    <n v="749"/>
    <n v="26"/>
    <s v="26-35"/>
    <x v="0"/>
    <s v="Non-Travel"/>
    <n v="1389"/>
    <x v="0"/>
    <n v="29"/>
    <s v="Good"/>
    <s v="Medical"/>
    <s v="Medium"/>
    <s v="Male"/>
    <n v="79"/>
    <s v="Low"/>
    <s v="Medium"/>
    <s v="Sales Executive"/>
    <s v="Low"/>
    <s v="Single"/>
    <n v="4969"/>
    <n v="21813"/>
    <s v="Low"/>
    <n v="8"/>
    <x v="1"/>
    <n v="18"/>
    <s v="High"/>
    <s v="Excellent"/>
    <n v="0"/>
    <n v="7"/>
    <n v="6"/>
    <n v="3"/>
    <n v="2"/>
    <n v="2"/>
    <n v="2"/>
    <n v="2"/>
  </r>
  <r>
    <n v="750"/>
    <n v="52"/>
    <s v="46-55"/>
    <x v="0"/>
    <s v="Travel_Rarely"/>
    <n v="1389"/>
    <x v="0"/>
    <n v="2"/>
    <s v="Low"/>
    <s v="Marketing"/>
    <s v="Low"/>
    <s v="Female"/>
    <n v="57"/>
    <s v="Low"/>
    <e v="#N/A"/>
    <s v="Manager"/>
    <s v="Excellent"/>
    <s v="Married"/>
    <n v="19845"/>
    <n v="25846"/>
    <s v="High"/>
    <n v="1"/>
    <x v="1"/>
    <n v="15"/>
    <s v="High"/>
    <s v="Excellent"/>
    <n v="1"/>
    <n v="33"/>
    <n v="3"/>
    <n v="3"/>
    <n v="32"/>
    <n v="14"/>
    <n v="6"/>
    <n v="9"/>
  </r>
  <r>
    <n v="751"/>
    <n v="44"/>
    <s v="36-45"/>
    <x v="1"/>
    <s v="Travel_Rarely"/>
    <n v="1389"/>
    <x v="0"/>
    <n v="28"/>
    <s v="Medium"/>
    <s v="Medical"/>
    <s v="Excellent"/>
    <s v="Female"/>
    <n v="53"/>
    <s v="Excellent"/>
    <s v="Excellent"/>
    <s v="Sales Executive"/>
    <s v="Excellent"/>
    <s v="Married"/>
    <n v="13320"/>
    <n v="11737"/>
    <s v="High"/>
    <n v="3"/>
    <x v="0"/>
    <n v="18"/>
    <s v="High"/>
    <s v="High"/>
    <n v="1"/>
    <n v="23"/>
    <n v="2"/>
    <n v="3"/>
    <n v="12"/>
    <n v="11"/>
    <n v="11"/>
    <n v="11"/>
  </r>
  <r>
    <n v="752"/>
    <n v="50"/>
    <s v="46-55"/>
    <x v="1"/>
    <s v="Non-Travel"/>
    <n v="1389"/>
    <x v="0"/>
    <n v="1"/>
    <s v="Medium"/>
    <s v="Life Sciences"/>
    <s v="Excellent"/>
    <s v="Female"/>
    <n v="95"/>
    <s v="High"/>
    <s v="Medium"/>
    <s v="Sales Executive"/>
    <s v="High"/>
    <s v="Married"/>
    <n v="6347"/>
    <n v="24920"/>
    <s v="Medium"/>
    <n v="0"/>
    <x v="1"/>
    <n v="12"/>
    <s v="High"/>
    <s v="Low"/>
    <n v="1"/>
    <n v="19"/>
    <n v="3"/>
    <n v="3"/>
    <n v="18"/>
    <n v="7"/>
    <n v="0"/>
    <n v="13"/>
  </r>
  <r>
    <n v="753"/>
    <n v="36"/>
    <s v="36-45"/>
    <x v="0"/>
    <s v="Travel_Rarely"/>
    <n v="1389"/>
    <x v="1"/>
    <n v="16"/>
    <s v="High"/>
    <s v="Life Sciences"/>
    <s v="High"/>
    <s v="Female"/>
    <n v="43"/>
    <s v="Excellent"/>
    <s v="Low"/>
    <s v="Laboratory Technician"/>
    <s v="Low"/>
    <s v="Single"/>
    <n v="2743"/>
    <n v="8269"/>
    <s v="Low"/>
    <n v="1"/>
    <x v="1"/>
    <n v="16"/>
    <s v="High"/>
    <s v="High"/>
    <n v="0"/>
    <n v="18"/>
    <n v="1"/>
    <n v="3"/>
    <n v="17"/>
    <n v="13"/>
    <n v="15"/>
    <n v="14"/>
  </r>
  <r>
    <n v="754"/>
    <n v="39"/>
    <s v="36-45"/>
    <x v="1"/>
    <s v="Travel_Frequently"/>
    <n v="1389"/>
    <x v="1"/>
    <n v="22"/>
    <s v="Medium"/>
    <s v="Medical"/>
    <s v="Excellent"/>
    <s v="Female"/>
    <n v="82"/>
    <s v="High"/>
    <s v="High"/>
    <s v="Manufacturing Director"/>
    <s v="Low"/>
    <s v="Single"/>
    <n v="10880"/>
    <n v="5083"/>
    <s v="High"/>
    <n v="1"/>
    <x v="0"/>
    <n v="13"/>
    <s v="High"/>
    <s v="High"/>
    <n v="0"/>
    <n v="21"/>
    <n v="2"/>
    <n v="3"/>
    <n v="21"/>
    <n v="6"/>
    <n v="2"/>
    <n v="8"/>
  </r>
  <r>
    <n v="755"/>
    <n v="33"/>
    <s v="26-35"/>
    <x v="1"/>
    <s v="Non-Travel"/>
    <n v="1389"/>
    <x v="0"/>
    <n v="8"/>
    <s v="Low"/>
    <s v="Life Sciences"/>
    <s v="Medium"/>
    <s v="Female"/>
    <n v="88"/>
    <s v="Medium"/>
    <s v="Low"/>
    <s v="Sales Representative"/>
    <s v="Excellent"/>
    <s v="Single"/>
    <n v="2342"/>
    <n v="21437"/>
    <s v="Low"/>
    <n v="0"/>
    <x v="1"/>
    <n v="19"/>
    <s v="High"/>
    <s v="Excellent"/>
    <n v="0"/>
    <n v="3"/>
    <n v="2"/>
    <n v="2"/>
    <n v="2"/>
    <n v="2"/>
    <n v="2"/>
    <n v="2"/>
  </r>
  <r>
    <n v="756"/>
    <n v="45"/>
    <s v="36-45"/>
    <x v="1"/>
    <s v="Travel_Rarely"/>
    <n v="1389"/>
    <x v="0"/>
    <n v="11"/>
    <s v="Good"/>
    <s v="Life Sciences"/>
    <s v="Excellent"/>
    <s v="Female"/>
    <n v="90"/>
    <s v="High"/>
    <s v="Excellent"/>
    <s v="Manager"/>
    <s v="Excellent"/>
    <s v="Married"/>
    <n v="17650"/>
    <n v="5404"/>
    <s v="High"/>
    <n v="3"/>
    <x v="1"/>
    <n v="13"/>
    <s v="High"/>
    <s v="Medium"/>
    <n v="1"/>
    <n v="26"/>
    <n v="4"/>
    <n v="4"/>
    <n v="9"/>
    <n v="3"/>
    <n v="1"/>
    <n v="1"/>
  </r>
  <r>
    <n v="757"/>
    <n v="32"/>
    <s v="26-35"/>
    <x v="1"/>
    <s v="Non-Travel"/>
    <n v="1389"/>
    <x v="1"/>
    <n v="29"/>
    <s v="High"/>
    <s v="Medical"/>
    <s v="Excellent"/>
    <s v="Female"/>
    <n v="69"/>
    <s v="High"/>
    <s v="Low"/>
    <s v="Laboratory Technician"/>
    <s v="High"/>
    <s v="Single"/>
    <n v="4025"/>
    <n v="11135"/>
    <s v="Low"/>
    <n v="9"/>
    <x v="1"/>
    <n v="12"/>
    <s v="High"/>
    <s v="Medium"/>
    <n v="0"/>
    <n v="10"/>
    <n v="2"/>
    <n v="3"/>
    <n v="8"/>
    <n v="7"/>
    <n v="7"/>
    <n v="7"/>
  </r>
  <r>
    <n v="758"/>
    <n v="34"/>
    <s v="26-35"/>
    <x v="1"/>
    <s v="Travel_Rarely"/>
    <n v="1389"/>
    <x v="0"/>
    <n v="1"/>
    <s v="High"/>
    <s v="Marketing"/>
    <s v="Medium"/>
    <s v="Male"/>
    <n v="75"/>
    <s v="Excellent"/>
    <s v="Medium"/>
    <s v="Sales Executive"/>
    <s v="Excellent"/>
    <s v="Divorced"/>
    <n v="9725"/>
    <n v="12278"/>
    <s v="Medium"/>
    <n v="0"/>
    <x v="1"/>
    <n v="11"/>
    <s v="High"/>
    <s v="Excellent"/>
    <n v="1"/>
    <n v="16"/>
    <n v="2"/>
    <n v="2"/>
    <n v="15"/>
    <n v="1"/>
    <n v="0"/>
    <n v="9"/>
  </r>
  <r>
    <n v="759"/>
    <n v="59"/>
    <s v="55+"/>
    <x v="1"/>
    <s v="Travel_Rarely"/>
    <n v="1389"/>
    <x v="0"/>
    <n v="1"/>
    <s v="Good"/>
    <s v="Technical Degree"/>
    <s v="Medium"/>
    <s v="Male"/>
    <n v="66"/>
    <s v="High"/>
    <s v="High"/>
    <s v="Manager"/>
    <s v="Excellent"/>
    <s v="Married"/>
    <n v="11904"/>
    <n v="11038"/>
    <s v="High"/>
    <n v="3"/>
    <x v="0"/>
    <n v="14"/>
    <s v="High"/>
    <s v="High"/>
    <n v="1"/>
    <n v="14"/>
    <n v="1"/>
    <n v="1"/>
    <n v="6"/>
    <n v="4"/>
    <n v="0"/>
    <n v="4"/>
  </r>
  <r>
    <n v="760"/>
    <n v="45"/>
    <s v="36-45"/>
    <x v="1"/>
    <s v="Travel_Rarely"/>
    <n v="1389"/>
    <x v="2"/>
    <n v="24"/>
    <s v="High"/>
    <s v="Medical"/>
    <s v="Medium"/>
    <s v="Male"/>
    <n v="36"/>
    <s v="High"/>
    <s v="Low"/>
    <s v="Human Resources"/>
    <s v="Medium"/>
    <s v="Single"/>
    <n v="2177"/>
    <n v="8318"/>
    <s v="Low"/>
    <n v="1"/>
    <x v="1"/>
    <n v="16"/>
    <s v="High"/>
    <s v="Low"/>
    <n v="0"/>
    <n v="6"/>
    <n v="3"/>
    <n v="3"/>
    <n v="6"/>
    <n v="3"/>
    <n v="0"/>
    <n v="4"/>
  </r>
  <r>
    <n v="761"/>
    <n v="53"/>
    <s v="46-55"/>
    <x v="1"/>
    <s v="Travel_Frequently"/>
    <n v="1389"/>
    <x v="0"/>
    <n v="2"/>
    <s v="Medium"/>
    <s v="Marketing"/>
    <s v="High"/>
    <s v="Female"/>
    <n v="38"/>
    <s v="Medium"/>
    <s v="High"/>
    <s v="Sales Executive"/>
    <s v="Medium"/>
    <s v="Married"/>
    <n v="7525"/>
    <n v="23537"/>
    <s v="Medium"/>
    <n v="2"/>
    <x v="1"/>
    <n v="12"/>
    <s v="High"/>
    <s v="Low"/>
    <n v="1"/>
    <n v="30"/>
    <n v="2"/>
    <n v="3"/>
    <n v="15"/>
    <n v="7"/>
    <n v="6"/>
    <n v="12"/>
  </r>
  <r>
    <n v="762"/>
    <n v="36"/>
    <s v="36-45"/>
    <x v="0"/>
    <s v="Travel_Rarely"/>
    <n v="1389"/>
    <x v="1"/>
    <n v="15"/>
    <s v="Medium"/>
    <s v="Other"/>
    <s v="Low"/>
    <s v="Male"/>
    <n v="81"/>
    <s v="High"/>
    <s v="Medium"/>
    <s v="Laboratory Technician"/>
    <s v="High"/>
    <s v="Divorced"/>
    <n v="4834"/>
    <n v="7858"/>
    <s v="Low"/>
    <n v="7"/>
    <x v="1"/>
    <n v="14"/>
    <s v="High"/>
    <s v="Medium"/>
    <n v="1"/>
    <n v="9"/>
    <n v="3"/>
    <n v="2"/>
    <n v="1"/>
    <n v="0"/>
    <n v="0"/>
    <n v="0"/>
  </r>
  <r>
    <n v="763"/>
    <n v="26"/>
    <s v="26-35"/>
    <x v="0"/>
    <s v="Travel_Frequently"/>
    <n v="1389"/>
    <x v="1"/>
    <n v="2"/>
    <s v="Medium"/>
    <s v="Life Sciences"/>
    <s v="Low"/>
    <s v="Male"/>
    <n v="57"/>
    <s v="High"/>
    <s v="Low"/>
    <s v="Research Scientist"/>
    <s v="Low"/>
    <s v="Married"/>
    <n v="2042"/>
    <n v="15346"/>
    <s v="Low"/>
    <n v="6"/>
    <x v="0"/>
    <n v="14"/>
    <s v="High"/>
    <s v="Medium"/>
    <n v="1"/>
    <n v="6"/>
    <n v="2"/>
    <n v="3"/>
    <n v="3"/>
    <n v="2"/>
    <n v="1"/>
    <n v="2"/>
  </r>
  <r>
    <n v="764"/>
    <n v="34"/>
    <s v="26-35"/>
    <x v="1"/>
    <s v="Travel_Rarely"/>
    <n v="1389"/>
    <x v="0"/>
    <n v="10"/>
    <s v="High"/>
    <s v="Life Sciences"/>
    <s v="High"/>
    <s v="Female"/>
    <n v="87"/>
    <s v="High"/>
    <s v="Low"/>
    <s v="Sales Representative"/>
    <s v="High"/>
    <s v="Married"/>
    <n v="2220"/>
    <n v="18410"/>
    <s v="Low"/>
    <n v="1"/>
    <x v="0"/>
    <n v="19"/>
    <s v="High"/>
    <s v="Excellent"/>
    <n v="1"/>
    <n v="1"/>
    <n v="2"/>
    <n v="3"/>
    <n v="1"/>
    <n v="1"/>
    <n v="0"/>
    <n v="0"/>
  </r>
  <r>
    <n v="765"/>
    <n v="28"/>
    <s v="26-35"/>
    <x v="1"/>
    <s v="Travel_Rarely"/>
    <n v="1389"/>
    <x v="0"/>
    <n v="10"/>
    <s v="Low"/>
    <s v="Medical"/>
    <s v="Excellent"/>
    <s v="Male"/>
    <n v="74"/>
    <s v="High"/>
    <s v="Low"/>
    <s v="Sales Representative"/>
    <s v="Medium"/>
    <s v="Married"/>
    <n v="1052"/>
    <n v="23384"/>
    <s v="Low"/>
    <n v="1"/>
    <x v="1"/>
    <n v="22"/>
    <s v="Excellent"/>
    <s v="Medium"/>
    <n v="0"/>
    <n v="1"/>
    <n v="5"/>
    <n v="3"/>
    <n v="1"/>
    <n v="0"/>
    <n v="0"/>
    <n v="0"/>
  </r>
  <r>
    <n v="766"/>
    <n v="38"/>
    <s v="36-45"/>
    <x v="1"/>
    <s v="Travel_Frequently"/>
    <n v="1389"/>
    <x v="1"/>
    <n v="3"/>
    <s v="High"/>
    <s v="Other"/>
    <s v="High"/>
    <s v="Male"/>
    <n v="44"/>
    <s v="High"/>
    <s v="Low"/>
    <s v="Research Scientist"/>
    <s v="High"/>
    <s v="Married"/>
    <n v="2821"/>
    <n v="2997"/>
    <s v="Low"/>
    <n v="3"/>
    <x v="1"/>
    <n v="16"/>
    <s v="High"/>
    <s v="Low"/>
    <n v="1"/>
    <n v="8"/>
    <n v="2"/>
    <n v="3"/>
    <n v="2"/>
    <n v="2"/>
    <n v="2"/>
    <n v="2"/>
  </r>
  <r>
    <n v="767"/>
    <n v="50"/>
    <s v="46-55"/>
    <x v="1"/>
    <s v="Travel_Rarely"/>
    <n v="1389"/>
    <x v="1"/>
    <n v="2"/>
    <s v="High"/>
    <s v="Medical"/>
    <s v="Medium"/>
    <s v="Male"/>
    <n v="62"/>
    <s v="High"/>
    <e v="#N/A"/>
    <s v="Research Director"/>
    <s v="High"/>
    <s v="Married"/>
    <n v="19237"/>
    <n v="12853"/>
    <s v="High"/>
    <n v="2"/>
    <x v="0"/>
    <n v="11"/>
    <s v="High"/>
    <s v="Excellent"/>
    <n v="1"/>
    <n v="29"/>
    <n v="2"/>
    <n v="2"/>
    <n v="8"/>
    <n v="1"/>
    <n v="7"/>
    <n v="7"/>
  </r>
  <r>
    <n v="768"/>
    <n v="37"/>
    <s v="36-45"/>
    <x v="1"/>
    <s v="Travel_Rarely"/>
    <n v="1389"/>
    <x v="1"/>
    <n v="3"/>
    <s v="Medium"/>
    <s v="Other"/>
    <s v="Excellent"/>
    <s v="Female"/>
    <n v="35"/>
    <s v="High"/>
    <s v="Medium"/>
    <s v="Healthcare Representative"/>
    <s v="Medium"/>
    <s v="Single"/>
    <n v="4107"/>
    <n v="13848"/>
    <s v="Low"/>
    <n v="3"/>
    <x v="1"/>
    <n v="15"/>
    <s v="High"/>
    <s v="Low"/>
    <n v="0"/>
    <n v="8"/>
    <n v="3"/>
    <n v="2"/>
    <n v="4"/>
    <n v="3"/>
    <n v="0"/>
    <n v="1"/>
  </r>
  <r>
    <n v="769"/>
    <n v="40"/>
    <s v="36-45"/>
    <x v="1"/>
    <s v="Travel_Rarely"/>
    <n v="1389"/>
    <x v="0"/>
    <n v="26"/>
    <s v="Medium"/>
    <s v="Marketing"/>
    <s v="High"/>
    <s v="Male"/>
    <n v="74"/>
    <s v="High"/>
    <s v="Medium"/>
    <s v="Sales Executive"/>
    <s v="Low"/>
    <s v="Married"/>
    <n v="8396"/>
    <n v="22217"/>
    <s v="Medium"/>
    <n v="1"/>
    <x v="1"/>
    <n v="14"/>
    <s v="High"/>
    <s v="Medium"/>
    <n v="1"/>
    <n v="8"/>
    <n v="3"/>
    <n v="2"/>
    <n v="7"/>
    <n v="7"/>
    <n v="7"/>
    <n v="5"/>
  </r>
  <r>
    <n v="770"/>
    <n v="26"/>
    <s v="26-35"/>
    <x v="1"/>
    <s v="Travel_Frequently"/>
    <n v="1389"/>
    <x v="1"/>
    <n v="1"/>
    <s v="Low"/>
    <s v="Medical"/>
    <s v="Low"/>
    <s v="Female"/>
    <n v="66"/>
    <s v="Medium"/>
    <s v="Low"/>
    <s v="Research Scientist"/>
    <s v="High"/>
    <s v="Divorced"/>
    <n v="2007"/>
    <n v="25265"/>
    <s v="Low"/>
    <n v="1"/>
    <x v="1"/>
    <n v="13"/>
    <s v="High"/>
    <s v="High"/>
    <n v="2"/>
    <n v="5"/>
    <n v="5"/>
    <n v="3"/>
    <n v="5"/>
    <n v="3"/>
    <n v="1"/>
    <n v="3"/>
  </r>
  <r>
    <n v="771"/>
    <n v="46"/>
    <s v="46-55"/>
    <x v="1"/>
    <s v="Travel_Rarely"/>
    <n v="1389"/>
    <x v="1"/>
    <n v="1"/>
    <s v="High"/>
    <s v="Medical"/>
    <s v="Excellent"/>
    <s v="Male"/>
    <n v="40"/>
    <s v="High"/>
    <e v="#N/A"/>
    <s v="Research Director"/>
    <s v="Excellent"/>
    <s v="Divorced"/>
    <n v="19627"/>
    <n v="21445"/>
    <s v="High"/>
    <n v="9"/>
    <x v="1"/>
    <n v="17"/>
    <s v="High"/>
    <s v="Excellent"/>
    <n v="2"/>
    <n v="23"/>
    <n v="0"/>
    <n v="3"/>
    <n v="2"/>
    <n v="2"/>
    <n v="2"/>
    <n v="2"/>
  </r>
  <r>
    <n v="772"/>
    <n v="54"/>
    <s v="46-55"/>
    <x v="1"/>
    <s v="Travel_Rarely"/>
    <n v="1389"/>
    <x v="0"/>
    <n v="2"/>
    <s v="High"/>
    <s v="Life Sciences"/>
    <s v="High"/>
    <s v="Female"/>
    <n v="41"/>
    <s v="Medium"/>
    <s v="High"/>
    <s v="Sales Executive"/>
    <s v="High"/>
    <s v="Married"/>
    <n v="10686"/>
    <n v="8392"/>
    <s v="High"/>
    <n v="6"/>
    <x v="1"/>
    <n v="11"/>
    <s v="High"/>
    <s v="Medium"/>
    <n v="1"/>
    <n v="13"/>
    <n v="4"/>
    <n v="3"/>
    <n v="9"/>
    <n v="4"/>
    <n v="7"/>
    <n v="0"/>
  </r>
  <r>
    <n v="773"/>
    <n v="56"/>
    <s v="55+"/>
    <x v="1"/>
    <s v="Travel_Frequently"/>
    <n v="1389"/>
    <x v="1"/>
    <n v="9"/>
    <s v="Medium"/>
    <s v="Medical"/>
    <s v="Low"/>
    <s v="Female"/>
    <n v="63"/>
    <s v="High"/>
    <s v="Low"/>
    <s v="Research Scientist"/>
    <s v="High"/>
    <s v="Married"/>
    <n v="2942"/>
    <n v="12154"/>
    <s v="Low"/>
    <n v="2"/>
    <x v="1"/>
    <n v="19"/>
    <s v="High"/>
    <s v="Medium"/>
    <n v="1"/>
    <n v="18"/>
    <n v="4"/>
    <n v="3"/>
    <n v="5"/>
    <n v="4"/>
    <n v="0"/>
    <n v="3"/>
  </r>
  <r>
    <n v="774"/>
    <n v="36"/>
    <s v="36-45"/>
    <x v="1"/>
    <s v="Travel_Rarely"/>
    <n v="1389"/>
    <x v="1"/>
    <n v="12"/>
    <s v="Excellent"/>
    <s v="Medical"/>
    <s v="Excellent"/>
    <s v="Female"/>
    <n v="51"/>
    <s v="Medium"/>
    <s v="High"/>
    <s v="Manufacturing Director"/>
    <s v="Excellent"/>
    <s v="Single"/>
    <n v="8858"/>
    <n v="15669"/>
    <s v="Medium"/>
    <n v="0"/>
    <x v="1"/>
    <n v="11"/>
    <s v="High"/>
    <s v="Medium"/>
    <n v="0"/>
    <n v="15"/>
    <n v="2"/>
    <n v="2"/>
    <n v="14"/>
    <n v="8"/>
    <n v="7"/>
    <n v="8"/>
  </r>
  <r>
    <n v="775"/>
    <n v="55"/>
    <s v="46-55"/>
    <x v="1"/>
    <s v="Non-Travel"/>
    <n v="1389"/>
    <x v="1"/>
    <n v="2"/>
    <s v="Low"/>
    <s v="Medical"/>
    <s v="High"/>
    <s v="Male"/>
    <n v="40"/>
    <s v="Medium"/>
    <s v="Excellent"/>
    <s v="Manager"/>
    <s v="Low"/>
    <s v="Single"/>
    <n v="16756"/>
    <n v="17323"/>
    <s v="High"/>
    <n v="7"/>
    <x v="1"/>
    <n v="15"/>
    <s v="High"/>
    <s v="Medium"/>
    <n v="0"/>
    <n v="31"/>
    <n v="3"/>
    <n v="4"/>
    <n v="9"/>
    <n v="7"/>
    <n v="6"/>
    <n v="2"/>
  </r>
  <r>
    <n v="776"/>
    <n v="43"/>
    <s v="36-45"/>
    <x v="1"/>
    <s v="Travel_Rarely"/>
    <n v="1389"/>
    <x v="0"/>
    <n v="25"/>
    <s v="Medium"/>
    <s v="Medical"/>
    <s v="High"/>
    <s v="Male"/>
    <n v="79"/>
    <s v="Medium"/>
    <s v="High"/>
    <s v="Sales Executive"/>
    <s v="Excellent"/>
    <s v="Divorced"/>
    <n v="10798"/>
    <n v="5268"/>
    <s v="High"/>
    <n v="5"/>
    <x v="1"/>
    <n v="13"/>
    <s v="High"/>
    <s v="High"/>
    <n v="1"/>
    <n v="18"/>
    <n v="5"/>
    <n v="3"/>
    <n v="1"/>
    <n v="0"/>
    <n v="0"/>
    <n v="0"/>
  </r>
  <r>
    <n v="777"/>
    <n v="20"/>
    <s v="18-25"/>
    <x v="0"/>
    <s v="Travel_Frequently"/>
    <n v="1389"/>
    <x v="0"/>
    <n v="9"/>
    <s v="Medium"/>
    <s v="Marketing"/>
    <s v="Excellent"/>
    <s v="Female"/>
    <n v="54"/>
    <s v="High"/>
    <s v="Low"/>
    <s v="Sales Representative"/>
    <s v="Excellent"/>
    <s v="Single"/>
    <n v="2323"/>
    <n v="17205"/>
    <s v="Low"/>
    <n v="1"/>
    <x v="0"/>
    <n v="14"/>
    <s v="High"/>
    <s v="Medium"/>
    <n v="0"/>
    <n v="2"/>
    <n v="3"/>
    <n v="3"/>
    <n v="2"/>
    <n v="2"/>
    <n v="0"/>
    <n v="2"/>
  </r>
  <r>
    <n v="778"/>
    <n v="21"/>
    <s v="18-25"/>
    <x v="0"/>
    <s v="Travel_Rarely"/>
    <n v="1389"/>
    <x v="1"/>
    <n v="10"/>
    <s v="Medium"/>
    <s v="Life Sciences"/>
    <s v="High"/>
    <s v="Female"/>
    <n v="36"/>
    <s v="Medium"/>
    <s v="Low"/>
    <s v="Laboratory Technician"/>
    <s v="Low"/>
    <s v="Single"/>
    <n v="1416"/>
    <n v="17258"/>
    <s v="Low"/>
    <n v="1"/>
    <x v="1"/>
    <n v="13"/>
    <s v="High"/>
    <s v="Low"/>
    <n v="0"/>
    <n v="1"/>
    <n v="6"/>
    <n v="2"/>
    <n v="1"/>
    <n v="0"/>
    <n v="1"/>
    <n v="0"/>
  </r>
  <r>
    <n v="779"/>
    <n v="46"/>
    <s v="46-55"/>
    <x v="1"/>
    <s v="Travel_Rarely"/>
    <n v="1389"/>
    <x v="1"/>
    <n v="8"/>
    <s v="High"/>
    <s v="Life Sciences"/>
    <s v="Excellent"/>
    <s v="Female"/>
    <n v="74"/>
    <s v="Medium"/>
    <s v="Medium"/>
    <s v="Research Scientist"/>
    <s v="Low"/>
    <s v="Divorced"/>
    <n v="4615"/>
    <n v="21029"/>
    <s v="Low"/>
    <n v="8"/>
    <x v="0"/>
    <n v="23"/>
    <s v="Excellent"/>
    <s v="Low"/>
    <n v="3"/>
    <n v="19"/>
    <n v="2"/>
    <n v="3"/>
    <n v="16"/>
    <n v="13"/>
    <n v="1"/>
    <n v="7"/>
  </r>
  <r>
    <n v="780"/>
    <n v="51"/>
    <s v="46-55"/>
    <x v="0"/>
    <s v="Travel_Rarely"/>
    <n v="1389"/>
    <x v="1"/>
    <n v="4"/>
    <s v="High"/>
    <s v="Life Sciences"/>
    <s v="Low"/>
    <s v="Male"/>
    <n v="34"/>
    <s v="High"/>
    <s v="Low"/>
    <s v="Research Scientist"/>
    <s v="High"/>
    <s v="Married"/>
    <n v="2461"/>
    <n v="10332"/>
    <s v="Low"/>
    <n v="9"/>
    <x v="0"/>
    <n v="12"/>
    <s v="High"/>
    <s v="High"/>
    <n v="3"/>
    <n v="18"/>
    <n v="2"/>
    <n v="4"/>
    <n v="10"/>
    <n v="0"/>
    <n v="2"/>
    <n v="7"/>
  </r>
  <r>
    <n v="781"/>
    <n v="28"/>
    <s v="26-35"/>
    <x v="0"/>
    <s v="Non-Travel"/>
    <n v="1389"/>
    <x v="1"/>
    <n v="24"/>
    <s v="Good"/>
    <s v="Technical Degree"/>
    <s v="Medium"/>
    <s v="Male"/>
    <n v="72"/>
    <s v="Medium"/>
    <s v="High"/>
    <s v="Healthcare Representative"/>
    <s v="Low"/>
    <s v="Single"/>
    <n v="8722"/>
    <n v="12355"/>
    <s v="Medium"/>
    <n v="1"/>
    <x v="1"/>
    <n v="12"/>
    <s v="High"/>
    <s v="Low"/>
    <n v="0"/>
    <n v="10"/>
    <n v="2"/>
    <n v="2"/>
    <n v="10"/>
    <n v="7"/>
    <n v="1"/>
    <n v="9"/>
  </r>
  <r>
    <n v="782"/>
    <n v="26"/>
    <s v="26-35"/>
    <x v="1"/>
    <s v="Travel_Rarely"/>
    <n v="1389"/>
    <x v="1"/>
    <n v="1"/>
    <s v="Good"/>
    <s v="Medical"/>
    <s v="Low"/>
    <s v="Male"/>
    <n v="59"/>
    <s v="Medium"/>
    <s v="Low"/>
    <s v="Laboratory Technician"/>
    <s v="Low"/>
    <s v="Married"/>
    <n v="3955"/>
    <n v="11141"/>
    <s v="Low"/>
    <n v="1"/>
    <x v="1"/>
    <n v="16"/>
    <s v="High"/>
    <s v="Low"/>
    <n v="2"/>
    <n v="6"/>
    <n v="2"/>
    <n v="3"/>
    <n v="5"/>
    <n v="3"/>
    <n v="1"/>
    <n v="3"/>
  </r>
  <r>
    <n v="783"/>
    <n v="30"/>
    <s v="26-35"/>
    <x v="1"/>
    <s v="Travel_Rarely"/>
    <n v="1389"/>
    <x v="1"/>
    <n v="20"/>
    <s v="Medium"/>
    <s v="Other"/>
    <s v="High"/>
    <s v="Male"/>
    <n v="85"/>
    <s v="High"/>
    <s v="Medium"/>
    <s v="Manufacturing Director"/>
    <s v="Low"/>
    <s v="Married"/>
    <n v="9957"/>
    <n v="9096"/>
    <s v="Medium"/>
    <n v="0"/>
    <x v="1"/>
    <n v="15"/>
    <s v="High"/>
    <s v="High"/>
    <n v="1"/>
    <n v="7"/>
    <n v="1"/>
    <n v="2"/>
    <n v="6"/>
    <n v="2"/>
    <n v="0"/>
    <n v="2"/>
  </r>
  <r>
    <n v="784"/>
    <n v="41"/>
    <s v="36-45"/>
    <x v="1"/>
    <s v="Travel_Rarely"/>
    <n v="1389"/>
    <x v="1"/>
    <n v="7"/>
    <s v="Good"/>
    <s v="Technical Degree"/>
    <s v="Medium"/>
    <s v="Female"/>
    <n v="43"/>
    <s v="Excellent"/>
    <s v="Low"/>
    <s v="Research Scientist"/>
    <s v="High"/>
    <s v="Married"/>
    <n v="3376"/>
    <n v="18863"/>
    <s v="Low"/>
    <n v="1"/>
    <x v="1"/>
    <n v="13"/>
    <s v="High"/>
    <s v="High"/>
    <n v="0"/>
    <n v="10"/>
    <n v="3"/>
    <n v="3"/>
    <n v="10"/>
    <n v="6"/>
    <n v="0"/>
    <n v="8"/>
  </r>
  <r>
    <n v="785"/>
    <n v="38"/>
    <s v="36-45"/>
    <x v="1"/>
    <s v="Travel_Rarely"/>
    <n v="1389"/>
    <x v="1"/>
    <n v="17"/>
    <s v="Low"/>
    <s v="Life Sciences"/>
    <s v="High"/>
    <s v="Female"/>
    <n v="65"/>
    <s v="Medium"/>
    <s v="High"/>
    <s v="Healthcare Representative"/>
    <s v="High"/>
    <s v="Married"/>
    <n v="8823"/>
    <n v="24608"/>
    <s v="Medium"/>
    <n v="0"/>
    <x v="1"/>
    <n v="18"/>
    <s v="High"/>
    <s v="Low"/>
    <n v="1"/>
    <n v="20"/>
    <n v="4"/>
    <n v="2"/>
    <n v="19"/>
    <n v="9"/>
    <n v="1"/>
    <n v="9"/>
  </r>
  <r>
    <n v="786"/>
    <n v="40"/>
    <s v="36-45"/>
    <x v="1"/>
    <s v="Travel_Rarely"/>
    <n v="1389"/>
    <x v="1"/>
    <n v="20"/>
    <s v="High"/>
    <s v="Technical Degree"/>
    <s v="Low"/>
    <s v="Male"/>
    <n v="61"/>
    <s v="High"/>
    <s v="High"/>
    <s v="Healthcare Representative"/>
    <s v="Excellent"/>
    <s v="Married"/>
    <n v="10322"/>
    <n v="26542"/>
    <s v="High"/>
    <n v="4"/>
    <x v="1"/>
    <n v="20"/>
    <s v="Excellent"/>
    <s v="Excellent"/>
    <n v="1"/>
    <n v="14"/>
    <n v="6"/>
    <n v="3"/>
    <n v="11"/>
    <n v="10"/>
    <n v="11"/>
    <n v="1"/>
  </r>
  <r>
    <n v="787"/>
    <n v="27"/>
    <s v="26-35"/>
    <x v="1"/>
    <s v="Non-Travel"/>
    <n v="1389"/>
    <x v="1"/>
    <n v="8"/>
    <s v="Excellent"/>
    <s v="Life Sciences"/>
    <s v="Low"/>
    <s v="Male"/>
    <n v="87"/>
    <s v="Low"/>
    <s v="Low"/>
    <s v="Laboratory Technician"/>
    <s v="High"/>
    <s v="Married"/>
    <n v="4621"/>
    <n v="5869"/>
    <s v="Low"/>
    <n v="1"/>
    <x v="1"/>
    <n v="19"/>
    <s v="High"/>
    <s v="Excellent"/>
    <n v="3"/>
    <n v="3"/>
    <n v="4"/>
    <n v="3"/>
    <n v="3"/>
    <n v="2"/>
    <n v="1"/>
    <n v="2"/>
  </r>
  <r>
    <n v="788"/>
    <n v="55"/>
    <s v="46-55"/>
    <x v="1"/>
    <s v="Travel_Frequently"/>
    <n v="1389"/>
    <x v="1"/>
    <n v="2"/>
    <s v="Low"/>
    <s v="Life Sciences"/>
    <s v="Excellent"/>
    <s v="Male"/>
    <n v="65"/>
    <s v="High"/>
    <s v="High"/>
    <s v="Manufacturing Director"/>
    <s v="Medium"/>
    <s v="Married"/>
    <n v="10976"/>
    <n v="15813"/>
    <s v="High"/>
    <n v="3"/>
    <x v="1"/>
    <n v="18"/>
    <s v="High"/>
    <s v="Medium"/>
    <n v="1"/>
    <n v="23"/>
    <n v="4"/>
    <n v="3"/>
    <n v="3"/>
    <n v="2"/>
    <n v="1"/>
    <n v="2"/>
  </r>
  <r>
    <n v="789"/>
    <n v="28"/>
    <s v="26-35"/>
    <x v="1"/>
    <s v="Travel_Rarely"/>
    <n v="1389"/>
    <x v="1"/>
    <n v="10"/>
    <s v="Medium"/>
    <s v="Other"/>
    <s v="High"/>
    <s v="Female"/>
    <n v="59"/>
    <s v="High"/>
    <s v="Medium"/>
    <s v="Research Scientist"/>
    <s v="High"/>
    <s v="Single"/>
    <n v="3660"/>
    <n v="7909"/>
    <s v="Low"/>
    <n v="3"/>
    <x v="1"/>
    <n v="13"/>
    <s v="High"/>
    <s v="Excellent"/>
    <n v="0"/>
    <n v="10"/>
    <n v="4"/>
    <n v="4"/>
    <n v="8"/>
    <n v="7"/>
    <n v="1"/>
    <n v="7"/>
  </r>
  <r>
    <n v="790"/>
    <n v="44"/>
    <s v="36-45"/>
    <x v="0"/>
    <s v="Travel_Rarely"/>
    <n v="1389"/>
    <x v="2"/>
    <n v="1"/>
    <s v="Good"/>
    <s v="Medical"/>
    <s v="Medium"/>
    <s v="Male"/>
    <n v="91"/>
    <s v="Medium"/>
    <s v="High"/>
    <s v="Human Resources"/>
    <s v="Low"/>
    <s v="Married"/>
    <n v="10482"/>
    <n v="2326"/>
    <s v="High"/>
    <n v="9"/>
    <x v="1"/>
    <n v="14"/>
    <s v="High"/>
    <s v="Excellent"/>
    <n v="1"/>
    <n v="24"/>
    <n v="1"/>
    <n v="3"/>
    <n v="20"/>
    <n v="6"/>
    <n v="3"/>
    <n v="6"/>
  </r>
  <r>
    <n v="791"/>
    <n v="33"/>
    <s v="26-35"/>
    <x v="1"/>
    <s v="Travel_Rarely"/>
    <n v="1389"/>
    <x v="1"/>
    <n v="5"/>
    <s v="Medium"/>
    <s v="Life Sciences"/>
    <s v="Excellent"/>
    <s v="Male"/>
    <n v="34"/>
    <s v="Medium"/>
    <s v="High"/>
    <s v="Healthcare Representative"/>
    <s v="Excellent"/>
    <s v="Divorced"/>
    <n v="7119"/>
    <n v="21214"/>
    <s v="Medium"/>
    <n v="4"/>
    <x v="1"/>
    <n v="15"/>
    <s v="High"/>
    <s v="High"/>
    <n v="1"/>
    <n v="9"/>
    <n v="2"/>
    <n v="3"/>
    <n v="3"/>
    <n v="2"/>
    <n v="1"/>
    <n v="2"/>
  </r>
  <r>
    <n v="792"/>
    <n v="35"/>
    <s v="26-35"/>
    <x v="0"/>
    <s v="Travel_Rarely"/>
    <n v="1389"/>
    <x v="0"/>
    <n v="4"/>
    <s v="Medium"/>
    <s v="Technical Degree"/>
    <s v="Excellent"/>
    <s v="Male"/>
    <n v="86"/>
    <s v="High"/>
    <s v="High"/>
    <s v="Sales Executive"/>
    <s v="Low"/>
    <s v="Single"/>
    <n v="9582"/>
    <n v="10333"/>
    <s v="Medium"/>
    <n v="0"/>
    <x v="0"/>
    <n v="22"/>
    <s v="Excellent"/>
    <s v="Low"/>
    <n v="0"/>
    <n v="9"/>
    <n v="2"/>
    <n v="3"/>
    <n v="8"/>
    <n v="7"/>
    <n v="4"/>
    <n v="7"/>
  </r>
  <r>
    <n v="793"/>
    <n v="33"/>
    <s v="26-35"/>
    <x v="0"/>
    <s v="Travel_Frequently"/>
    <n v="1389"/>
    <x v="1"/>
    <n v="29"/>
    <s v="High"/>
    <s v="Medical"/>
    <s v="Low"/>
    <s v="Female"/>
    <n v="54"/>
    <s v="Medium"/>
    <s v="Medium"/>
    <s v="Research Scientist"/>
    <s v="High"/>
    <s v="Single"/>
    <n v="4508"/>
    <n v="3129"/>
    <s v="Low"/>
    <n v="1"/>
    <x v="1"/>
    <n v="22"/>
    <s v="Excellent"/>
    <s v="Medium"/>
    <n v="0"/>
    <n v="14"/>
    <n v="4"/>
    <n v="3"/>
    <n v="13"/>
    <n v="7"/>
    <n v="3"/>
    <n v="8"/>
  </r>
  <r>
    <n v="794"/>
    <n v="28"/>
    <s v="26-35"/>
    <x v="1"/>
    <s v="Travel_Rarely"/>
    <n v="1389"/>
    <x v="1"/>
    <n v="15"/>
    <s v="Good"/>
    <s v="Life Sciences"/>
    <s v="Low"/>
    <s v="Male"/>
    <n v="50"/>
    <s v="High"/>
    <s v="Low"/>
    <s v="Laboratory Technician"/>
    <s v="High"/>
    <s v="Divorced"/>
    <n v="2207"/>
    <n v="22482"/>
    <s v="Low"/>
    <n v="1"/>
    <x v="1"/>
    <n v="16"/>
    <s v="High"/>
    <s v="Excellent"/>
    <n v="1"/>
    <n v="4"/>
    <n v="5"/>
    <n v="2"/>
    <n v="4"/>
    <n v="2"/>
    <n v="2"/>
    <n v="2"/>
  </r>
  <r>
    <n v="795"/>
    <n v="34"/>
    <s v="26-35"/>
    <x v="1"/>
    <s v="Travel_Frequently"/>
    <n v="1389"/>
    <x v="1"/>
    <n v="3"/>
    <s v="Low"/>
    <s v="Life Sciences"/>
    <s v="Low"/>
    <s v="Male"/>
    <n v="45"/>
    <s v="High"/>
    <s v="Medium"/>
    <s v="Healthcare Representative"/>
    <s v="Excellent"/>
    <s v="Single"/>
    <n v="7756"/>
    <n v="22266"/>
    <s v="Medium"/>
    <n v="0"/>
    <x v="1"/>
    <n v="17"/>
    <s v="High"/>
    <s v="High"/>
    <n v="0"/>
    <n v="7"/>
    <n v="1"/>
    <n v="2"/>
    <n v="6"/>
    <n v="2"/>
    <n v="0"/>
    <n v="4"/>
  </r>
  <r>
    <n v="796"/>
    <n v="37"/>
    <s v="36-45"/>
    <x v="1"/>
    <s v="Travel_Rarely"/>
    <n v="1389"/>
    <x v="0"/>
    <n v="10"/>
    <s v="High"/>
    <s v="Life Sciences"/>
    <s v="Excellent"/>
    <s v="Female"/>
    <n v="88"/>
    <s v="Medium"/>
    <s v="Medium"/>
    <s v="Sales Executive"/>
    <s v="Excellent"/>
    <s v="Divorced"/>
    <n v="6694"/>
    <n v="24223"/>
    <s v="Medium"/>
    <n v="2"/>
    <x v="0"/>
    <n v="14"/>
    <s v="High"/>
    <s v="High"/>
    <n v="3"/>
    <n v="8"/>
    <n v="5"/>
    <n v="3"/>
    <n v="1"/>
    <n v="0"/>
    <n v="0"/>
    <n v="0"/>
  </r>
  <r>
    <n v="797"/>
    <n v="25"/>
    <s v="18-25"/>
    <x v="0"/>
    <s v="Travel_Rarely"/>
    <n v="1389"/>
    <x v="1"/>
    <n v="4"/>
    <s v="Low"/>
    <s v="Technical Degree"/>
    <s v="Excellent"/>
    <s v="Male"/>
    <n v="32"/>
    <s v="High"/>
    <s v="Low"/>
    <s v="Laboratory Technician"/>
    <s v="Excellent"/>
    <s v="Married"/>
    <n v="3691"/>
    <n v="4605"/>
    <s v="Low"/>
    <n v="1"/>
    <x v="0"/>
    <n v="15"/>
    <s v="High"/>
    <s v="Medium"/>
    <n v="1"/>
    <n v="7"/>
    <n v="3"/>
    <n v="4"/>
    <n v="7"/>
    <n v="7"/>
    <n v="5"/>
    <n v="6"/>
  </r>
  <r>
    <n v="798"/>
    <n v="26"/>
    <s v="26-35"/>
    <x v="0"/>
    <s v="Travel_Rarely"/>
    <n v="1389"/>
    <x v="1"/>
    <n v="21"/>
    <s v="Medium"/>
    <s v="Medical"/>
    <s v="Low"/>
    <s v="Male"/>
    <n v="37"/>
    <s v="High"/>
    <s v="Low"/>
    <s v="Laboratory Technician"/>
    <s v="High"/>
    <s v="Divorced"/>
    <n v="2377"/>
    <n v="19373"/>
    <s v="Low"/>
    <n v="1"/>
    <x v="1"/>
    <n v="20"/>
    <s v="Excellent"/>
    <s v="High"/>
    <n v="1"/>
    <n v="1"/>
    <n v="0"/>
    <n v="2"/>
    <n v="1"/>
    <n v="1"/>
    <n v="0"/>
    <n v="0"/>
  </r>
  <r>
    <n v="799"/>
    <n v="33"/>
    <s v="26-35"/>
    <x v="0"/>
    <s v="Travel_Rarely"/>
    <n v="1389"/>
    <x v="1"/>
    <n v="25"/>
    <s v="Medium"/>
    <s v="Medical"/>
    <s v="Low"/>
    <s v="Male"/>
    <n v="55"/>
    <s v="Medium"/>
    <s v="Low"/>
    <s v="Research Scientist"/>
    <s v="Medium"/>
    <s v="Single"/>
    <n v="2313"/>
    <n v="2993"/>
    <s v="Low"/>
    <n v="4"/>
    <x v="0"/>
    <n v="20"/>
    <s v="Excellent"/>
    <s v="Medium"/>
    <n v="0"/>
    <n v="5"/>
    <n v="0"/>
    <n v="3"/>
    <n v="2"/>
    <n v="2"/>
    <n v="2"/>
    <n v="2"/>
  </r>
  <r>
    <n v="800"/>
    <n v="42"/>
    <s v="36-45"/>
    <x v="1"/>
    <s v="Travel_Rarely"/>
    <n v="1389"/>
    <x v="1"/>
    <n v="2"/>
    <s v="Good"/>
    <s v="Medical"/>
    <s v="Excellent"/>
    <s v="Male"/>
    <n v="35"/>
    <s v="High"/>
    <s v="Excellent"/>
    <s v="Manager"/>
    <s v="Low"/>
    <s v="Married"/>
    <n v="17665"/>
    <n v="14399"/>
    <s v="High"/>
    <n v="0"/>
    <x v="1"/>
    <n v="17"/>
    <s v="High"/>
    <s v="Excellent"/>
    <n v="1"/>
    <n v="23"/>
    <n v="3"/>
    <n v="3"/>
    <n v="22"/>
    <n v="6"/>
    <n v="13"/>
    <n v="7"/>
  </r>
  <r>
    <n v="801"/>
    <n v="28"/>
    <s v="26-35"/>
    <x v="0"/>
    <s v="Travel_Frequently"/>
    <n v="1389"/>
    <x v="1"/>
    <n v="1"/>
    <s v="Medium"/>
    <s v="Medical"/>
    <s v="Low"/>
    <s v="Male"/>
    <n v="45"/>
    <s v="Medium"/>
    <s v="Low"/>
    <s v="Laboratory Technician"/>
    <s v="Medium"/>
    <s v="Divorced"/>
    <n v="2596"/>
    <n v="7160"/>
    <s v="Low"/>
    <n v="1"/>
    <x v="1"/>
    <n v="15"/>
    <s v="High"/>
    <s v="Low"/>
    <n v="2"/>
    <n v="1"/>
    <n v="2"/>
    <n v="3"/>
    <n v="1"/>
    <n v="0"/>
    <n v="0"/>
    <n v="0"/>
  </r>
  <r>
    <n v="802"/>
    <n v="50"/>
    <s v="46-55"/>
    <x v="0"/>
    <s v="Travel_Frequently"/>
    <n v="1389"/>
    <x v="0"/>
    <n v="1"/>
    <s v="High"/>
    <s v="Other"/>
    <s v="Excellent"/>
    <s v="Male"/>
    <n v="81"/>
    <s v="High"/>
    <s v="Medium"/>
    <s v="Sales Executive"/>
    <s v="High"/>
    <s v="Single"/>
    <n v="4728"/>
    <n v="17251"/>
    <s v="Low"/>
    <n v="3"/>
    <x v="0"/>
    <n v="14"/>
    <s v="High"/>
    <s v="Excellent"/>
    <n v="0"/>
    <n v="5"/>
    <n v="4"/>
    <n v="3"/>
    <n v="0"/>
    <n v="0"/>
    <n v="0"/>
    <n v="0"/>
  </r>
  <r>
    <n v="803"/>
    <n v="33"/>
    <s v="26-35"/>
    <x v="1"/>
    <s v="Travel_Frequently"/>
    <n v="1389"/>
    <x v="0"/>
    <n v="7"/>
    <s v="Medium"/>
    <s v="Life Sciences"/>
    <s v="Excellent"/>
    <s v="Female"/>
    <n v="30"/>
    <s v="High"/>
    <s v="Medium"/>
    <s v="Sales Executive"/>
    <s v="Medium"/>
    <s v="Married"/>
    <n v="4302"/>
    <n v="13401"/>
    <s v="Low"/>
    <n v="0"/>
    <x v="1"/>
    <n v="17"/>
    <s v="High"/>
    <s v="High"/>
    <n v="1"/>
    <n v="4"/>
    <n v="3"/>
    <n v="3"/>
    <n v="3"/>
    <n v="2"/>
    <n v="0"/>
    <n v="2"/>
  </r>
  <r>
    <n v="804"/>
    <n v="34"/>
    <s v="26-35"/>
    <x v="1"/>
    <s v="Non-Travel"/>
    <n v="1389"/>
    <x v="1"/>
    <n v="3"/>
    <s v="High"/>
    <s v="Life Sciences"/>
    <s v="High"/>
    <s v="Male"/>
    <n v="40"/>
    <s v="Medium"/>
    <s v="Low"/>
    <s v="Research Scientist"/>
    <s v="Excellent"/>
    <s v="Married"/>
    <n v="2979"/>
    <n v="22478"/>
    <s v="Low"/>
    <n v="3"/>
    <x v="1"/>
    <n v="17"/>
    <s v="High"/>
    <s v="Excellent"/>
    <n v="3"/>
    <n v="6"/>
    <n v="2"/>
    <n v="3"/>
    <n v="0"/>
    <n v="0"/>
    <n v="0"/>
    <n v="0"/>
  </r>
  <r>
    <n v="805"/>
    <n v="48"/>
    <s v="46-55"/>
    <x v="1"/>
    <s v="Non-Travel"/>
    <n v="1389"/>
    <x v="1"/>
    <n v="1"/>
    <s v="High"/>
    <s v="Medical"/>
    <s v="Low"/>
    <s v="Male"/>
    <n v="35"/>
    <s v="Excellent"/>
    <s v="Excellent"/>
    <s v="Manager"/>
    <s v="Excellent"/>
    <s v="Single"/>
    <n v="16885"/>
    <n v="16154"/>
    <s v="High"/>
    <n v="2"/>
    <x v="1"/>
    <n v="22"/>
    <s v="Excellent"/>
    <s v="High"/>
    <n v="0"/>
    <n v="27"/>
    <n v="3"/>
    <n v="2"/>
    <n v="5"/>
    <n v="4"/>
    <n v="2"/>
    <n v="1"/>
  </r>
  <r>
    <n v="806"/>
    <n v="45"/>
    <s v="36-45"/>
    <x v="1"/>
    <s v="Non-Travel"/>
    <n v="1389"/>
    <x v="0"/>
    <n v="9"/>
    <s v="High"/>
    <s v="Life Sciences"/>
    <s v="Medium"/>
    <s v="Female"/>
    <n v="65"/>
    <s v="Medium"/>
    <s v="Medium"/>
    <s v="Sales Executive"/>
    <s v="High"/>
    <s v="Married"/>
    <n v="5593"/>
    <n v="17970"/>
    <s v="Medium"/>
    <n v="1"/>
    <x v="1"/>
    <n v="13"/>
    <s v="High"/>
    <s v="Excellent"/>
    <n v="1"/>
    <n v="15"/>
    <n v="2"/>
    <n v="3"/>
    <n v="15"/>
    <n v="10"/>
    <n v="4"/>
    <n v="12"/>
  </r>
  <r>
    <n v="807"/>
    <n v="52"/>
    <s v="46-55"/>
    <x v="1"/>
    <s v="Travel_Rarely"/>
    <n v="1389"/>
    <x v="1"/>
    <n v="7"/>
    <s v="High"/>
    <s v="Life Sciences"/>
    <s v="Medium"/>
    <s v="Male"/>
    <n v="87"/>
    <s v="High"/>
    <s v="High"/>
    <s v="Healthcare Representative"/>
    <s v="Medium"/>
    <s v="Single"/>
    <n v="10445"/>
    <n v="15322"/>
    <s v="High"/>
    <n v="7"/>
    <x v="1"/>
    <n v="19"/>
    <s v="High"/>
    <s v="Excellent"/>
    <n v="0"/>
    <n v="18"/>
    <n v="4"/>
    <n v="3"/>
    <n v="8"/>
    <n v="6"/>
    <n v="4"/>
    <n v="0"/>
  </r>
  <r>
    <n v="808"/>
    <n v="38"/>
    <s v="36-45"/>
    <x v="1"/>
    <s v="Travel_Rarely"/>
    <n v="1389"/>
    <x v="0"/>
    <n v="10"/>
    <s v="High"/>
    <s v="Marketing"/>
    <s v="High"/>
    <s v="Male"/>
    <n v="73"/>
    <s v="Medium"/>
    <s v="High"/>
    <s v="Sales Executive"/>
    <s v="High"/>
    <s v="Divorced"/>
    <n v="8740"/>
    <n v="5569"/>
    <s v="Medium"/>
    <n v="0"/>
    <x v="0"/>
    <n v="14"/>
    <s v="High"/>
    <s v="Medium"/>
    <n v="2"/>
    <n v="9"/>
    <n v="2"/>
    <n v="3"/>
    <n v="8"/>
    <n v="7"/>
    <n v="2"/>
    <n v="7"/>
  </r>
  <r>
    <n v="809"/>
    <n v="29"/>
    <s v="26-35"/>
    <x v="1"/>
    <s v="Travel_Rarely"/>
    <n v="1389"/>
    <x v="1"/>
    <n v="28"/>
    <s v="High"/>
    <s v="Life Sciences"/>
    <s v="High"/>
    <s v="Female"/>
    <n v="93"/>
    <s v="High"/>
    <s v="Low"/>
    <s v="Research Scientist"/>
    <s v="Excellent"/>
    <s v="Divorced"/>
    <n v="2514"/>
    <n v="26968"/>
    <s v="Low"/>
    <n v="4"/>
    <x v="1"/>
    <n v="22"/>
    <s v="Excellent"/>
    <s v="Low"/>
    <n v="1"/>
    <n v="11"/>
    <n v="1"/>
    <n v="3"/>
    <n v="7"/>
    <n v="5"/>
    <n v="1"/>
    <n v="7"/>
  </r>
  <r>
    <n v="810"/>
    <n v="28"/>
    <s v="26-35"/>
    <x v="1"/>
    <s v="Travel_Rarely"/>
    <n v="1389"/>
    <x v="1"/>
    <n v="3"/>
    <s v="Medium"/>
    <s v="Medical"/>
    <s v="Excellent"/>
    <s v="Female"/>
    <n v="93"/>
    <s v="High"/>
    <s v="High"/>
    <s v="Manufacturing Director"/>
    <s v="Medium"/>
    <s v="Divorced"/>
    <n v="7655"/>
    <n v="8039"/>
    <s v="Medium"/>
    <n v="0"/>
    <x v="1"/>
    <n v="17"/>
    <s v="High"/>
    <s v="Medium"/>
    <n v="3"/>
    <n v="10"/>
    <n v="3"/>
    <n v="2"/>
    <n v="9"/>
    <n v="7"/>
    <n v="1"/>
    <n v="7"/>
  </r>
  <r>
    <n v="811"/>
    <n v="46"/>
    <s v="46-55"/>
    <x v="1"/>
    <s v="Travel_Rarely"/>
    <n v="1389"/>
    <x v="0"/>
    <n v="3"/>
    <s v="Low"/>
    <s v="Marketing"/>
    <s v="Low"/>
    <s v="Male"/>
    <n v="52"/>
    <s v="High"/>
    <s v="Excellent"/>
    <s v="Manager"/>
    <s v="High"/>
    <s v="Married"/>
    <n v="17465"/>
    <n v="15596"/>
    <s v="High"/>
    <n v="3"/>
    <x v="1"/>
    <n v="12"/>
    <s v="High"/>
    <s v="Excellent"/>
    <n v="1"/>
    <n v="23"/>
    <n v="3"/>
    <n v="3"/>
    <n v="12"/>
    <n v="9"/>
    <n v="4"/>
    <n v="9"/>
  </r>
  <r>
    <n v="812"/>
    <n v="38"/>
    <s v="36-45"/>
    <x v="1"/>
    <s v="Travel_Rarely"/>
    <n v="1389"/>
    <x v="0"/>
    <n v="2"/>
    <s v="Good"/>
    <s v="Marketing"/>
    <s v="Excellent"/>
    <s v="Male"/>
    <n v="32"/>
    <s v="High"/>
    <s v="High"/>
    <s v="Sales Executive"/>
    <s v="Medium"/>
    <s v="Single"/>
    <n v="7351"/>
    <n v="20619"/>
    <s v="Medium"/>
    <n v="7"/>
    <x v="1"/>
    <n v="16"/>
    <s v="High"/>
    <s v="High"/>
    <n v="0"/>
    <n v="10"/>
    <n v="2"/>
    <n v="3"/>
    <n v="1"/>
    <n v="0"/>
    <n v="0"/>
    <n v="0"/>
  </r>
  <r>
    <n v="813"/>
    <n v="43"/>
    <s v="36-45"/>
    <x v="1"/>
    <s v="Travel_Frequently"/>
    <n v="1389"/>
    <x v="1"/>
    <n v="27"/>
    <s v="Medium"/>
    <s v="Life Sciences"/>
    <s v="High"/>
    <s v="Female"/>
    <n v="83"/>
    <s v="High"/>
    <s v="High"/>
    <s v="Manufacturing Director"/>
    <s v="Low"/>
    <s v="Married"/>
    <n v="10820"/>
    <n v="11535"/>
    <s v="High"/>
    <n v="8"/>
    <x v="1"/>
    <n v="11"/>
    <s v="High"/>
    <s v="High"/>
    <n v="1"/>
    <n v="18"/>
    <n v="1"/>
    <n v="3"/>
    <n v="8"/>
    <n v="7"/>
    <n v="0"/>
    <n v="1"/>
  </r>
  <r>
    <n v="814"/>
    <n v="39"/>
    <s v="36-45"/>
    <x v="0"/>
    <s v="Travel_Frequently"/>
    <n v="1389"/>
    <x v="1"/>
    <n v="2"/>
    <s v="Medium"/>
    <s v="Life Sciences"/>
    <s v="Low"/>
    <s v="Male"/>
    <n v="84"/>
    <s v="High"/>
    <s v="Excellent"/>
    <s v="Healthcare Representative"/>
    <s v="Excellent"/>
    <s v="Divorced"/>
    <n v="12169"/>
    <n v="13547"/>
    <s v="High"/>
    <n v="7"/>
    <x v="1"/>
    <n v="11"/>
    <s v="High"/>
    <s v="Excellent"/>
    <n v="3"/>
    <n v="21"/>
    <n v="4"/>
    <n v="3"/>
    <n v="18"/>
    <n v="7"/>
    <n v="11"/>
    <n v="5"/>
  </r>
  <r>
    <n v="815"/>
    <n v="40"/>
    <s v="36-45"/>
    <x v="1"/>
    <s v="Travel_Rarely"/>
    <n v="1389"/>
    <x v="1"/>
    <n v="14"/>
    <s v="Medium"/>
    <s v="Medical"/>
    <s v="High"/>
    <s v="Male"/>
    <n v="44"/>
    <s v="Medium"/>
    <e v="#N/A"/>
    <s v="Research Director"/>
    <s v="High"/>
    <s v="Single"/>
    <n v="19626"/>
    <n v="17544"/>
    <s v="High"/>
    <n v="1"/>
    <x v="1"/>
    <n v="14"/>
    <s v="High"/>
    <s v="Low"/>
    <n v="0"/>
    <n v="21"/>
    <n v="2"/>
    <n v="4"/>
    <n v="20"/>
    <n v="7"/>
    <n v="4"/>
    <n v="9"/>
  </r>
  <r>
    <n v="816"/>
    <n v="21"/>
    <s v="18-25"/>
    <x v="1"/>
    <s v="Travel_Rarely"/>
    <n v="1389"/>
    <x v="1"/>
    <n v="1"/>
    <s v="Low"/>
    <s v="Technical Degree"/>
    <s v="Excellent"/>
    <s v="Female"/>
    <n v="70"/>
    <s v="Medium"/>
    <s v="Low"/>
    <s v="Research Scientist"/>
    <s v="Medium"/>
    <s v="Single"/>
    <n v="2070"/>
    <n v="25326"/>
    <s v="Low"/>
    <n v="1"/>
    <x v="0"/>
    <n v="11"/>
    <s v="High"/>
    <s v="High"/>
    <n v="0"/>
    <n v="2"/>
    <n v="6"/>
    <n v="4"/>
    <n v="2"/>
    <n v="2"/>
    <n v="2"/>
    <n v="2"/>
  </r>
  <r>
    <n v="817"/>
    <n v="39"/>
    <s v="36-45"/>
    <x v="1"/>
    <s v="Non-Travel"/>
    <n v="1389"/>
    <x v="1"/>
    <n v="9"/>
    <s v="Medium"/>
    <s v="Life Sciences"/>
    <s v="High"/>
    <s v="Male"/>
    <n v="70"/>
    <s v="High"/>
    <s v="Medium"/>
    <s v="Laboratory Technician"/>
    <s v="Medium"/>
    <s v="Single"/>
    <n v="6782"/>
    <n v="8770"/>
    <s v="Medium"/>
    <n v="9"/>
    <x v="1"/>
    <n v="15"/>
    <s v="High"/>
    <s v="High"/>
    <n v="0"/>
    <n v="9"/>
    <n v="2"/>
    <n v="2"/>
    <n v="5"/>
    <n v="4"/>
    <n v="0"/>
    <n v="3"/>
  </r>
  <r>
    <n v="818"/>
    <n v="36"/>
    <s v="36-45"/>
    <x v="1"/>
    <s v="Non-Travel"/>
    <n v="1389"/>
    <x v="1"/>
    <n v="18"/>
    <s v="High"/>
    <s v="Life Sciences"/>
    <s v="Low"/>
    <s v="Male"/>
    <n v="78"/>
    <s v="High"/>
    <s v="Medium"/>
    <s v="Manufacturing Director"/>
    <s v="Excellent"/>
    <s v="Single"/>
    <n v="7779"/>
    <n v="23238"/>
    <s v="Medium"/>
    <n v="2"/>
    <x v="1"/>
    <n v="20"/>
    <s v="Excellent"/>
    <s v="Low"/>
    <n v="0"/>
    <n v="18"/>
    <n v="0"/>
    <n v="3"/>
    <n v="11"/>
    <n v="9"/>
    <n v="0"/>
    <n v="9"/>
  </r>
  <r>
    <n v="819"/>
    <n v="31"/>
    <s v="26-35"/>
    <x v="1"/>
    <s v="Travel_Frequently"/>
    <n v="1389"/>
    <x v="0"/>
    <n v="20"/>
    <s v="Medium"/>
    <s v="Life Sciences"/>
    <s v="High"/>
    <s v="Male"/>
    <n v="67"/>
    <s v="Excellent"/>
    <s v="Low"/>
    <s v="Sales Representative"/>
    <s v="Excellent"/>
    <s v="Married"/>
    <n v="2791"/>
    <n v="21981"/>
    <s v="Low"/>
    <n v="0"/>
    <x v="1"/>
    <n v="12"/>
    <s v="High"/>
    <s v="Low"/>
    <n v="1"/>
    <n v="3"/>
    <n v="4"/>
    <n v="3"/>
    <n v="2"/>
    <n v="2"/>
    <n v="2"/>
    <n v="2"/>
  </r>
  <r>
    <n v="820"/>
    <n v="28"/>
    <s v="26-35"/>
    <x v="1"/>
    <s v="Travel_Rarely"/>
    <n v="1389"/>
    <x v="1"/>
    <n v="2"/>
    <s v="Low"/>
    <s v="Life Sciences"/>
    <s v="Low"/>
    <s v="Male"/>
    <n v="67"/>
    <s v="Medium"/>
    <s v="Low"/>
    <s v="Research Scientist"/>
    <s v="Medium"/>
    <s v="Married"/>
    <n v="3201"/>
    <n v="19911"/>
    <s v="Low"/>
    <n v="0"/>
    <x v="1"/>
    <n v="17"/>
    <s v="High"/>
    <s v="Low"/>
    <n v="0"/>
    <n v="6"/>
    <n v="2"/>
    <n v="1"/>
    <n v="5"/>
    <n v="3"/>
    <n v="0"/>
    <n v="4"/>
  </r>
  <r>
    <n v="821"/>
    <n v="35"/>
    <s v="26-35"/>
    <x v="1"/>
    <s v="Travel_Frequently"/>
    <n v="1389"/>
    <x v="0"/>
    <n v="11"/>
    <s v="Good"/>
    <s v="Marketing"/>
    <s v="Excellent"/>
    <s v="Male"/>
    <n v="54"/>
    <s v="High"/>
    <s v="Medium"/>
    <s v="Sales Executive"/>
    <s v="Excellent"/>
    <s v="Divorced"/>
    <n v="4968"/>
    <n v="18500"/>
    <s v="Low"/>
    <n v="1"/>
    <x v="1"/>
    <n v="11"/>
    <s v="High"/>
    <s v="Excellent"/>
    <n v="1"/>
    <n v="5"/>
    <n v="3"/>
    <n v="3"/>
    <n v="5"/>
    <n v="2"/>
    <n v="0"/>
    <n v="2"/>
  </r>
  <r>
    <n v="822"/>
    <n v="49"/>
    <s v="46-55"/>
    <x v="1"/>
    <s v="Travel_Rarely"/>
    <n v="1389"/>
    <x v="0"/>
    <n v="8"/>
    <s v="High"/>
    <s v="Technical Degree"/>
    <s v="Excellent"/>
    <s v="Male"/>
    <n v="56"/>
    <s v="Medium"/>
    <s v="Excellent"/>
    <s v="Sales Executive"/>
    <s v="Medium"/>
    <s v="Married"/>
    <n v="13120"/>
    <n v="11879"/>
    <s v="High"/>
    <n v="6"/>
    <x v="1"/>
    <n v="17"/>
    <s v="High"/>
    <s v="Medium"/>
    <n v="1"/>
    <n v="22"/>
    <n v="3"/>
    <n v="3"/>
    <n v="9"/>
    <n v="8"/>
    <n v="2"/>
    <n v="3"/>
  </r>
  <r>
    <n v="823"/>
    <n v="34"/>
    <s v="26-35"/>
    <x v="1"/>
    <s v="Travel_Frequently"/>
    <n v="1389"/>
    <x v="1"/>
    <n v="2"/>
    <s v="Good"/>
    <s v="Life Sciences"/>
    <s v="Excellent"/>
    <s v="Male"/>
    <n v="95"/>
    <s v="High"/>
    <s v="Medium"/>
    <s v="Manufacturing Director"/>
    <s v="High"/>
    <s v="Single"/>
    <n v="4033"/>
    <n v="15834"/>
    <s v="Low"/>
    <n v="2"/>
    <x v="1"/>
    <n v="11"/>
    <s v="High"/>
    <s v="Excellent"/>
    <n v="0"/>
    <n v="5"/>
    <n v="3"/>
    <n v="2"/>
    <n v="3"/>
    <n v="2"/>
    <n v="0"/>
    <n v="2"/>
  </r>
  <r>
    <n v="824"/>
    <n v="29"/>
    <s v="26-35"/>
    <x v="1"/>
    <s v="Travel_Frequently"/>
    <n v="1389"/>
    <x v="1"/>
    <n v="10"/>
    <s v="Medium"/>
    <s v="Life Sciences"/>
    <s v="Excellent"/>
    <s v="Female"/>
    <n v="61"/>
    <s v="High"/>
    <s v="Low"/>
    <s v="Research Scientist"/>
    <s v="Medium"/>
    <s v="Divorced"/>
    <n v="3291"/>
    <n v="17940"/>
    <s v="Low"/>
    <n v="0"/>
    <x v="1"/>
    <n v="14"/>
    <s v="High"/>
    <s v="Excellent"/>
    <n v="2"/>
    <n v="8"/>
    <n v="2"/>
    <n v="2"/>
    <n v="7"/>
    <n v="5"/>
    <n v="1"/>
    <n v="1"/>
  </r>
  <r>
    <n v="825"/>
    <n v="42"/>
    <s v="36-45"/>
    <x v="1"/>
    <s v="Travel_Rarely"/>
    <n v="1389"/>
    <x v="1"/>
    <n v="29"/>
    <s v="Medium"/>
    <s v="Medical"/>
    <s v="Medium"/>
    <s v="Male"/>
    <n v="56"/>
    <s v="Low"/>
    <s v="Medium"/>
    <s v="Laboratory Technician"/>
    <s v="Excellent"/>
    <s v="Single"/>
    <n v="4272"/>
    <n v="9558"/>
    <s v="Low"/>
    <n v="4"/>
    <x v="1"/>
    <n v="19"/>
    <s v="High"/>
    <s v="Low"/>
    <n v="0"/>
    <n v="16"/>
    <n v="3"/>
    <n v="3"/>
    <n v="1"/>
    <n v="0"/>
    <n v="0"/>
    <n v="0"/>
  </r>
  <r>
    <n v="826"/>
    <n v="29"/>
    <s v="26-35"/>
    <x v="1"/>
    <s v="Travel_Rarely"/>
    <n v="1389"/>
    <x v="1"/>
    <n v="8"/>
    <s v="Low"/>
    <s v="Medical"/>
    <s v="Medium"/>
    <s v="Male"/>
    <n v="79"/>
    <s v="Medium"/>
    <s v="Medium"/>
    <s v="Manufacturing Director"/>
    <s v="Excellent"/>
    <s v="Married"/>
    <n v="5056"/>
    <n v="17689"/>
    <s v="Medium"/>
    <n v="1"/>
    <x v="0"/>
    <n v="15"/>
    <s v="High"/>
    <s v="High"/>
    <n v="1"/>
    <n v="10"/>
    <n v="2"/>
    <n v="2"/>
    <n v="10"/>
    <n v="7"/>
    <n v="1"/>
    <n v="2"/>
  </r>
  <r>
    <n v="827"/>
    <n v="38"/>
    <s v="36-45"/>
    <x v="1"/>
    <s v="Travel_Rarely"/>
    <n v="1389"/>
    <x v="2"/>
    <n v="1"/>
    <s v="Medium"/>
    <s v="Human Resources"/>
    <s v="High"/>
    <s v="Male"/>
    <n v="37"/>
    <s v="Excellent"/>
    <s v="Low"/>
    <s v="Human Resources"/>
    <s v="High"/>
    <s v="Married"/>
    <n v="2844"/>
    <n v="6004"/>
    <s v="Low"/>
    <n v="1"/>
    <x v="1"/>
    <n v="13"/>
    <s v="High"/>
    <s v="Excellent"/>
    <n v="1"/>
    <n v="7"/>
    <n v="2"/>
    <n v="4"/>
    <n v="7"/>
    <n v="6"/>
    <n v="5"/>
    <n v="0"/>
  </r>
  <r>
    <n v="828"/>
    <n v="28"/>
    <s v="26-35"/>
    <x v="1"/>
    <s v="Travel_Frequently"/>
    <n v="1389"/>
    <x v="1"/>
    <n v="6"/>
    <s v="Medium"/>
    <s v="Life Sciences"/>
    <s v="High"/>
    <s v="Male"/>
    <n v="39"/>
    <s v="Medium"/>
    <s v="Low"/>
    <s v="Research Scientist"/>
    <s v="High"/>
    <s v="Divorced"/>
    <n v="2703"/>
    <n v="22088"/>
    <s v="Low"/>
    <n v="1"/>
    <x v="0"/>
    <n v="14"/>
    <s v="High"/>
    <s v="Excellent"/>
    <n v="1"/>
    <n v="3"/>
    <n v="2"/>
    <n v="3"/>
    <n v="3"/>
    <n v="1"/>
    <n v="0"/>
    <n v="2"/>
  </r>
  <r>
    <n v="829"/>
    <n v="18"/>
    <s v="18-25"/>
    <x v="0"/>
    <s v="Non-Travel"/>
    <n v="1389"/>
    <x v="1"/>
    <n v="8"/>
    <s v="Low"/>
    <s v="Medical"/>
    <s v="High"/>
    <s v="Male"/>
    <n v="80"/>
    <s v="High"/>
    <s v="Low"/>
    <s v="Laboratory Technician"/>
    <s v="High"/>
    <s v="Single"/>
    <n v="1904"/>
    <n v="13556"/>
    <s v="Low"/>
    <n v="1"/>
    <x v="1"/>
    <n v="12"/>
    <s v="High"/>
    <s v="Excellent"/>
    <n v="0"/>
    <n v="0"/>
    <n v="0"/>
    <n v="3"/>
    <n v="0"/>
    <n v="0"/>
    <n v="0"/>
    <n v="0"/>
  </r>
  <r>
    <n v="830"/>
    <n v="33"/>
    <s v="26-35"/>
    <x v="0"/>
    <s v="Travel_Rarely"/>
    <n v="1389"/>
    <x v="0"/>
    <n v="9"/>
    <s v="High"/>
    <s v="Marketing"/>
    <s v="Low"/>
    <s v="Female"/>
    <n v="77"/>
    <s v="High"/>
    <s v="Medium"/>
    <s v="Sales Executive"/>
    <s v="Low"/>
    <s v="Single"/>
    <n v="8224"/>
    <n v="18385"/>
    <s v="Medium"/>
    <n v="0"/>
    <x v="0"/>
    <n v="17"/>
    <s v="High"/>
    <s v="Low"/>
    <n v="0"/>
    <n v="6"/>
    <n v="3"/>
    <n v="3"/>
    <n v="5"/>
    <n v="2"/>
    <n v="0"/>
    <n v="3"/>
  </r>
  <r>
    <n v="831"/>
    <n v="41"/>
    <s v="36-45"/>
    <x v="1"/>
    <s v="Travel_Rarely"/>
    <n v="1389"/>
    <x v="1"/>
    <n v="12"/>
    <s v="High"/>
    <s v="Life Sciences"/>
    <s v="Medium"/>
    <s v="Male"/>
    <n v="46"/>
    <s v="High"/>
    <s v="Low"/>
    <s v="Laboratory Technician"/>
    <s v="Excellent"/>
    <s v="Married"/>
    <n v="4766"/>
    <n v="9051"/>
    <s v="Low"/>
    <n v="3"/>
    <x v="0"/>
    <n v="11"/>
    <s v="High"/>
    <s v="Low"/>
    <n v="1"/>
    <n v="6"/>
    <n v="4"/>
    <n v="3"/>
    <n v="1"/>
    <n v="0"/>
    <n v="0"/>
    <n v="0"/>
  </r>
  <r>
    <n v="832"/>
    <n v="31"/>
    <s v="26-35"/>
    <x v="0"/>
    <s v="Travel_Frequently"/>
    <n v="1389"/>
    <x v="1"/>
    <n v="15"/>
    <s v="Medium"/>
    <s v="Medical"/>
    <s v="High"/>
    <s v="Male"/>
    <n v="72"/>
    <s v="High"/>
    <s v="Low"/>
    <s v="Laboratory Technician"/>
    <s v="High"/>
    <s v="Married"/>
    <n v="2610"/>
    <n v="6233"/>
    <s v="Low"/>
    <n v="1"/>
    <x v="1"/>
    <n v="12"/>
    <s v="High"/>
    <s v="High"/>
    <n v="1"/>
    <n v="2"/>
    <n v="5"/>
    <n v="2"/>
    <n v="2"/>
    <n v="2"/>
    <n v="2"/>
    <n v="2"/>
  </r>
  <r>
    <n v="833"/>
    <n v="37"/>
    <s v="36-45"/>
    <x v="1"/>
    <s v="Travel_Rarely"/>
    <n v="1389"/>
    <x v="1"/>
    <n v="25"/>
    <s v="Good"/>
    <s v="Medical"/>
    <s v="High"/>
    <s v="Female"/>
    <n v="52"/>
    <s v="Medium"/>
    <s v="Medium"/>
    <s v="Healthcare Representative"/>
    <s v="Excellent"/>
    <s v="Divorced"/>
    <n v="5731"/>
    <n v="17171"/>
    <s v="Medium"/>
    <n v="7"/>
    <x v="1"/>
    <n v="13"/>
    <s v="High"/>
    <s v="High"/>
    <n v="2"/>
    <n v="9"/>
    <n v="2"/>
    <n v="3"/>
    <n v="6"/>
    <n v="2"/>
    <n v="1"/>
    <n v="3"/>
  </r>
  <r>
    <n v="834"/>
    <n v="27"/>
    <s v="26-35"/>
    <x v="1"/>
    <s v="Travel_Rarely"/>
    <n v="1389"/>
    <x v="1"/>
    <n v="6"/>
    <s v="Medium"/>
    <s v="Life Sciences"/>
    <s v="Excellent"/>
    <s v="Male"/>
    <n v="55"/>
    <s v="Medium"/>
    <s v="Low"/>
    <s v="Research Scientist"/>
    <s v="High"/>
    <s v="Married"/>
    <n v="2539"/>
    <n v="7950"/>
    <s v="Low"/>
    <n v="1"/>
    <x v="1"/>
    <n v="13"/>
    <s v="High"/>
    <s v="High"/>
    <n v="1"/>
    <n v="4"/>
    <n v="0"/>
    <n v="3"/>
    <n v="4"/>
    <n v="2"/>
    <n v="2"/>
    <n v="2"/>
  </r>
  <r>
    <n v="835"/>
    <n v="34"/>
    <s v="26-35"/>
    <x v="1"/>
    <s v="Travel_Rarely"/>
    <n v="1389"/>
    <x v="0"/>
    <n v="9"/>
    <s v="Low"/>
    <s v="Life Sciences"/>
    <s v="Medium"/>
    <s v="Female"/>
    <n v="70"/>
    <s v="High"/>
    <s v="Medium"/>
    <s v="Sales Executive"/>
    <s v="High"/>
    <s v="Married"/>
    <n v="5714"/>
    <n v="5829"/>
    <s v="Medium"/>
    <n v="1"/>
    <x v="1"/>
    <n v="20"/>
    <s v="Excellent"/>
    <s v="Low"/>
    <n v="0"/>
    <n v="6"/>
    <n v="3"/>
    <n v="2"/>
    <n v="6"/>
    <n v="5"/>
    <n v="1"/>
    <n v="3"/>
  </r>
  <r>
    <n v="836"/>
    <n v="35"/>
    <s v="26-35"/>
    <x v="1"/>
    <s v="Travel_Rarely"/>
    <n v="1389"/>
    <x v="2"/>
    <n v="8"/>
    <s v="High"/>
    <s v="Technical Degree"/>
    <s v="High"/>
    <s v="Male"/>
    <n v="100"/>
    <s v="High"/>
    <s v="Low"/>
    <s v="Human Resources"/>
    <s v="High"/>
    <s v="Single"/>
    <n v="4323"/>
    <n v="7108"/>
    <s v="Low"/>
    <n v="1"/>
    <x v="1"/>
    <n v="17"/>
    <s v="High"/>
    <s v="Medium"/>
    <n v="0"/>
    <n v="6"/>
    <n v="2"/>
    <n v="1"/>
    <n v="5"/>
    <n v="4"/>
    <n v="1"/>
    <n v="4"/>
  </r>
  <r>
    <n v="837"/>
    <n v="29"/>
    <s v="26-35"/>
    <x v="0"/>
    <s v="Travel_Rarely"/>
    <n v="1389"/>
    <x v="0"/>
    <n v="23"/>
    <s v="Low"/>
    <s v="Life Sciences"/>
    <s v="Excellent"/>
    <s v="Female"/>
    <n v="45"/>
    <s v="Medium"/>
    <s v="High"/>
    <s v="Sales Executive"/>
    <s v="Low"/>
    <s v="Married"/>
    <n v="7336"/>
    <n v="11162"/>
    <s v="Medium"/>
    <n v="1"/>
    <x v="1"/>
    <n v="13"/>
    <s v="High"/>
    <s v="Low"/>
    <n v="1"/>
    <n v="11"/>
    <n v="3"/>
    <n v="1"/>
    <n v="11"/>
    <n v="8"/>
    <n v="3"/>
    <n v="10"/>
  </r>
  <r>
    <n v="838"/>
    <n v="40"/>
    <s v="36-45"/>
    <x v="1"/>
    <s v="Travel_Frequently"/>
    <n v="1389"/>
    <x v="1"/>
    <n v="9"/>
    <s v="High"/>
    <s v="Medical"/>
    <s v="Medium"/>
    <s v="Female"/>
    <n v="88"/>
    <s v="High"/>
    <s v="High"/>
    <s v="Research Director"/>
    <s v="High"/>
    <s v="Single"/>
    <n v="13499"/>
    <n v="13782"/>
    <s v="High"/>
    <n v="9"/>
    <x v="1"/>
    <n v="17"/>
    <s v="High"/>
    <s v="High"/>
    <n v="0"/>
    <n v="20"/>
    <n v="3"/>
    <n v="2"/>
    <n v="18"/>
    <n v="7"/>
    <n v="2"/>
    <n v="13"/>
  </r>
  <r>
    <n v="839"/>
    <n v="42"/>
    <s v="36-45"/>
    <x v="0"/>
    <s v="Travel_Frequently"/>
    <n v="1389"/>
    <x v="0"/>
    <n v="12"/>
    <s v="Medium"/>
    <s v="Life Sciences"/>
    <s v="High"/>
    <s v="Male"/>
    <n v="44"/>
    <s v="High"/>
    <s v="Excellent"/>
    <s v="Sales Executive"/>
    <s v="Low"/>
    <s v="Single"/>
    <n v="13758"/>
    <n v="2447"/>
    <s v="High"/>
    <n v="0"/>
    <x v="0"/>
    <n v="12"/>
    <s v="High"/>
    <s v="Medium"/>
    <n v="0"/>
    <n v="22"/>
    <n v="2"/>
    <n v="2"/>
    <n v="21"/>
    <n v="9"/>
    <n v="13"/>
    <n v="14"/>
  </r>
  <r>
    <n v="840"/>
    <n v="42"/>
    <s v="36-45"/>
    <x v="1"/>
    <s v="Travel_Rarely"/>
    <n v="1389"/>
    <x v="0"/>
    <n v="4"/>
    <s v="High"/>
    <s v="Marketing"/>
    <s v="Medium"/>
    <s v="Male"/>
    <n v="45"/>
    <s v="High"/>
    <s v="Medium"/>
    <s v="Sales Executive"/>
    <s v="Low"/>
    <s v="Single"/>
    <n v="5155"/>
    <n v="2253"/>
    <s v="Medium"/>
    <n v="7"/>
    <x v="1"/>
    <n v="13"/>
    <s v="High"/>
    <s v="Excellent"/>
    <n v="0"/>
    <n v="9"/>
    <n v="3"/>
    <n v="4"/>
    <n v="6"/>
    <n v="4"/>
    <n v="1"/>
    <n v="5"/>
  </r>
  <r>
    <n v="841"/>
    <n v="35"/>
    <s v="26-35"/>
    <x v="1"/>
    <s v="Travel_Rarely"/>
    <n v="1389"/>
    <x v="1"/>
    <n v="1"/>
    <s v="High"/>
    <s v="Medical"/>
    <s v="Excellent"/>
    <s v="Male"/>
    <n v="58"/>
    <s v="Medium"/>
    <s v="Low"/>
    <s v="Laboratory Technician"/>
    <s v="High"/>
    <s v="Married"/>
    <n v="2258"/>
    <n v="16340"/>
    <s v="Low"/>
    <n v="6"/>
    <x v="1"/>
    <n v="12"/>
    <s v="High"/>
    <s v="Medium"/>
    <n v="1"/>
    <n v="10"/>
    <n v="2"/>
    <n v="3"/>
    <n v="8"/>
    <n v="0"/>
    <n v="1"/>
    <n v="7"/>
  </r>
  <r>
    <n v="842"/>
    <n v="24"/>
    <s v="18-25"/>
    <x v="1"/>
    <s v="Travel_Rarely"/>
    <n v="1389"/>
    <x v="1"/>
    <n v="24"/>
    <s v="Medium"/>
    <s v="Medical"/>
    <s v="Excellent"/>
    <s v="Male"/>
    <n v="49"/>
    <s v="High"/>
    <s v="Low"/>
    <s v="Laboratory Technician"/>
    <s v="Medium"/>
    <s v="Single"/>
    <n v="3597"/>
    <n v="6409"/>
    <s v="Low"/>
    <n v="8"/>
    <x v="1"/>
    <n v="22"/>
    <s v="Excellent"/>
    <s v="Excellent"/>
    <n v="0"/>
    <n v="6"/>
    <n v="2"/>
    <n v="3"/>
    <n v="4"/>
    <n v="3"/>
    <n v="1"/>
    <n v="2"/>
  </r>
  <r>
    <n v="843"/>
    <n v="28"/>
    <s v="26-35"/>
    <x v="0"/>
    <s v="Travel_Rarely"/>
    <n v="1389"/>
    <x v="1"/>
    <n v="12"/>
    <s v="Low"/>
    <s v="Life Sciences"/>
    <s v="High"/>
    <s v="Female"/>
    <n v="79"/>
    <s v="High"/>
    <s v="Low"/>
    <s v="Laboratory Technician"/>
    <s v="Excellent"/>
    <s v="Married"/>
    <n v="2515"/>
    <n v="22955"/>
    <s v="Low"/>
    <n v="1"/>
    <x v="0"/>
    <n v="11"/>
    <s v="High"/>
    <s v="Excellent"/>
    <n v="0"/>
    <n v="1"/>
    <n v="4"/>
    <n v="2"/>
    <n v="1"/>
    <n v="1"/>
    <n v="0"/>
    <n v="0"/>
  </r>
  <r>
    <n v="844"/>
    <n v="26"/>
    <s v="26-35"/>
    <x v="1"/>
    <s v="Travel_Rarely"/>
    <n v="1389"/>
    <x v="1"/>
    <n v="3"/>
    <s v="High"/>
    <s v="Medical"/>
    <s v="Low"/>
    <s v="Male"/>
    <n v="82"/>
    <s v="Excellent"/>
    <s v="Low"/>
    <s v="Laboratory Technician"/>
    <s v="Excellent"/>
    <s v="Married"/>
    <n v="4420"/>
    <n v="13421"/>
    <s v="Low"/>
    <n v="1"/>
    <x v="1"/>
    <n v="22"/>
    <s v="Excellent"/>
    <s v="Medium"/>
    <n v="1"/>
    <n v="8"/>
    <n v="2"/>
    <n v="3"/>
    <n v="8"/>
    <n v="7"/>
    <n v="0"/>
    <n v="7"/>
  </r>
  <r>
    <n v="845"/>
    <n v="30"/>
    <s v="26-35"/>
    <x v="1"/>
    <s v="Travel_Rarely"/>
    <n v="1389"/>
    <x v="0"/>
    <n v="10"/>
    <s v="Medium"/>
    <s v="Marketing"/>
    <s v="High"/>
    <s v="Male"/>
    <n v="72"/>
    <s v="Medium"/>
    <s v="Medium"/>
    <s v="Sales Executive"/>
    <s v="High"/>
    <s v="Married"/>
    <n v="6578"/>
    <n v="2706"/>
    <s v="Medium"/>
    <n v="1"/>
    <x v="1"/>
    <n v="18"/>
    <s v="High"/>
    <s v="Low"/>
    <n v="1"/>
    <n v="10"/>
    <n v="3"/>
    <n v="3"/>
    <n v="10"/>
    <n v="3"/>
    <n v="1"/>
    <n v="4"/>
  </r>
  <r>
    <n v="846"/>
    <n v="40"/>
    <s v="36-45"/>
    <x v="1"/>
    <s v="Travel_Frequently"/>
    <n v="1389"/>
    <x v="1"/>
    <n v="26"/>
    <s v="Good"/>
    <s v="Medical"/>
    <s v="High"/>
    <s v="Female"/>
    <n v="92"/>
    <s v="Medium"/>
    <s v="Medium"/>
    <s v="Research Scientist"/>
    <s v="Excellent"/>
    <s v="Married"/>
    <n v="4422"/>
    <n v="21203"/>
    <s v="Low"/>
    <n v="3"/>
    <x v="0"/>
    <n v="13"/>
    <s v="High"/>
    <s v="Excellent"/>
    <n v="1"/>
    <n v="16"/>
    <n v="3"/>
    <n v="1"/>
    <n v="1"/>
    <n v="1"/>
    <n v="0"/>
    <n v="0"/>
  </r>
  <r>
    <n v="847"/>
    <n v="35"/>
    <s v="26-35"/>
    <x v="1"/>
    <s v="Travel_Rarely"/>
    <n v="1389"/>
    <x v="1"/>
    <n v="2"/>
    <s v="Medium"/>
    <s v="Life Sciences"/>
    <s v="High"/>
    <s v="Male"/>
    <n v="44"/>
    <s v="Medium"/>
    <s v="High"/>
    <s v="Manufacturing Director"/>
    <s v="Medium"/>
    <s v="Divorced"/>
    <n v="10274"/>
    <n v="19588"/>
    <s v="High"/>
    <n v="2"/>
    <x v="1"/>
    <n v="18"/>
    <s v="High"/>
    <s v="Medium"/>
    <n v="1"/>
    <n v="15"/>
    <n v="2"/>
    <n v="4"/>
    <n v="7"/>
    <n v="7"/>
    <n v="6"/>
    <n v="4"/>
  </r>
  <r>
    <n v="848"/>
    <n v="34"/>
    <s v="26-35"/>
    <x v="1"/>
    <s v="Travel_Frequently"/>
    <n v="1389"/>
    <x v="1"/>
    <n v="1"/>
    <s v="Medium"/>
    <s v="Medical"/>
    <s v="Excellent"/>
    <s v="Male"/>
    <n v="97"/>
    <s v="Medium"/>
    <s v="Medium"/>
    <s v="Healthcare Representative"/>
    <s v="Low"/>
    <s v="Single"/>
    <n v="5343"/>
    <n v="25755"/>
    <s v="Medium"/>
    <n v="0"/>
    <x v="1"/>
    <n v="20"/>
    <s v="Excellent"/>
    <s v="High"/>
    <n v="0"/>
    <n v="14"/>
    <n v="3"/>
    <n v="3"/>
    <n v="13"/>
    <n v="9"/>
    <n v="4"/>
    <n v="9"/>
  </r>
  <r>
    <n v="849"/>
    <n v="35"/>
    <s v="26-35"/>
    <x v="1"/>
    <s v="Travel_Frequently"/>
    <n v="1389"/>
    <x v="1"/>
    <n v="4"/>
    <s v="High"/>
    <s v="Other"/>
    <s v="Excellent"/>
    <s v="Male"/>
    <n v="47"/>
    <s v="Medium"/>
    <s v="Low"/>
    <s v="Laboratory Technician"/>
    <s v="Excellent"/>
    <s v="Married"/>
    <n v="2376"/>
    <n v="26537"/>
    <s v="Low"/>
    <n v="1"/>
    <x v="1"/>
    <n v="13"/>
    <s v="High"/>
    <s v="Medium"/>
    <n v="1"/>
    <n v="2"/>
    <n v="2"/>
    <n v="4"/>
    <n v="2"/>
    <n v="2"/>
    <n v="2"/>
    <n v="2"/>
  </r>
  <r>
    <n v="850"/>
    <n v="43"/>
    <s v="36-45"/>
    <x v="0"/>
    <s v="Travel_Rarely"/>
    <n v="1389"/>
    <x v="0"/>
    <n v="9"/>
    <s v="Medium"/>
    <s v="Marketing"/>
    <s v="Low"/>
    <s v="Female"/>
    <n v="85"/>
    <s v="Low"/>
    <s v="Medium"/>
    <s v="Sales Executive"/>
    <s v="High"/>
    <s v="Single"/>
    <n v="5346"/>
    <n v="9489"/>
    <s v="Medium"/>
    <n v="8"/>
    <x v="1"/>
    <n v="13"/>
    <s v="High"/>
    <s v="Medium"/>
    <n v="0"/>
    <n v="7"/>
    <n v="2"/>
    <n v="2"/>
    <n v="4"/>
    <n v="3"/>
    <n v="1"/>
    <n v="3"/>
  </r>
  <r>
    <n v="851"/>
    <n v="32"/>
    <s v="26-35"/>
    <x v="1"/>
    <s v="Non-Travel"/>
    <n v="1389"/>
    <x v="0"/>
    <n v="2"/>
    <s v="Low"/>
    <s v="Life Sciences"/>
    <s v="High"/>
    <s v="Female"/>
    <n v="76"/>
    <s v="High"/>
    <s v="Low"/>
    <s v="Sales Representative"/>
    <s v="Low"/>
    <s v="Divorced"/>
    <n v="2827"/>
    <n v="14947"/>
    <s v="Low"/>
    <n v="1"/>
    <x v="1"/>
    <n v="12"/>
    <s v="High"/>
    <s v="High"/>
    <n v="3"/>
    <n v="1"/>
    <n v="3"/>
    <n v="3"/>
    <n v="1"/>
    <n v="0"/>
    <n v="0"/>
    <n v="0"/>
  </r>
  <r>
    <n v="852"/>
    <n v="56"/>
    <s v="55+"/>
    <x v="1"/>
    <s v="Travel_Rarely"/>
    <n v="1389"/>
    <x v="1"/>
    <n v="4"/>
    <s v="High"/>
    <s v="Technical Degree"/>
    <s v="Excellent"/>
    <s v="Female"/>
    <n v="92"/>
    <s v="High"/>
    <e v="#N/A"/>
    <s v="Manager"/>
    <s v="Low"/>
    <s v="Divorced"/>
    <n v="19943"/>
    <n v="18575"/>
    <s v="High"/>
    <n v="4"/>
    <x v="1"/>
    <n v="13"/>
    <s v="High"/>
    <s v="Excellent"/>
    <n v="1"/>
    <n v="28"/>
    <n v="2"/>
    <n v="3"/>
    <n v="5"/>
    <n v="2"/>
    <n v="4"/>
    <n v="2"/>
  </r>
  <r>
    <n v="853"/>
    <n v="29"/>
    <s v="26-35"/>
    <x v="1"/>
    <s v="Travel_Rarely"/>
    <n v="1389"/>
    <x v="1"/>
    <n v="6"/>
    <s v="Low"/>
    <s v="Medical"/>
    <s v="Medium"/>
    <s v="Female"/>
    <n v="54"/>
    <s v="High"/>
    <s v="Low"/>
    <s v="Laboratory Technician"/>
    <s v="Excellent"/>
    <s v="Married"/>
    <n v="3131"/>
    <n v="26342"/>
    <s v="Low"/>
    <n v="1"/>
    <x v="1"/>
    <n v="13"/>
    <s v="High"/>
    <s v="Low"/>
    <n v="1"/>
    <n v="10"/>
    <n v="5"/>
    <n v="3"/>
    <n v="10"/>
    <n v="8"/>
    <n v="0"/>
    <n v="8"/>
  </r>
  <r>
    <n v="854"/>
    <n v="19"/>
    <s v="18-25"/>
    <x v="1"/>
    <s v="Travel_Rarely"/>
    <n v="1389"/>
    <x v="1"/>
    <n v="9"/>
    <s v="Good"/>
    <s v="Life Sciences"/>
    <s v="High"/>
    <s v="Male"/>
    <n v="54"/>
    <s v="High"/>
    <s v="Low"/>
    <s v="Research Scientist"/>
    <s v="Low"/>
    <s v="Single"/>
    <n v="2552"/>
    <n v="7172"/>
    <s v="Low"/>
    <n v="1"/>
    <x v="1"/>
    <n v="25"/>
    <s v="Excellent"/>
    <s v="High"/>
    <n v="0"/>
    <n v="1"/>
    <n v="4"/>
    <n v="3"/>
    <n v="1"/>
    <n v="1"/>
    <n v="0"/>
    <n v="0"/>
  </r>
  <r>
    <n v="855"/>
    <n v="45"/>
    <s v="36-45"/>
    <x v="1"/>
    <s v="Travel_Rarely"/>
    <n v="1389"/>
    <x v="1"/>
    <n v="7"/>
    <s v="Medium"/>
    <s v="Medical"/>
    <s v="Low"/>
    <s v="Female"/>
    <n v="83"/>
    <s v="High"/>
    <s v="Low"/>
    <s v="Research Scientist"/>
    <s v="High"/>
    <s v="Married"/>
    <n v="4477"/>
    <n v="20100"/>
    <s v="Low"/>
    <n v="4"/>
    <x v="0"/>
    <n v="19"/>
    <s v="High"/>
    <s v="High"/>
    <n v="1"/>
    <n v="7"/>
    <n v="2"/>
    <n v="2"/>
    <n v="3"/>
    <n v="2"/>
    <n v="0"/>
    <n v="2"/>
  </r>
  <r>
    <n v="856"/>
    <n v="37"/>
    <s v="36-45"/>
    <x v="1"/>
    <s v="Travel_Rarely"/>
    <n v="1389"/>
    <x v="1"/>
    <n v="1"/>
    <s v="Medium"/>
    <s v="Life Sciences"/>
    <s v="Excellent"/>
    <s v="Female"/>
    <n v="56"/>
    <s v="Medium"/>
    <s v="Medium"/>
    <s v="Manufacturing Director"/>
    <s v="Excellent"/>
    <s v="Married"/>
    <n v="6474"/>
    <n v="9961"/>
    <s v="Medium"/>
    <n v="1"/>
    <x v="1"/>
    <n v="13"/>
    <s v="High"/>
    <s v="Medium"/>
    <n v="1"/>
    <n v="14"/>
    <n v="2"/>
    <n v="2"/>
    <n v="14"/>
    <n v="8"/>
    <n v="3"/>
    <n v="11"/>
  </r>
  <r>
    <n v="857"/>
    <n v="20"/>
    <s v="18-25"/>
    <x v="1"/>
    <s v="Travel_Rarely"/>
    <n v="1389"/>
    <x v="1"/>
    <n v="3"/>
    <s v="Medium"/>
    <s v="Life Sciences"/>
    <s v="Low"/>
    <s v="Male"/>
    <n v="87"/>
    <s v="Medium"/>
    <s v="Low"/>
    <s v="Laboratory Technician"/>
    <s v="High"/>
    <s v="Single"/>
    <n v="3033"/>
    <n v="12828"/>
    <s v="Low"/>
    <n v="1"/>
    <x v="1"/>
    <n v="12"/>
    <s v="High"/>
    <s v="Low"/>
    <n v="0"/>
    <n v="2"/>
    <n v="2"/>
    <n v="2"/>
    <n v="2"/>
    <n v="2"/>
    <n v="1"/>
    <n v="2"/>
  </r>
  <r>
    <n v="858"/>
    <n v="44"/>
    <s v="36-45"/>
    <x v="0"/>
    <s v="Travel_Rarely"/>
    <n v="1389"/>
    <x v="1"/>
    <n v="10"/>
    <s v="High"/>
    <s v="Life Sciences"/>
    <s v="High"/>
    <s v="Male"/>
    <n v="96"/>
    <s v="High"/>
    <s v="Low"/>
    <s v="Research Scientist"/>
    <s v="High"/>
    <s v="Single"/>
    <n v="2936"/>
    <n v="10826"/>
    <s v="Low"/>
    <n v="1"/>
    <x v="0"/>
    <n v="11"/>
    <s v="High"/>
    <s v="High"/>
    <n v="0"/>
    <n v="6"/>
    <n v="4"/>
    <n v="3"/>
    <n v="6"/>
    <n v="4"/>
    <n v="0"/>
    <n v="2"/>
  </r>
  <r>
    <n v="859"/>
    <n v="53"/>
    <s v="46-55"/>
    <x v="1"/>
    <s v="Travel_Rarely"/>
    <n v="1389"/>
    <x v="1"/>
    <n v="7"/>
    <s v="Good"/>
    <s v="Medical"/>
    <s v="Excellent"/>
    <s v="Female"/>
    <n v="50"/>
    <s v="High"/>
    <e v="#N/A"/>
    <s v="Manager"/>
    <s v="High"/>
    <s v="Divorced"/>
    <n v="18606"/>
    <n v="18640"/>
    <s v="High"/>
    <n v="3"/>
    <x v="1"/>
    <n v="18"/>
    <s v="High"/>
    <s v="Medium"/>
    <n v="1"/>
    <n v="26"/>
    <n v="6"/>
    <n v="3"/>
    <n v="7"/>
    <n v="7"/>
    <n v="4"/>
    <n v="7"/>
  </r>
  <r>
    <n v="860"/>
    <n v="29"/>
    <s v="26-35"/>
    <x v="1"/>
    <s v="Travel_Rarely"/>
    <n v="1389"/>
    <x v="1"/>
    <n v="15"/>
    <s v="Low"/>
    <s v="Life Sciences"/>
    <s v="Medium"/>
    <s v="Female"/>
    <n v="69"/>
    <s v="Low"/>
    <s v="Low"/>
    <s v="Research Scientist"/>
    <s v="Excellent"/>
    <s v="Married"/>
    <n v="2168"/>
    <n v="26933"/>
    <s v="Low"/>
    <n v="0"/>
    <x v="0"/>
    <n v="18"/>
    <s v="High"/>
    <s v="Low"/>
    <n v="1"/>
    <n v="6"/>
    <n v="2"/>
    <n v="2"/>
    <n v="5"/>
    <n v="4"/>
    <n v="1"/>
    <n v="3"/>
  </r>
  <r>
    <n v="861"/>
    <n v="22"/>
    <s v="18-25"/>
    <x v="0"/>
    <s v="Travel_Frequently"/>
    <n v="1389"/>
    <x v="1"/>
    <n v="3"/>
    <s v="High"/>
    <s v="Life Sciences"/>
    <s v="High"/>
    <s v="Male"/>
    <n v="48"/>
    <s v="Medium"/>
    <s v="Low"/>
    <s v="Research Scientist"/>
    <s v="Excellent"/>
    <s v="Married"/>
    <n v="2853"/>
    <n v="4223"/>
    <s v="Low"/>
    <n v="0"/>
    <x v="0"/>
    <n v="11"/>
    <s v="High"/>
    <s v="Medium"/>
    <n v="1"/>
    <n v="1"/>
    <n v="5"/>
    <n v="3"/>
    <n v="0"/>
    <n v="0"/>
    <n v="0"/>
    <n v="0"/>
  </r>
  <r>
    <n v="862"/>
    <n v="46"/>
    <s v="46-55"/>
    <x v="1"/>
    <s v="Travel_Rarely"/>
    <n v="1389"/>
    <x v="0"/>
    <n v="2"/>
    <s v="Medium"/>
    <s v="Marketing"/>
    <s v="High"/>
    <s v="Female"/>
    <n v="69"/>
    <s v="High"/>
    <s v="Excellent"/>
    <s v="Manager"/>
    <s v="Low"/>
    <s v="Married"/>
    <n v="17048"/>
    <n v="24097"/>
    <s v="High"/>
    <n v="8"/>
    <x v="1"/>
    <n v="23"/>
    <s v="Excellent"/>
    <s v="Low"/>
    <n v="0"/>
    <n v="28"/>
    <n v="2"/>
    <n v="3"/>
    <n v="26"/>
    <n v="15"/>
    <n v="15"/>
    <n v="9"/>
  </r>
  <r>
    <n v="863"/>
    <n v="44"/>
    <s v="36-45"/>
    <x v="1"/>
    <s v="Non-Travel"/>
    <n v="1389"/>
    <x v="1"/>
    <n v="17"/>
    <s v="Medium"/>
    <s v="Life Sciences"/>
    <s v="Excellent"/>
    <s v="Male"/>
    <n v="74"/>
    <s v="Low"/>
    <s v="Low"/>
    <s v="Research Scientist"/>
    <s v="High"/>
    <s v="Single"/>
    <n v="2290"/>
    <n v="4279"/>
    <s v="Low"/>
    <n v="2"/>
    <x v="1"/>
    <n v="13"/>
    <s v="High"/>
    <s v="Excellent"/>
    <n v="0"/>
    <n v="6"/>
    <n v="3"/>
    <n v="3"/>
    <n v="0"/>
    <n v="0"/>
    <n v="0"/>
    <n v="0"/>
  </r>
  <r>
    <n v="864"/>
    <n v="33"/>
    <s v="26-35"/>
    <x v="1"/>
    <s v="Travel_Rarely"/>
    <n v="1389"/>
    <x v="2"/>
    <n v="2"/>
    <s v="Medium"/>
    <s v="Human Resources"/>
    <s v="Medium"/>
    <s v="Male"/>
    <n v="99"/>
    <s v="High"/>
    <s v="Low"/>
    <s v="Human Resources"/>
    <s v="High"/>
    <s v="Married"/>
    <n v="3600"/>
    <n v="8429"/>
    <s v="Low"/>
    <n v="1"/>
    <x v="1"/>
    <n v="13"/>
    <s v="High"/>
    <s v="Excellent"/>
    <n v="1"/>
    <n v="5"/>
    <n v="2"/>
    <n v="3"/>
    <n v="5"/>
    <n v="4"/>
    <n v="1"/>
    <n v="4"/>
  </r>
  <r>
    <n v="865"/>
    <n v="41"/>
    <s v="36-45"/>
    <x v="0"/>
    <s v="Non-Travel"/>
    <n v="1389"/>
    <x v="1"/>
    <n v="5"/>
    <s v="Good"/>
    <s v="Life Sciences"/>
    <s v="Low"/>
    <s v="Male"/>
    <n v="95"/>
    <s v="Medium"/>
    <s v="Low"/>
    <s v="Research Scientist"/>
    <s v="Low"/>
    <s v="Divorced"/>
    <n v="2107"/>
    <n v="20293"/>
    <s v="Low"/>
    <n v="6"/>
    <x v="1"/>
    <n v="17"/>
    <s v="High"/>
    <s v="Low"/>
    <n v="1"/>
    <n v="5"/>
    <n v="2"/>
    <n v="1"/>
    <n v="1"/>
    <n v="0"/>
    <n v="0"/>
    <n v="0"/>
  </r>
  <r>
    <n v="866"/>
    <n v="30"/>
    <s v="26-35"/>
    <x v="1"/>
    <s v="Travel_Rarely"/>
    <n v="1389"/>
    <x v="0"/>
    <n v="29"/>
    <s v="High"/>
    <s v="Life Sciences"/>
    <s v="High"/>
    <s v="Male"/>
    <n v="61"/>
    <s v="High"/>
    <s v="Medium"/>
    <s v="Sales Executive"/>
    <s v="Low"/>
    <s v="Divorced"/>
    <n v="4115"/>
    <n v="13192"/>
    <s v="Low"/>
    <n v="8"/>
    <x v="1"/>
    <n v="19"/>
    <s v="High"/>
    <s v="High"/>
    <n v="3"/>
    <n v="8"/>
    <n v="3"/>
    <n v="3"/>
    <n v="4"/>
    <n v="3"/>
    <n v="0"/>
    <n v="3"/>
  </r>
  <r>
    <n v="867"/>
    <n v="40"/>
    <s v="36-45"/>
    <x v="1"/>
    <s v="Travel_Frequently"/>
    <n v="1389"/>
    <x v="0"/>
    <n v="2"/>
    <s v="High"/>
    <s v="Medical"/>
    <s v="Medium"/>
    <s v="Male"/>
    <n v="62"/>
    <s v="High"/>
    <s v="Medium"/>
    <s v="Sales Executive"/>
    <s v="Medium"/>
    <s v="Married"/>
    <n v="4327"/>
    <n v="25440"/>
    <s v="Low"/>
    <n v="5"/>
    <x v="1"/>
    <n v="12"/>
    <s v="High"/>
    <s v="Excellent"/>
    <n v="3"/>
    <n v="5"/>
    <n v="2"/>
    <n v="3"/>
    <n v="0"/>
    <n v="0"/>
    <n v="0"/>
    <n v="0"/>
  </r>
  <r>
    <n v="868"/>
    <n v="50"/>
    <s v="46-55"/>
    <x v="1"/>
    <s v="Travel_Frequently"/>
    <n v="1389"/>
    <x v="1"/>
    <n v="2"/>
    <s v="Medium"/>
    <s v="Medical"/>
    <s v="Excellent"/>
    <s v="Female"/>
    <n v="30"/>
    <s v="High"/>
    <s v="Excellent"/>
    <s v="Manager"/>
    <s v="Low"/>
    <s v="Married"/>
    <n v="17856"/>
    <n v="9490"/>
    <s v="High"/>
    <n v="2"/>
    <x v="1"/>
    <n v="22"/>
    <s v="Excellent"/>
    <s v="High"/>
    <n v="1"/>
    <n v="32"/>
    <n v="3"/>
    <n v="3"/>
    <n v="2"/>
    <n v="2"/>
    <n v="2"/>
    <n v="2"/>
  </r>
  <r>
    <n v="869"/>
    <n v="28"/>
    <s v="26-35"/>
    <x v="1"/>
    <s v="Travel_Rarely"/>
    <n v="1389"/>
    <x v="1"/>
    <n v="19"/>
    <s v="High"/>
    <s v="Medical"/>
    <s v="Excellent"/>
    <s v="Male"/>
    <n v="78"/>
    <s v="Medium"/>
    <s v="Low"/>
    <s v="Laboratory Technician"/>
    <s v="Low"/>
    <s v="Married"/>
    <n v="3196"/>
    <n v="12449"/>
    <s v="Low"/>
    <n v="1"/>
    <x v="1"/>
    <n v="12"/>
    <s v="High"/>
    <s v="High"/>
    <n v="3"/>
    <n v="6"/>
    <n v="2"/>
    <n v="3"/>
    <n v="6"/>
    <n v="5"/>
    <n v="3"/>
    <n v="3"/>
  </r>
  <r>
    <n v="870"/>
    <n v="46"/>
    <s v="46-55"/>
    <x v="1"/>
    <s v="Travel_Rarely"/>
    <n v="1389"/>
    <x v="1"/>
    <n v="15"/>
    <s v="Good"/>
    <s v="Life Sciences"/>
    <s v="Excellent"/>
    <s v="Male"/>
    <n v="52"/>
    <s v="High"/>
    <e v="#N/A"/>
    <s v="Research Director"/>
    <s v="Medium"/>
    <s v="Married"/>
    <n v="19081"/>
    <n v="10849"/>
    <s v="High"/>
    <n v="5"/>
    <x v="1"/>
    <n v="11"/>
    <s v="High"/>
    <s v="Low"/>
    <n v="1"/>
    <n v="25"/>
    <n v="2"/>
    <n v="3"/>
    <n v="4"/>
    <n v="2"/>
    <n v="0"/>
    <n v="3"/>
  </r>
  <r>
    <n v="871"/>
    <n v="35"/>
    <s v="26-35"/>
    <x v="1"/>
    <s v="Travel_Rarely"/>
    <n v="1389"/>
    <x v="0"/>
    <n v="17"/>
    <s v="High"/>
    <s v="Life Sciences"/>
    <s v="High"/>
    <s v="Male"/>
    <n v="94"/>
    <s v="High"/>
    <s v="Medium"/>
    <s v="Sales Executive"/>
    <s v="Low"/>
    <s v="Married"/>
    <n v="8966"/>
    <n v="21026"/>
    <s v="Medium"/>
    <n v="3"/>
    <x v="0"/>
    <n v="15"/>
    <s v="High"/>
    <s v="Excellent"/>
    <n v="3"/>
    <n v="15"/>
    <n v="2"/>
    <n v="3"/>
    <n v="7"/>
    <n v="7"/>
    <n v="1"/>
    <n v="7"/>
  </r>
  <r>
    <n v="872"/>
    <n v="24"/>
    <s v="18-25"/>
    <x v="0"/>
    <s v="Travel_Rarely"/>
    <n v="1389"/>
    <x v="1"/>
    <n v="17"/>
    <s v="Good"/>
    <s v="Life Sciences"/>
    <s v="Excellent"/>
    <s v="Female"/>
    <n v="97"/>
    <s v="High"/>
    <s v="Low"/>
    <s v="Laboratory Technician"/>
    <s v="Medium"/>
    <s v="Married"/>
    <n v="2210"/>
    <n v="3372"/>
    <s v="Low"/>
    <n v="1"/>
    <x v="1"/>
    <n v="13"/>
    <s v="High"/>
    <s v="Low"/>
    <n v="1"/>
    <n v="1"/>
    <n v="3"/>
    <n v="1"/>
    <n v="1"/>
    <n v="0"/>
    <n v="0"/>
    <n v="0"/>
  </r>
  <r>
    <n v="873"/>
    <n v="33"/>
    <s v="26-35"/>
    <x v="1"/>
    <s v="Travel_Frequently"/>
    <n v="1389"/>
    <x v="0"/>
    <n v="25"/>
    <s v="Medium"/>
    <s v="Medical"/>
    <s v="Medium"/>
    <s v="Female"/>
    <n v="82"/>
    <s v="High"/>
    <s v="Medium"/>
    <s v="Sales Executive"/>
    <s v="High"/>
    <s v="Married"/>
    <n v="4539"/>
    <n v="4905"/>
    <s v="Low"/>
    <n v="1"/>
    <x v="1"/>
    <n v="12"/>
    <s v="High"/>
    <s v="Low"/>
    <n v="1"/>
    <n v="10"/>
    <n v="3"/>
    <n v="2"/>
    <n v="10"/>
    <n v="7"/>
    <n v="0"/>
    <n v="1"/>
  </r>
  <r>
    <n v="874"/>
    <n v="36"/>
    <s v="36-45"/>
    <x v="1"/>
    <s v="Travel_Rarely"/>
    <n v="1389"/>
    <x v="1"/>
    <n v="6"/>
    <s v="High"/>
    <s v="Life Sciences"/>
    <s v="High"/>
    <s v="Male"/>
    <n v="60"/>
    <s v="Low"/>
    <s v="Low"/>
    <s v="Laboratory Technician"/>
    <s v="High"/>
    <s v="Divorced"/>
    <n v="2741"/>
    <n v="6865"/>
    <s v="Low"/>
    <n v="1"/>
    <x v="1"/>
    <n v="14"/>
    <s v="High"/>
    <s v="High"/>
    <n v="1"/>
    <n v="7"/>
    <n v="4"/>
    <n v="3"/>
    <n v="7"/>
    <n v="7"/>
    <n v="1"/>
    <n v="7"/>
  </r>
  <r>
    <n v="875"/>
    <n v="30"/>
    <s v="26-35"/>
    <x v="1"/>
    <s v="Travel_Rarely"/>
    <n v="1389"/>
    <x v="1"/>
    <n v="7"/>
    <s v="High"/>
    <s v="Life Sciences"/>
    <s v="High"/>
    <s v="Male"/>
    <n v="49"/>
    <s v="High"/>
    <s v="Medium"/>
    <s v="Laboratory Technician"/>
    <s v="High"/>
    <s v="Divorced"/>
    <n v="3491"/>
    <n v="11309"/>
    <s v="Low"/>
    <n v="1"/>
    <x v="1"/>
    <n v="13"/>
    <s v="High"/>
    <s v="Low"/>
    <n v="3"/>
    <n v="10"/>
    <n v="4"/>
    <n v="2"/>
    <n v="10"/>
    <n v="7"/>
    <n v="8"/>
    <n v="9"/>
  </r>
  <r>
    <n v="876"/>
    <n v="44"/>
    <s v="36-45"/>
    <x v="1"/>
    <s v="Travel_Rarely"/>
    <n v="1389"/>
    <x v="1"/>
    <n v="29"/>
    <s v="High"/>
    <s v="Other"/>
    <s v="Excellent"/>
    <s v="Male"/>
    <n v="32"/>
    <s v="High"/>
    <s v="Medium"/>
    <s v="Research Scientist"/>
    <s v="Excellent"/>
    <s v="Single"/>
    <n v="4541"/>
    <n v="7744"/>
    <s v="Low"/>
    <n v="1"/>
    <x v="1"/>
    <n v="25"/>
    <s v="Excellent"/>
    <s v="Medium"/>
    <n v="0"/>
    <n v="20"/>
    <n v="3"/>
    <n v="3"/>
    <n v="20"/>
    <n v="11"/>
    <n v="13"/>
    <n v="17"/>
  </r>
  <r>
    <n v="877"/>
    <n v="20"/>
    <s v="18-25"/>
    <x v="1"/>
    <s v="Travel_Rarely"/>
    <n v="1389"/>
    <x v="0"/>
    <n v="21"/>
    <s v="Medium"/>
    <s v="Marketing"/>
    <s v="High"/>
    <s v="Male"/>
    <n v="43"/>
    <s v="Excellent"/>
    <s v="Low"/>
    <s v="Sales Representative"/>
    <s v="Excellent"/>
    <s v="Single"/>
    <n v="2678"/>
    <n v="5050"/>
    <s v="Low"/>
    <n v="1"/>
    <x v="1"/>
    <n v="17"/>
    <s v="High"/>
    <s v="Excellent"/>
    <n v="0"/>
    <n v="2"/>
    <n v="2"/>
    <n v="3"/>
    <n v="2"/>
    <n v="1"/>
    <n v="2"/>
    <n v="2"/>
  </r>
  <r>
    <n v="878"/>
    <n v="46"/>
    <s v="46-55"/>
    <x v="1"/>
    <s v="Travel_Rarely"/>
    <n v="1389"/>
    <x v="1"/>
    <n v="2"/>
    <s v="High"/>
    <s v="Technical Degree"/>
    <s v="Excellent"/>
    <s v="Male"/>
    <n v="60"/>
    <s v="High"/>
    <s v="Medium"/>
    <s v="Manufacturing Director"/>
    <s v="Excellent"/>
    <s v="Divorced"/>
    <n v="7379"/>
    <n v="17433"/>
    <s v="Medium"/>
    <n v="2"/>
    <x v="1"/>
    <n v="11"/>
    <s v="High"/>
    <s v="High"/>
    <n v="1"/>
    <n v="12"/>
    <n v="3"/>
    <n v="2"/>
    <n v="6"/>
    <n v="3"/>
    <n v="1"/>
    <n v="4"/>
  </r>
  <r>
    <n v="879"/>
    <n v="42"/>
    <s v="36-45"/>
    <x v="1"/>
    <s v="Non-Travel"/>
    <n v="1389"/>
    <x v="2"/>
    <n v="2"/>
    <s v="Excellent"/>
    <s v="Medical"/>
    <s v="Excellent"/>
    <s v="Male"/>
    <n v="79"/>
    <s v="Excellent"/>
    <s v="Medium"/>
    <s v="Human Resources"/>
    <s v="Low"/>
    <s v="Married"/>
    <n v="6272"/>
    <n v="12858"/>
    <s v="Medium"/>
    <n v="7"/>
    <x v="1"/>
    <n v="16"/>
    <s v="High"/>
    <s v="Low"/>
    <n v="1"/>
    <n v="10"/>
    <n v="3"/>
    <n v="4"/>
    <n v="4"/>
    <n v="3"/>
    <n v="0"/>
    <n v="3"/>
  </r>
  <r>
    <n v="880"/>
    <n v="60"/>
    <s v="55+"/>
    <x v="1"/>
    <s v="Travel_Rarely"/>
    <n v="1389"/>
    <x v="0"/>
    <n v="7"/>
    <s v="High"/>
    <s v="Marketing"/>
    <s v="Medium"/>
    <s v="Male"/>
    <n v="52"/>
    <s v="Excellent"/>
    <s v="Medium"/>
    <s v="Sales Executive"/>
    <s v="Excellent"/>
    <s v="Divorced"/>
    <n v="5220"/>
    <n v="10893"/>
    <s v="Medium"/>
    <n v="0"/>
    <x v="0"/>
    <n v="18"/>
    <s v="High"/>
    <s v="Medium"/>
    <n v="1"/>
    <n v="12"/>
    <n v="3"/>
    <n v="3"/>
    <n v="11"/>
    <n v="7"/>
    <n v="1"/>
    <n v="9"/>
  </r>
  <r>
    <n v="881"/>
    <n v="32"/>
    <s v="26-35"/>
    <x v="1"/>
    <s v="Travel_Frequently"/>
    <n v="1389"/>
    <x v="1"/>
    <n v="13"/>
    <s v="Medium"/>
    <s v="Other"/>
    <s v="High"/>
    <s v="Female"/>
    <n v="77"/>
    <s v="Medium"/>
    <s v="Low"/>
    <s v="Laboratory Technician"/>
    <s v="Medium"/>
    <s v="Married"/>
    <n v="2743"/>
    <n v="7331"/>
    <s v="Low"/>
    <n v="1"/>
    <x v="1"/>
    <n v="20"/>
    <s v="Excellent"/>
    <s v="High"/>
    <n v="1"/>
    <n v="2"/>
    <n v="2"/>
    <n v="3"/>
    <n v="2"/>
    <n v="2"/>
    <n v="2"/>
    <n v="2"/>
  </r>
  <r>
    <n v="882"/>
    <n v="32"/>
    <s v="26-35"/>
    <x v="1"/>
    <s v="Travel_Frequently"/>
    <n v="1389"/>
    <x v="1"/>
    <n v="2"/>
    <s v="Good"/>
    <s v="Life Sciences"/>
    <s v="Excellent"/>
    <s v="Female"/>
    <n v="38"/>
    <s v="High"/>
    <s v="Medium"/>
    <s v="Research Scientist"/>
    <s v="High"/>
    <s v="Single"/>
    <n v="4998"/>
    <n v="2338"/>
    <s v="Low"/>
    <n v="4"/>
    <x v="0"/>
    <n v="14"/>
    <s v="High"/>
    <s v="Excellent"/>
    <n v="0"/>
    <n v="10"/>
    <n v="2"/>
    <n v="3"/>
    <n v="8"/>
    <n v="7"/>
    <n v="0"/>
    <n v="7"/>
  </r>
  <r>
    <n v="883"/>
    <n v="36"/>
    <s v="36-45"/>
    <x v="1"/>
    <s v="Travel_Rarely"/>
    <n v="1389"/>
    <x v="1"/>
    <n v="1"/>
    <s v="Medium"/>
    <s v="Technical Degree"/>
    <s v="High"/>
    <s v="Female"/>
    <n v="77"/>
    <s v="Low"/>
    <s v="High"/>
    <s v="Manufacturing Director"/>
    <s v="Low"/>
    <s v="Divorced"/>
    <n v="10252"/>
    <n v="4235"/>
    <s v="High"/>
    <n v="2"/>
    <x v="0"/>
    <n v="21"/>
    <s v="Excellent"/>
    <s v="High"/>
    <n v="1"/>
    <n v="17"/>
    <n v="2"/>
    <n v="3"/>
    <n v="7"/>
    <n v="7"/>
    <n v="7"/>
    <n v="7"/>
  </r>
  <r>
    <n v="884"/>
    <n v="33"/>
    <s v="26-35"/>
    <x v="1"/>
    <s v="Travel_Rarely"/>
    <n v="1389"/>
    <x v="1"/>
    <n v="9"/>
    <s v="Medium"/>
    <s v="Medical"/>
    <s v="Low"/>
    <s v="Male"/>
    <n v="60"/>
    <s v="High"/>
    <s v="Low"/>
    <s v="Research Scientist"/>
    <s v="Excellent"/>
    <s v="Married"/>
    <n v="2781"/>
    <n v="6311"/>
    <s v="Low"/>
    <n v="0"/>
    <x v="1"/>
    <n v="13"/>
    <s v="High"/>
    <s v="Medium"/>
    <n v="1"/>
    <n v="15"/>
    <n v="5"/>
    <n v="3"/>
    <n v="14"/>
    <n v="10"/>
    <n v="4"/>
    <n v="10"/>
  </r>
  <r>
    <n v="885"/>
    <n v="40"/>
    <s v="36-45"/>
    <x v="1"/>
    <s v="Travel_Rarely"/>
    <n v="1389"/>
    <x v="0"/>
    <n v="10"/>
    <s v="Medium"/>
    <s v="Technical Degree"/>
    <s v="Medium"/>
    <s v="Female"/>
    <n v="84"/>
    <s v="Medium"/>
    <s v="Medium"/>
    <s v="Sales Executive"/>
    <s v="Medium"/>
    <s v="Divorced"/>
    <n v="6852"/>
    <n v="11591"/>
    <s v="Medium"/>
    <n v="7"/>
    <x v="1"/>
    <n v="12"/>
    <s v="High"/>
    <s v="Medium"/>
    <n v="1"/>
    <n v="7"/>
    <n v="2"/>
    <n v="4"/>
    <n v="5"/>
    <n v="1"/>
    <n v="1"/>
    <n v="3"/>
  </r>
  <r>
    <n v="886"/>
    <n v="25"/>
    <s v="18-25"/>
    <x v="1"/>
    <s v="Travel_Rarely"/>
    <n v="1389"/>
    <x v="0"/>
    <n v="10"/>
    <s v="High"/>
    <s v="Life Sciences"/>
    <s v="High"/>
    <s v="Male"/>
    <n v="57"/>
    <s v="High"/>
    <s v="Medium"/>
    <s v="Sales Executive"/>
    <s v="Excellent"/>
    <s v="Single"/>
    <n v="4950"/>
    <n v="20623"/>
    <s v="Low"/>
    <n v="0"/>
    <x v="1"/>
    <n v="14"/>
    <s v="High"/>
    <s v="Medium"/>
    <n v="0"/>
    <n v="5"/>
    <n v="4"/>
    <n v="3"/>
    <n v="4"/>
    <n v="3"/>
    <n v="1"/>
    <n v="1"/>
  </r>
  <r>
    <n v="887"/>
    <n v="30"/>
    <s v="26-35"/>
    <x v="1"/>
    <s v="Travel_Rarely"/>
    <n v="1389"/>
    <x v="1"/>
    <n v="1"/>
    <s v="Medium"/>
    <s v="Medical"/>
    <s v="Excellent"/>
    <s v="Male"/>
    <n v="63"/>
    <s v="High"/>
    <s v="Low"/>
    <s v="Research Scientist"/>
    <s v="Medium"/>
    <s v="Married"/>
    <n v="3579"/>
    <n v="9369"/>
    <s v="Low"/>
    <n v="0"/>
    <x v="0"/>
    <n v="21"/>
    <s v="Excellent"/>
    <s v="Low"/>
    <n v="1"/>
    <n v="12"/>
    <n v="2"/>
    <n v="3"/>
    <n v="11"/>
    <n v="9"/>
    <n v="5"/>
    <n v="7"/>
  </r>
  <r>
    <n v="888"/>
    <n v="42"/>
    <s v="36-45"/>
    <x v="1"/>
    <s v="Travel_Frequently"/>
    <n v="1389"/>
    <x v="1"/>
    <n v="26"/>
    <s v="Excellent"/>
    <s v="Medical"/>
    <s v="Low"/>
    <s v="Female"/>
    <n v="60"/>
    <s v="High"/>
    <s v="High"/>
    <s v="Research Director"/>
    <s v="Low"/>
    <s v="Married"/>
    <n v="13191"/>
    <n v="23281"/>
    <s v="High"/>
    <n v="3"/>
    <x v="0"/>
    <n v="17"/>
    <s v="High"/>
    <s v="High"/>
    <n v="0"/>
    <n v="20"/>
    <n v="6"/>
    <n v="3"/>
    <n v="1"/>
    <n v="0"/>
    <n v="0"/>
    <n v="0"/>
  </r>
  <r>
    <n v="889"/>
    <n v="35"/>
    <s v="26-35"/>
    <x v="1"/>
    <s v="Non-Travel"/>
    <n v="1389"/>
    <x v="0"/>
    <n v="8"/>
    <s v="Good"/>
    <s v="Marketing"/>
    <s v="High"/>
    <s v="Female"/>
    <n v="78"/>
    <s v="Medium"/>
    <s v="High"/>
    <s v="Sales Executive"/>
    <s v="Excellent"/>
    <s v="Married"/>
    <n v="10377"/>
    <n v="13755"/>
    <s v="High"/>
    <n v="4"/>
    <x v="0"/>
    <n v="11"/>
    <s v="High"/>
    <s v="Medium"/>
    <n v="1"/>
    <n v="16"/>
    <n v="6"/>
    <n v="2"/>
    <n v="13"/>
    <n v="2"/>
    <n v="4"/>
    <n v="12"/>
  </r>
  <r>
    <n v="890"/>
    <n v="27"/>
    <s v="26-35"/>
    <x v="1"/>
    <s v="Travel_Rarely"/>
    <n v="1389"/>
    <x v="1"/>
    <n v="14"/>
    <s v="Medium"/>
    <s v="Life Sciences"/>
    <s v="Low"/>
    <s v="Male"/>
    <n v="42"/>
    <s v="High"/>
    <s v="Low"/>
    <s v="Research Scientist"/>
    <s v="Low"/>
    <s v="Married"/>
    <n v="2235"/>
    <n v="14377"/>
    <s v="Low"/>
    <n v="1"/>
    <x v="0"/>
    <n v="14"/>
    <s v="High"/>
    <s v="Excellent"/>
    <n v="2"/>
    <n v="9"/>
    <n v="3"/>
    <n v="2"/>
    <n v="9"/>
    <n v="7"/>
    <n v="6"/>
    <n v="8"/>
  </r>
  <r>
    <n v="891"/>
    <n v="54"/>
    <s v="46-55"/>
    <x v="1"/>
    <s v="Travel_Frequently"/>
    <n v="1389"/>
    <x v="1"/>
    <n v="1"/>
    <s v="High"/>
    <s v="Life Sciences"/>
    <s v="Excellent"/>
    <s v="Female"/>
    <n v="53"/>
    <s v="High"/>
    <s v="High"/>
    <s v="Manufacturing Director"/>
    <s v="High"/>
    <s v="Divorced"/>
    <n v="10502"/>
    <n v="9659"/>
    <s v="High"/>
    <n v="7"/>
    <x v="1"/>
    <n v="17"/>
    <s v="High"/>
    <s v="Low"/>
    <n v="1"/>
    <n v="33"/>
    <n v="2"/>
    <n v="1"/>
    <n v="5"/>
    <n v="4"/>
    <n v="1"/>
    <n v="4"/>
  </r>
  <r>
    <n v="892"/>
    <n v="44"/>
    <s v="36-45"/>
    <x v="1"/>
    <s v="Travel_Rarely"/>
    <n v="1389"/>
    <x v="1"/>
    <n v="2"/>
    <s v="Low"/>
    <s v="Life Sciences"/>
    <s v="Low"/>
    <s v="Female"/>
    <n v="72"/>
    <s v="Excellent"/>
    <s v="Low"/>
    <s v="Research Scientist"/>
    <s v="Excellent"/>
    <s v="Married"/>
    <n v="2011"/>
    <n v="19982"/>
    <s v="Low"/>
    <n v="1"/>
    <x v="1"/>
    <n v="13"/>
    <s v="High"/>
    <s v="Excellent"/>
    <n v="1"/>
    <n v="10"/>
    <n v="5"/>
    <n v="3"/>
    <n v="10"/>
    <n v="5"/>
    <n v="7"/>
    <n v="7"/>
  </r>
  <r>
    <n v="893"/>
    <n v="19"/>
    <s v="18-25"/>
    <x v="0"/>
    <s v="Non-Travel"/>
    <n v="1389"/>
    <x v="1"/>
    <n v="10"/>
    <s v="Medium"/>
    <s v="Medical"/>
    <s v="Low"/>
    <s v="Female"/>
    <n v="96"/>
    <s v="Medium"/>
    <s v="Low"/>
    <s v="Research Scientist"/>
    <s v="Medium"/>
    <s v="Single"/>
    <n v="1859"/>
    <n v="6148"/>
    <s v="Low"/>
    <n v="1"/>
    <x v="0"/>
    <n v="25"/>
    <s v="Excellent"/>
    <s v="Medium"/>
    <n v="0"/>
    <n v="1"/>
    <n v="2"/>
    <n v="4"/>
    <n v="1"/>
    <n v="1"/>
    <n v="0"/>
    <n v="0"/>
  </r>
  <r>
    <n v="894"/>
    <n v="29"/>
    <s v="26-35"/>
    <x v="1"/>
    <s v="Travel_Rarely"/>
    <n v="1389"/>
    <x v="1"/>
    <n v="1"/>
    <s v="Medium"/>
    <s v="Life Sciences"/>
    <s v="Low"/>
    <s v="Female"/>
    <n v="97"/>
    <s v="High"/>
    <s v="Low"/>
    <s v="Research Scientist"/>
    <s v="Excellent"/>
    <s v="Divorced"/>
    <n v="3760"/>
    <n v="5598"/>
    <s v="Low"/>
    <n v="1"/>
    <x v="1"/>
    <n v="15"/>
    <s v="High"/>
    <s v="Low"/>
    <n v="3"/>
    <n v="3"/>
    <n v="5"/>
    <n v="3"/>
    <n v="3"/>
    <n v="2"/>
    <n v="1"/>
    <n v="2"/>
  </r>
  <r>
    <n v="895"/>
    <n v="54"/>
    <s v="46-55"/>
    <x v="1"/>
    <s v="Travel_Rarely"/>
    <n v="1389"/>
    <x v="1"/>
    <n v="3"/>
    <s v="Medium"/>
    <s v="Life Sciences"/>
    <s v="Excellent"/>
    <s v="Male"/>
    <n v="85"/>
    <s v="High"/>
    <s v="Excellent"/>
    <s v="Research Director"/>
    <s v="Excellent"/>
    <s v="Married"/>
    <n v="17779"/>
    <n v="23474"/>
    <s v="High"/>
    <n v="3"/>
    <x v="1"/>
    <n v="14"/>
    <s v="High"/>
    <s v="Low"/>
    <n v="0"/>
    <n v="36"/>
    <n v="2"/>
    <n v="3"/>
    <n v="10"/>
    <n v="9"/>
    <n v="0"/>
    <n v="9"/>
  </r>
  <r>
    <n v="896"/>
    <n v="31"/>
    <s v="26-35"/>
    <x v="1"/>
    <s v="Travel_Rarely"/>
    <n v="1389"/>
    <x v="1"/>
    <n v="11"/>
    <s v="Good"/>
    <s v="Medical"/>
    <s v="High"/>
    <s v="Male"/>
    <n v="80"/>
    <s v="High"/>
    <s v="Medium"/>
    <s v="Healthcare Representative"/>
    <s v="Low"/>
    <s v="Married"/>
    <n v="6833"/>
    <n v="17089"/>
    <s v="Medium"/>
    <n v="1"/>
    <x v="0"/>
    <n v="12"/>
    <s v="High"/>
    <s v="Excellent"/>
    <n v="0"/>
    <n v="6"/>
    <n v="2"/>
    <n v="2"/>
    <n v="6"/>
    <n v="5"/>
    <n v="0"/>
    <n v="1"/>
  </r>
  <r>
    <n v="897"/>
    <n v="31"/>
    <s v="26-35"/>
    <x v="1"/>
    <s v="Travel_Rarely"/>
    <n v="1389"/>
    <x v="1"/>
    <n v="24"/>
    <s v="Medium"/>
    <s v="Medical"/>
    <s v="High"/>
    <s v="Female"/>
    <n v="96"/>
    <s v="Medium"/>
    <s v="Medium"/>
    <s v="Healthcare Representative"/>
    <s v="Low"/>
    <s v="Single"/>
    <n v="6812"/>
    <n v="17198"/>
    <s v="Medium"/>
    <n v="1"/>
    <x v="1"/>
    <n v="19"/>
    <s v="High"/>
    <s v="Medium"/>
    <n v="0"/>
    <n v="10"/>
    <n v="2"/>
    <n v="3"/>
    <n v="10"/>
    <n v="9"/>
    <n v="1"/>
    <n v="8"/>
  </r>
  <r>
    <n v="898"/>
    <n v="59"/>
    <s v="55+"/>
    <x v="1"/>
    <s v="Travel_Rarely"/>
    <n v="1389"/>
    <x v="0"/>
    <n v="3"/>
    <s v="Medium"/>
    <s v="Life Sciences"/>
    <s v="High"/>
    <s v="Female"/>
    <n v="48"/>
    <s v="Medium"/>
    <s v="Medium"/>
    <s v="Sales Executive"/>
    <s v="Excellent"/>
    <s v="Single"/>
    <n v="5171"/>
    <n v="16490"/>
    <s v="Medium"/>
    <n v="5"/>
    <x v="1"/>
    <n v="17"/>
    <s v="High"/>
    <s v="Excellent"/>
    <n v="0"/>
    <n v="13"/>
    <n v="2"/>
    <n v="3"/>
    <n v="6"/>
    <n v="1"/>
    <n v="0"/>
    <n v="5"/>
  </r>
  <r>
    <n v="899"/>
    <n v="43"/>
    <s v="36-45"/>
    <x v="1"/>
    <s v="Travel_Rarely"/>
    <n v="1389"/>
    <x v="1"/>
    <n v="3"/>
    <s v="Medium"/>
    <s v="Life Sciences"/>
    <s v="High"/>
    <s v="Male"/>
    <n v="96"/>
    <s v="Low"/>
    <e v="#N/A"/>
    <s v="Research Director"/>
    <s v="Excellent"/>
    <s v="Married"/>
    <n v="19740"/>
    <n v="18625"/>
    <s v="High"/>
    <n v="3"/>
    <x v="1"/>
    <n v="14"/>
    <s v="High"/>
    <s v="Medium"/>
    <n v="1"/>
    <n v="25"/>
    <n v="2"/>
    <n v="3"/>
    <n v="8"/>
    <n v="7"/>
    <n v="0"/>
    <n v="7"/>
  </r>
  <r>
    <n v="900"/>
    <n v="49"/>
    <s v="46-55"/>
    <x v="1"/>
    <s v="Travel_Rarely"/>
    <n v="1389"/>
    <x v="1"/>
    <n v="4"/>
    <s v="Good"/>
    <s v="Medical"/>
    <s v="Low"/>
    <s v="Male"/>
    <n v="85"/>
    <s v="Medium"/>
    <e v="#N/A"/>
    <s v="Manager"/>
    <s v="High"/>
    <s v="Married"/>
    <n v="18711"/>
    <n v="12124"/>
    <s v="High"/>
    <n v="2"/>
    <x v="1"/>
    <n v="13"/>
    <s v="High"/>
    <s v="High"/>
    <n v="1"/>
    <n v="23"/>
    <n v="2"/>
    <n v="4"/>
    <n v="1"/>
    <n v="0"/>
    <n v="0"/>
    <n v="0"/>
  </r>
  <r>
    <n v="901"/>
    <n v="36"/>
    <s v="36-45"/>
    <x v="1"/>
    <s v="Travel_Frequently"/>
    <n v="1389"/>
    <x v="1"/>
    <n v="3"/>
    <s v="Medium"/>
    <s v="Technical Degree"/>
    <s v="High"/>
    <s v="Male"/>
    <n v="46"/>
    <s v="High"/>
    <s v="Low"/>
    <s v="Research Scientist"/>
    <s v="Medium"/>
    <s v="Married"/>
    <n v="3692"/>
    <n v="9256"/>
    <s v="Low"/>
    <n v="1"/>
    <x v="1"/>
    <n v="12"/>
    <s v="High"/>
    <s v="High"/>
    <n v="0"/>
    <n v="12"/>
    <n v="2"/>
    <n v="2"/>
    <n v="11"/>
    <n v="10"/>
    <n v="0"/>
    <n v="7"/>
  </r>
  <r>
    <n v="902"/>
    <n v="48"/>
    <s v="46-55"/>
    <x v="1"/>
    <s v="Travel_Rarely"/>
    <n v="1389"/>
    <x v="1"/>
    <n v="2"/>
    <s v="Good"/>
    <s v="Technical Degree"/>
    <s v="Excellent"/>
    <s v="Male"/>
    <n v="76"/>
    <s v="Excellent"/>
    <s v="Low"/>
    <s v="Laboratory Technician"/>
    <s v="Medium"/>
    <s v="Single"/>
    <n v="2559"/>
    <n v="16620"/>
    <s v="Low"/>
    <n v="5"/>
    <x v="1"/>
    <n v="11"/>
    <s v="High"/>
    <s v="High"/>
    <n v="0"/>
    <n v="7"/>
    <n v="4"/>
    <n v="2"/>
    <n v="1"/>
    <n v="0"/>
    <n v="0"/>
    <n v="0"/>
  </r>
  <r>
    <n v="903"/>
    <n v="27"/>
    <s v="26-35"/>
    <x v="1"/>
    <s v="Travel_Rarely"/>
    <n v="1389"/>
    <x v="1"/>
    <n v="4"/>
    <s v="Good"/>
    <s v="Life Sciences"/>
    <s v="Low"/>
    <s v="Male"/>
    <n v="76"/>
    <s v="High"/>
    <s v="Low"/>
    <s v="Research Scientist"/>
    <s v="High"/>
    <s v="Divorced"/>
    <n v="2517"/>
    <n v="3208"/>
    <s v="Low"/>
    <n v="1"/>
    <x v="1"/>
    <n v="11"/>
    <s v="High"/>
    <s v="Medium"/>
    <n v="3"/>
    <n v="5"/>
    <n v="2"/>
    <n v="3"/>
    <n v="5"/>
    <n v="3"/>
    <n v="0"/>
    <n v="3"/>
  </r>
  <r>
    <n v="904"/>
    <n v="29"/>
    <s v="26-35"/>
    <x v="1"/>
    <s v="Travel_Rarely"/>
    <n v="1389"/>
    <x v="1"/>
    <n v="7"/>
    <s v="Medium"/>
    <s v="Life Sciences"/>
    <s v="High"/>
    <s v="Male"/>
    <n v="82"/>
    <s v="High"/>
    <s v="Medium"/>
    <s v="Healthcare Representative"/>
    <s v="Excellent"/>
    <s v="Divorced"/>
    <n v="6623"/>
    <n v="4204"/>
    <s v="Medium"/>
    <n v="1"/>
    <x v="0"/>
    <n v="11"/>
    <s v="High"/>
    <s v="Medium"/>
    <n v="2"/>
    <n v="6"/>
    <n v="2"/>
    <n v="3"/>
    <n v="6"/>
    <n v="0"/>
    <n v="1"/>
    <n v="0"/>
  </r>
  <r>
    <n v="905"/>
    <n v="48"/>
    <s v="46-55"/>
    <x v="1"/>
    <s v="Travel_Rarely"/>
    <n v="1389"/>
    <x v="1"/>
    <n v="1"/>
    <s v="Medium"/>
    <s v="Life Sciences"/>
    <s v="Excellent"/>
    <s v="Male"/>
    <n v="76"/>
    <s v="Medium"/>
    <e v="#N/A"/>
    <s v="Research Director"/>
    <s v="Excellent"/>
    <s v="Single"/>
    <n v="18265"/>
    <n v="8733"/>
    <s v="High"/>
    <n v="6"/>
    <x v="1"/>
    <n v="12"/>
    <s v="High"/>
    <s v="High"/>
    <n v="0"/>
    <n v="25"/>
    <n v="3"/>
    <n v="4"/>
    <n v="1"/>
    <n v="0"/>
    <n v="0"/>
    <n v="0"/>
  </r>
  <r>
    <n v="906"/>
    <n v="29"/>
    <s v="26-35"/>
    <x v="1"/>
    <s v="Travel_Rarely"/>
    <n v="1389"/>
    <x v="1"/>
    <n v="1"/>
    <s v="Medium"/>
    <s v="Life Sciences"/>
    <s v="Excellent"/>
    <s v="Female"/>
    <n v="87"/>
    <s v="Medium"/>
    <s v="Excellent"/>
    <s v="Research Director"/>
    <s v="Excellent"/>
    <s v="Divorced"/>
    <n v="16124"/>
    <n v="3423"/>
    <s v="High"/>
    <n v="3"/>
    <x v="1"/>
    <n v="14"/>
    <s v="High"/>
    <s v="Medium"/>
    <n v="2"/>
    <n v="9"/>
    <n v="2"/>
    <n v="2"/>
    <n v="7"/>
    <n v="7"/>
    <n v="1"/>
    <n v="7"/>
  </r>
  <r>
    <n v="907"/>
    <n v="34"/>
    <s v="26-35"/>
    <x v="1"/>
    <s v="Travel_Rarely"/>
    <n v="1389"/>
    <x v="1"/>
    <n v="20"/>
    <s v="Medium"/>
    <s v="Technical Degree"/>
    <s v="High"/>
    <s v="Female"/>
    <n v="89"/>
    <s v="Excellent"/>
    <s v="Low"/>
    <s v="Research Scientist"/>
    <s v="High"/>
    <s v="Married"/>
    <n v="2585"/>
    <n v="21643"/>
    <s v="Low"/>
    <n v="0"/>
    <x v="1"/>
    <n v="17"/>
    <s v="High"/>
    <s v="Excellent"/>
    <n v="0"/>
    <n v="2"/>
    <n v="5"/>
    <n v="2"/>
    <n v="1"/>
    <n v="0"/>
    <n v="0"/>
    <n v="0"/>
  </r>
  <r>
    <n v="908"/>
    <n v="44"/>
    <s v="36-45"/>
    <x v="1"/>
    <s v="Travel_Rarely"/>
    <n v="1389"/>
    <x v="0"/>
    <n v="5"/>
    <s v="Medium"/>
    <s v="Marketing"/>
    <s v="Medium"/>
    <s v="Male"/>
    <n v="88"/>
    <s v="High"/>
    <e v="#N/A"/>
    <s v="Manager"/>
    <s v="Medium"/>
    <s v="Married"/>
    <n v="18213"/>
    <n v="8751"/>
    <s v="High"/>
    <n v="7"/>
    <x v="1"/>
    <n v="11"/>
    <s v="High"/>
    <s v="High"/>
    <n v="1"/>
    <n v="26"/>
    <n v="5"/>
    <n v="3"/>
    <n v="22"/>
    <n v="9"/>
    <n v="3"/>
    <n v="10"/>
  </r>
  <r>
    <n v="909"/>
    <n v="33"/>
    <s v="26-35"/>
    <x v="1"/>
    <s v="Travel_Rarely"/>
    <n v="1389"/>
    <x v="0"/>
    <n v="10"/>
    <s v="Excellent"/>
    <s v="Marketing"/>
    <s v="Excellent"/>
    <s v="Male"/>
    <n v="82"/>
    <s v="Excellent"/>
    <s v="High"/>
    <s v="Sales Executive"/>
    <s v="High"/>
    <s v="Divorced"/>
    <n v="8380"/>
    <n v="21708"/>
    <s v="Medium"/>
    <n v="0"/>
    <x v="0"/>
    <n v="14"/>
    <s v="High"/>
    <s v="Excellent"/>
    <n v="2"/>
    <n v="10"/>
    <n v="3"/>
    <n v="3"/>
    <n v="9"/>
    <n v="8"/>
    <n v="0"/>
    <n v="8"/>
  </r>
  <r>
    <n v="910"/>
    <n v="19"/>
    <s v="18-25"/>
    <x v="1"/>
    <s v="Travel_Rarely"/>
    <n v="1389"/>
    <x v="1"/>
    <n v="25"/>
    <s v="Medium"/>
    <s v="Life Sciences"/>
    <s v="Medium"/>
    <s v="Female"/>
    <n v="57"/>
    <s v="Excellent"/>
    <s v="Low"/>
    <s v="Research Scientist"/>
    <s v="Excellent"/>
    <s v="Single"/>
    <n v="2994"/>
    <n v="21221"/>
    <s v="Low"/>
    <n v="1"/>
    <x v="0"/>
    <n v="12"/>
    <s v="High"/>
    <s v="Excellent"/>
    <n v="0"/>
    <n v="1"/>
    <n v="2"/>
    <n v="3"/>
    <n v="1"/>
    <n v="0"/>
    <n v="0"/>
    <n v="1"/>
  </r>
  <r>
    <n v="911"/>
    <n v="23"/>
    <s v="18-25"/>
    <x v="1"/>
    <s v="Travel_Rarely"/>
    <n v="1389"/>
    <x v="1"/>
    <n v="1"/>
    <s v="Good"/>
    <s v="Life Sciences"/>
    <s v="Excellent"/>
    <s v="Male"/>
    <n v="47"/>
    <s v="High"/>
    <s v="Low"/>
    <s v="Research Scientist"/>
    <s v="High"/>
    <s v="Married"/>
    <n v="1223"/>
    <n v="16901"/>
    <s v="Low"/>
    <n v="1"/>
    <x v="1"/>
    <n v="22"/>
    <s v="Excellent"/>
    <s v="Excellent"/>
    <n v="1"/>
    <n v="1"/>
    <n v="2"/>
    <n v="3"/>
    <n v="1"/>
    <n v="0"/>
    <n v="0"/>
    <n v="1"/>
  </r>
  <r>
    <n v="912"/>
    <n v="25"/>
    <s v="18-25"/>
    <x v="0"/>
    <s v="Travel_Frequently"/>
    <n v="1389"/>
    <x v="0"/>
    <n v="24"/>
    <s v="Low"/>
    <s v="Life Sciences"/>
    <s v="High"/>
    <s v="Male"/>
    <n v="73"/>
    <s v="Low"/>
    <s v="Low"/>
    <s v="Sales Representative"/>
    <s v="Excellent"/>
    <s v="Single"/>
    <n v="1118"/>
    <n v="8040"/>
    <s v="Low"/>
    <n v="1"/>
    <x v="0"/>
    <n v="14"/>
    <s v="High"/>
    <s v="Excellent"/>
    <n v="0"/>
    <n v="1"/>
    <n v="4"/>
    <n v="3"/>
    <n v="1"/>
    <n v="0"/>
    <n v="1"/>
    <n v="0"/>
  </r>
  <r>
    <n v="913"/>
    <n v="26"/>
    <s v="26-35"/>
    <x v="1"/>
    <s v="Travel_Rarely"/>
    <n v="1389"/>
    <x v="1"/>
    <n v="4"/>
    <s v="Good"/>
    <s v="Life Sciences"/>
    <s v="High"/>
    <s v="Male"/>
    <n v="53"/>
    <s v="High"/>
    <s v="Low"/>
    <s v="Research Scientist"/>
    <s v="Excellent"/>
    <s v="Single"/>
    <n v="2875"/>
    <n v="9973"/>
    <s v="Low"/>
    <n v="1"/>
    <x v="0"/>
    <n v="20"/>
    <s v="Excellent"/>
    <s v="Medium"/>
    <n v="0"/>
    <n v="8"/>
    <n v="2"/>
    <n v="2"/>
    <n v="8"/>
    <n v="5"/>
    <n v="2"/>
    <n v="2"/>
  </r>
  <r>
    <n v="914"/>
    <n v="45"/>
    <s v="36-45"/>
    <x v="0"/>
    <s v="Travel_Rarely"/>
    <n v="1389"/>
    <x v="0"/>
    <n v="2"/>
    <s v="Medium"/>
    <s v="Marketing"/>
    <s v="Low"/>
    <s v="Female"/>
    <n v="94"/>
    <s v="Low"/>
    <e v="#N/A"/>
    <s v="Manager"/>
    <s v="Medium"/>
    <s v="Single"/>
    <n v="18824"/>
    <n v="2493"/>
    <s v="High"/>
    <n v="2"/>
    <x v="0"/>
    <n v="16"/>
    <s v="High"/>
    <s v="Low"/>
    <n v="0"/>
    <n v="26"/>
    <n v="2"/>
    <n v="3"/>
    <n v="24"/>
    <n v="10"/>
    <n v="1"/>
    <n v="11"/>
  </r>
  <r>
    <n v="915"/>
    <n v="55"/>
    <s v="46-55"/>
    <x v="1"/>
    <s v="Non-Travel"/>
    <n v="1389"/>
    <x v="1"/>
    <n v="8"/>
    <s v="Low"/>
    <s v="Medical"/>
    <s v="Excellent"/>
    <s v="Male"/>
    <n v="37"/>
    <s v="Medium"/>
    <s v="Excellent"/>
    <s v="Healthcare Representative"/>
    <s v="Medium"/>
    <s v="Divorced"/>
    <n v="13577"/>
    <n v="25592"/>
    <s v="High"/>
    <n v="1"/>
    <x v="0"/>
    <n v="15"/>
    <s v="High"/>
    <s v="Excellent"/>
    <n v="1"/>
    <n v="34"/>
    <n v="3"/>
    <n v="3"/>
    <n v="33"/>
    <n v="9"/>
    <n v="15"/>
    <n v="0"/>
  </r>
  <r>
    <n v="916"/>
    <n v="21"/>
    <s v="18-25"/>
    <x v="0"/>
    <s v="Travel_Frequently"/>
    <n v="1389"/>
    <x v="1"/>
    <n v="10"/>
    <s v="Good"/>
    <s v="Life Sciences"/>
    <s v="Low"/>
    <s v="Female"/>
    <n v="45"/>
    <s v="Medium"/>
    <s v="Low"/>
    <s v="Laboratory Technician"/>
    <s v="High"/>
    <s v="Single"/>
    <n v="2625"/>
    <n v="25308"/>
    <s v="Low"/>
    <n v="1"/>
    <x v="1"/>
    <n v="20"/>
    <s v="Excellent"/>
    <s v="High"/>
    <n v="0"/>
    <n v="2"/>
    <n v="2"/>
    <n v="1"/>
    <n v="2"/>
    <n v="2"/>
    <n v="2"/>
    <n v="2"/>
  </r>
  <r>
    <n v="917"/>
    <n v="46"/>
    <s v="46-55"/>
    <x v="1"/>
    <s v="Travel_Rarely"/>
    <n v="1389"/>
    <x v="0"/>
    <n v="4"/>
    <s v="Good"/>
    <s v="Marketing"/>
    <s v="Excellent"/>
    <s v="Female"/>
    <n v="33"/>
    <s v="Medium"/>
    <e v="#N/A"/>
    <s v="Manager"/>
    <s v="Medium"/>
    <s v="Married"/>
    <n v="18789"/>
    <n v="9946"/>
    <s v="High"/>
    <n v="2"/>
    <x v="1"/>
    <n v="14"/>
    <s v="High"/>
    <s v="High"/>
    <n v="1"/>
    <n v="26"/>
    <n v="2"/>
    <n v="3"/>
    <n v="11"/>
    <n v="4"/>
    <n v="0"/>
    <n v="8"/>
  </r>
  <r>
    <n v="918"/>
    <n v="34"/>
    <s v="26-35"/>
    <x v="1"/>
    <s v="Travel_Rarely"/>
    <n v="1389"/>
    <x v="0"/>
    <n v="2"/>
    <s v="Medium"/>
    <s v="Marketing"/>
    <s v="High"/>
    <s v="Female"/>
    <n v="86"/>
    <s v="High"/>
    <s v="Medium"/>
    <s v="Sales Executive"/>
    <s v="Low"/>
    <s v="Single"/>
    <n v="4538"/>
    <n v="6039"/>
    <s v="Low"/>
    <n v="0"/>
    <x v="0"/>
    <n v="12"/>
    <s v="High"/>
    <s v="Excellent"/>
    <n v="0"/>
    <n v="4"/>
    <n v="3"/>
    <n v="3"/>
    <n v="3"/>
    <n v="2"/>
    <n v="0"/>
    <n v="2"/>
  </r>
  <r>
    <n v="919"/>
    <n v="51"/>
    <s v="46-55"/>
    <x v="1"/>
    <s v="Travel_Frequently"/>
    <n v="1389"/>
    <x v="0"/>
    <n v="9"/>
    <s v="Medium"/>
    <s v="Life Sciences"/>
    <s v="Excellent"/>
    <s v="Male"/>
    <n v="83"/>
    <s v="High"/>
    <e v="#N/A"/>
    <s v="Manager"/>
    <s v="Medium"/>
    <s v="Divorced"/>
    <n v="19847"/>
    <n v="19196"/>
    <s v="High"/>
    <n v="4"/>
    <x v="0"/>
    <n v="24"/>
    <s v="Excellent"/>
    <s v="Low"/>
    <n v="1"/>
    <n v="31"/>
    <n v="5"/>
    <n v="2"/>
    <n v="29"/>
    <n v="10"/>
    <n v="11"/>
    <n v="10"/>
  </r>
  <r>
    <n v="920"/>
    <n v="59"/>
    <s v="55+"/>
    <x v="1"/>
    <s v="Travel_Rarely"/>
    <n v="1389"/>
    <x v="1"/>
    <n v="18"/>
    <s v="High"/>
    <s v="Medical"/>
    <s v="Excellent"/>
    <s v="Male"/>
    <n v="67"/>
    <s v="High"/>
    <s v="High"/>
    <s v="Manufacturing Director"/>
    <s v="Excellent"/>
    <s v="Single"/>
    <n v="10512"/>
    <n v="20002"/>
    <s v="High"/>
    <n v="6"/>
    <x v="1"/>
    <n v="12"/>
    <s v="High"/>
    <s v="Excellent"/>
    <n v="0"/>
    <n v="25"/>
    <n v="6"/>
    <n v="2"/>
    <n v="9"/>
    <n v="7"/>
    <n v="5"/>
    <n v="4"/>
  </r>
  <r>
    <n v="921"/>
    <n v="34"/>
    <s v="26-35"/>
    <x v="1"/>
    <s v="Travel_Frequently"/>
    <n v="1389"/>
    <x v="1"/>
    <n v="19"/>
    <s v="Medium"/>
    <s v="Medical"/>
    <s v="High"/>
    <s v="Female"/>
    <n v="46"/>
    <s v="High"/>
    <s v="Medium"/>
    <s v="Laboratory Technician"/>
    <s v="Medium"/>
    <s v="Divorced"/>
    <n v="4444"/>
    <n v="22534"/>
    <s v="Low"/>
    <n v="4"/>
    <x v="1"/>
    <n v="13"/>
    <s v="High"/>
    <s v="High"/>
    <n v="2"/>
    <n v="15"/>
    <n v="2"/>
    <n v="4"/>
    <n v="11"/>
    <n v="8"/>
    <n v="5"/>
    <n v="10"/>
  </r>
  <r>
    <n v="922"/>
    <n v="28"/>
    <s v="26-35"/>
    <x v="1"/>
    <s v="Travel_Frequently"/>
    <n v="1389"/>
    <x v="1"/>
    <n v="1"/>
    <s v="High"/>
    <s v="Medical"/>
    <s v="Excellent"/>
    <s v="Male"/>
    <n v="44"/>
    <s v="High"/>
    <s v="Low"/>
    <s v="Laboratory Technician"/>
    <s v="High"/>
    <s v="Single"/>
    <n v="2154"/>
    <n v="6842"/>
    <s v="Low"/>
    <n v="0"/>
    <x v="0"/>
    <n v="11"/>
    <s v="High"/>
    <s v="High"/>
    <n v="0"/>
    <n v="5"/>
    <n v="2"/>
    <n v="2"/>
    <n v="4"/>
    <n v="2"/>
    <n v="0"/>
    <n v="2"/>
  </r>
  <r>
    <n v="923"/>
    <n v="44"/>
    <s v="36-45"/>
    <x v="1"/>
    <s v="Travel_Rarely"/>
    <n v="1389"/>
    <x v="1"/>
    <n v="4"/>
    <s v="Good"/>
    <s v="Life Sciences"/>
    <s v="High"/>
    <s v="Male"/>
    <n v="92"/>
    <s v="Excellent"/>
    <e v="#N/A"/>
    <s v="Manager"/>
    <s v="Low"/>
    <s v="Divorced"/>
    <n v="19190"/>
    <n v="17477"/>
    <s v="High"/>
    <n v="1"/>
    <x v="1"/>
    <n v="14"/>
    <s v="High"/>
    <s v="Excellent"/>
    <n v="2"/>
    <n v="26"/>
    <n v="4"/>
    <n v="2"/>
    <n v="25"/>
    <n v="9"/>
    <n v="14"/>
    <n v="13"/>
  </r>
  <r>
    <n v="924"/>
    <n v="34"/>
    <s v="26-35"/>
    <x v="1"/>
    <s v="Travel_Frequently"/>
    <n v="1389"/>
    <x v="2"/>
    <n v="11"/>
    <s v="Medium"/>
    <s v="Life Sciences"/>
    <s v="High"/>
    <s v="Male"/>
    <n v="56"/>
    <s v="Medium"/>
    <s v="Medium"/>
    <s v="Human Resources"/>
    <s v="Medium"/>
    <s v="Married"/>
    <n v="4490"/>
    <n v="21833"/>
    <s v="Low"/>
    <n v="4"/>
    <x v="1"/>
    <n v="11"/>
    <s v="High"/>
    <s v="Excellent"/>
    <n v="2"/>
    <n v="14"/>
    <n v="5"/>
    <n v="4"/>
    <n v="10"/>
    <n v="9"/>
    <n v="1"/>
    <n v="8"/>
  </r>
  <r>
    <n v="925"/>
    <n v="35"/>
    <s v="26-35"/>
    <x v="1"/>
    <s v="Travel_Rarely"/>
    <n v="1389"/>
    <x v="1"/>
    <n v="6"/>
    <s v="Low"/>
    <s v="Life Sciences"/>
    <s v="High"/>
    <s v="Male"/>
    <n v="66"/>
    <s v="High"/>
    <s v="Low"/>
    <s v="Research Scientist"/>
    <s v="High"/>
    <s v="Married"/>
    <n v="3506"/>
    <n v="6020"/>
    <s v="Low"/>
    <n v="0"/>
    <x v="0"/>
    <n v="14"/>
    <s v="High"/>
    <s v="Excellent"/>
    <n v="0"/>
    <n v="4"/>
    <n v="3"/>
    <n v="3"/>
    <n v="3"/>
    <n v="2"/>
    <n v="2"/>
    <n v="2"/>
  </r>
  <r>
    <n v="926"/>
    <n v="42"/>
    <s v="36-45"/>
    <x v="1"/>
    <s v="Travel_Rarely"/>
    <n v="1389"/>
    <x v="1"/>
    <n v="7"/>
    <s v="High"/>
    <s v="Medical"/>
    <s v="Medium"/>
    <s v="Female"/>
    <n v="78"/>
    <s v="Excellent"/>
    <s v="Medium"/>
    <s v="Research Scientist"/>
    <s v="Medium"/>
    <s v="Married"/>
    <n v="2372"/>
    <n v="5628"/>
    <s v="Low"/>
    <n v="6"/>
    <x v="0"/>
    <n v="16"/>
    <s v="High"/>
    <s v="Excellent"/>
    <n v="0"/>
    <n v="18"/>
    <n v="2"/>
    <n v="3"/>
    <n v="1"/>
    <n v="0"/>
    <n v="0"/>
    <n v="0"/>
  </r>
  <r>
    <n v="927"/>
    <n v="43"/>
    <s v="36-45"/>
    <x v="1"/>
    <s v="Travel_Rarely"/>
    <n v="1389"/>
    <x v="0"/>
    <n v="4"/>
    <s v="High"/>
    <s v="Marketing"/>
    <s v="Excellent"/>
    <s v="Female"/>
    <n v="56"/>
    <s v="Medium"/>
    <s v="High"/>
    <s v="Sales Executive"/>
    <s v="Excellent"/>
    <s v="Single"/>
    <n v="10231"/>
    <n v="20364"/>
    <s v="High"/>
    <n v="3"/>
    <x v="1"/>
    <n v="14"/>
    <s v="High"/>
    <s v="Excellent"/>
    <n v="0"/>
    <n v="23"/>
    <n v="3"/>
    <n v="4"/>
    <n v="21"/>
    <n v="7"/>
    <n v="15"/>
    <n v="17"/>
  </r>
  <r>
    <n v="928"/>
    <n v="36"/>
    <s v="36-45"/>
    <x v="1"/>
    <s v="Travel_Rarely"/>
    <n v="1389"/>
    <x v="1"/>
    <n v="2"/>
    <s v="High"/>
    <s v="Life Sciences"/>
    <s v="High"/>
    <s v="Female"/>
    <n v="53"/>
    <s v="High"/>
    <s v="Medium"/>
    <s v="Manufacturing Director"/>
    <s v="Medium"/>
    <s v="Single"/>
    <n v="5410"/>
    <n v="2323"/>
    <s v="Medium"/>
    <n v="9"/>
    <x v="0"/>
    <n v="11"/>
    <s v="High"/>
    <s v="Excellent"/>
    <n v="0"/>
    <n v="18"/>
    <n v="2"/>
    <n v="3"/>
    <n v="16"/>
    <n v="14"/>
    <n v="5"/>
    <n v="12"/>
  </r>
  <r>
    <n v="929"/>
    <n v="44"/>
    <s v="36-45"/>
    <x v="0"/>
    <s v="Travel_Rarely"/>
    <n v="1389"/>
    <x v="1"/>
    <n v="15"/>
    <s v="Medium"/>
    <s v="Medical"/>
    <s v="Low"/>
    <s v="Female"/>
    <n v="73"/>
    <s v="High"/>
    <s v="High"/>
    <s v="Healthcare Representative"/>
    <s v="Excellent"/>
    <s v="Married"/>
    <n v="7978"/>
    <n v="14075"/>
    <s v="Medium"/>
    <n v="1"/>
    <x v="1"/>
    <n v="11"/>
    <s v="High"/>
    <s v="Excellent"/>
    <n v="1"/>
    <n v="10"/>
    <n v="2"/>
    <n v="3"/>
    <n v="10"/>
    <n v="7"/>
    <n v="0"/>
    <n v="5"/>
  </r>
  <r>
    <n v="930"/>
    <n v="28"/>
    <s v="26-35"/>
    <x v="1"/>
    <s v="Travel_Frequently"/>
    <n v="1389"/>
    <x v="1"/>
    <n v="2"/>
    <s v="Medium"/>
    <s v="Life Sciences"/>
    <s v="Excellent"/>
    <s v="Male"/>
    <n v="52"/>
    <s v="Medium"/>
    <s v="Low"/>
    <s v="Laboratory Technician"/>
    <s v="Excellent"/>
    <s v="Married"/>
    <n v="3867"/>
    <n v="14222"/>
    <s v="Low"/>
    <n v="1"/>
    <x v="0"/>
    <n v="12"/>
    <s v="High"/>
    <s v="Medium"/>
    <n v="1"/>
    <n v="2"/>
    <n v="2"/>
    <n v="3"/>
    <n v="2"/>
    <n v="2"/>
    <n v="2"/>
    <n v="2"/>
  </r>
  <r>
    <n v="931"/>
    <n v="51"/>
    <s v="46-55"/>
    <x v="1"/>
    <s v="Travel_Frequently"/>
    <n v="1389"/>
    <x v="1"/>
    <n v="6"/>
    <s v="Good"/>
    <s v="Medical"/>
    <s v="Medium"/>
    <s v="Female"/>
    <n v="40"/>
    <s v="Medium"/>
    <s v="Low"/>
    <s v="Laboratory Technician"/>
    <s v="High"/>
    <s v="Single"/>
    <n v="2838"/>
    <n v="4257"/>
    <s v="Low"/>
    <n v="0"/>
    <x v="1"/>
    <n v="14"/>
    <s v="High"/>
    <s v="Medium"/>
    <n v="0"/>
    <n v="8"/>
    <n v="6"/>
    <n v="2"/>
    <n v="7"/>
    <n v="0"/>
    <n v="7"/>
    <n v="7"/>
  </r>
  <r>
    <n v="932"/>
    <n v="30"/>
    <s v="26-35"/>
    <x v="1"/>
    <s v="Non-Travel"/>
    <n v="1389"/>
    <x v="1"/>
    <n v="9"/>
    <s v="Good"/>
    <s v="Medical"/>
    <s v="High"/>
    <s v="Female"/>
    <n v="72"/>
    <s v="High"/>
    <s v="Medium"/>
    <s v="Manufacturing Director"/>
    <s v="High"/>
    <s v="Single"/>
    <n v="4695"/>
    <n v="12858"/>
    <s v="Low"/>
    <n v="7"/>
    <x v="0"/>
    <n v="18"/>
    <s v="High"/>
    <s v="High"/>
    <n v="0"/>
    <n v="10"/>
    <n v="3"/>
    <n v="3"/>
    <n v="8"/>
    <n v="4"/>
    <n v="1"/>
    <n v="7"/>
  </r>
  <r>
    <n v="933"/>
    <n v="29"/>
    <s v="26-35"/>
    <x v="0"/>
    <s v="Travel_Rarely"/>
    <n v="1389"/>
    <x v="1"/>
    <n v="7"/>
    <s v="Medium"/>
    <s v="Technical Degree"/>
    <s v="Medium"/>
    <s v="Female"/>
    <n v="39"/>
    <s v="High"/>
    <s v="Low"/>
    <s v="Laboratory Technician"/>
    <s v="High"/>
    <s v="Divorced"/>
    <n v="3339"/>
    <n v="17285"/>
    <s v="Low"/>
    <n v="3"/>
    <x v="0"/>
    <n v="13"/>
    <s v="High"/>
    <s v="Low"/>
    <n v="2"/>
    <n v="10"/>
    <n v="2"/>
    <n v="3"/>
    <n v="7"/>
    <n v="7"/>
    <n v="7"/>
    <n v="7"/>
  </r>
  <r>
    <n v="934"/>
    <n v="28"/>
    <s v="26-35"/>
    <x v="1"/>
    <s v="Travel_Rarely"/>
    <n v="1389"/>
    <x v="1"/>
    <n v="1"/>
    <s v="Medium"/>
    <s v="Technical Degree"/>
    <s v="Excellent"/>
    <s v="Male"/>
    <n v="84"/>
    <s v="High"/>
    <s v="Low"/>
    <s v="Research Scientist"/>
    <s v="Low"/>
    <s v="Single"/>
    <n v="2080"/>
    <n v="4732"/>
    <s v="Low"/>
    <n v="2"/>
    <x v="1"/>
    <n v="11"/>
    <s v="High"/>
    <s v="Medium"/>
    <n v="0"/>
    <n v="5"/>
    <n v="2"/>
    <n v="2"/>
    <n v="3"/>
    <n v="2"/>
    <n v="1"/>
    <n v="2"/>
  </r>
  <r>
    <n v="935"/>
    <n v="25"/>
    <s v="18-25"/>
    <x v="1"/>
    <s v="Travel_Rarely"/>
    <n v="1389"/>
    <x v="1"/>
    <n v="1"/>
    <s v="Medium"/>
    <s v="Medical"/>
    <s v="Excellent"/>
    <s v="Female"/>
    <n v="40"/>
    <s v="High"/>
    <s v="Low"/>
    <s v="Research Scientist"/>
    <s v="Medium"/>
    <s v="Single"/>
    <n v="2096"/>
    <n v="18830"/>
    <s v="Low"/>
    <n v="1"/>
    <x v="1"/>
    <n v="18"/>
    <s v="High"/>
    <s v="Excellent"/>
    <n v="0"/>
    <n v="2"/>
    <n v="3"/>
    <n v="2"/>
    <n v="2"/>
    <n v="2"/>
    <n v="2"/>
    <n v="1"/>
  </r>
  <r>
    <n v="936"/>
    <n v="32"/>
    <s v="26-35"/>
    <x v="1"/>
    <s v="Travel_Rarely"/>
    <n v="1389"/>
    <x v="0"/>
    <n v="8"/>
    <s v="Medium"/>
    <s v="Medical"/>
    <s v="High"/>
    <s v="Male"/>
    <n v="56"/>
    <s v="Excellent"/>
    <s v="Medium"/>
    <s v="Sales Executive"/>
    <s v="Excellent"/>
    <s v="Married"/>
    <n v="6209"/>
    <n v="11693"/>
    <s v="Medium"/>
    <n v="1"/>
    <x v="1"/>
    <n v="15"/>
    <s v="High"/>
    <s v="High"/>
    <n v="2"/>
    <n v="10"/>
    <n v="4"/>
    <n v="4"/>
    <n v="10"/>
    <n v="7"/>
    <n v="0"/>
    <n v="8"/>
  </r>
  <r>
    <n v="937"/>
    <n v="45"/>
    <s v="36-45"/>
    <x v="1"/>
    <s v="Travel_Frequently"/>
    <n v="1389"/>
    <x v="1"/>
    <n v="25"/>
    <s v="Medium"/>
    <s v="Medical"/>
    <s v="Medium"/>
    <s v="Female"/>
    <n v="83"/>
    <s v="High"/>
    <e v="#N/A"/>
    <s v="Manager"/>
    <s v="Medium"/>
    <s v="Single"/>
    <n v="18061"/>
    <n v="13035"/>
    <s v="High"/>
    <n v="3"/>
    <x v="1"/>
    <n v="22"/>
    <s v="Excellent"/>
    <s v="High"/>
    <n v="0"/>
    <n v="22"/>
    <n v="4"/>
    <n v="3"/>
    <n v="0"/>
    <n v="0"/>
    <n v="0"/>
    <n v="0"/>
  </r>
  <r>
    <n v="938"/>
    <n v="39"/>
    <s v="36-45"/>
    <x v="1"/>
    <s v="Travel_Rarely"/>
    <n v="1389"/>
    <x v="1"/>
    <n v="13"/>
    <s v="High"/>
    <s v="Medical"/>
    <s v="High"/>
    <s v="Female"/>
    <n v="94"/>
    <s v="Medium"/>
    <s v="Excellent"/>
    <s v="Manager"/>
    <s v="Medium"/>
    <s v="Divorced"/>
    <n v="17123"/>
    <n v="17334"/>
    <s v="High"/>
    <n v="6"/>
    <x v="0"/>
    <n v="13"/>
    <s v="High"/>
    <s v="Excellent"/>
    <n v="2"/>
    <n v="21"/>
    <n v="4"/>
    <n v="3"/>
    <n v="19"/>
    <n v="9"/>
    <n v="15"/>
    <n v="2"/>
  </r>
  <r>
    <n v="939"/>
    <n v="58"/>
    <s v="55+"/>
    <x v="1"/>
    <s v="Travel_Rarely"/>
    <n v="1389"/>
    <x v="1"/>
    <n v="23"/>
    <s v="High"/>
    <s v="Life Sciences"/>
    <s v="Low"/>
    <s v="Male"/>
    <n v="88"/>
    <s v="High"/>
    <s v="Low"/>
    <s v="Research Scientist"/>
    <s v="High"/>
    <s v="Divorced"/>
    <n v="2372"/>
    <n v="26076"/>
    <s v="Low"/>
    <n v="1"/>
    <x v="1"/>
    <n v="12"/>
    <s v="High"/>
    <s v="Excellent"/>
    <n v="2"/>
    <n v="2"/>
    <n v="3"/>
    <n v="3"/>
    <n v="2"/>
    <n v="2"/>
    <n v="2"/>
    <n v="2"/>
  </r>
  <r>
    <n v="940"/>
    <n v="32"/>
    <s v="26-35"/>
    <x v="0"/>
    <s v="Travel_Rarely"/>
    <n v="1389"/>
    <x v="1"/>
    <n v="7"/>
    <s v="Good"/>
    <s v="Life Sciences"/>
    <s v="Excellent"/>
    <s v="Male"/>
    <n v="79"/>
    <s v="High"/>
    <s v="Medium"/>
    <s v="Laboratory Technician"/>
    <s v="High"/>
    <s v="Married"/>
    <n v="4883"/>
    <n v="22845"/>
    <s v="Low"/>
    <n v="1"/>
    <x v="1"/>
    <n v="18"/>
    <s v="High"/>
    <s v="Low"/>
    <n v="1"/>
    <n v="10"/>
    <n v="3"/>
    <n v="3"/>
    <n v="10"/>
    <n v="4"/>
    <n v="1"/>
    <n v="1"/>
  </r>
  <r>
    <n v="941"/>
    <n v="39"/>
    <s v="36-45"/>
    <x v="0"/>
    <s v="Travel_Rarely"/>
    <n v="1389"/>
    <x v="1"/>
    <n v="23"/>
    <s v="Medium"/>
    <s v="Medical"/>
    <s v="High"/>
    <s v="Male"/>
    <n v="93"/>
    <s v="High"/>
    <s v="Low"/>
    <s v="Research Scientist"/>
    <s v="Low"/>
    <s v="Single"/>
    <n v="3904"/>
    <n v="22154"/>
    <s v="Low"/>
    <n v="0"/>
    <x v="1"/>
    <n v="13"/>
    <s v="High"/>
    <s v="Low"/>
    <n v="0"/>
    <n v="6"/>
    <n v="2"/>
    <n v="3"/>
    <n v="5"/>
    <n v="2"/>
    <n v="0"/>
    <n v="3"/>
  </r>
  <r>
    <n v="942"/>
    <n v="30"/>
    <s v="26-35"/>
    <x v="1"/>
    <s v="Travel_Rarely"/>
    <n v="1389"/>
    <x v="1"/>
    <n v="6"/>
    <s v="Medium"/>
    <s v="Technical Degree"/>
    <s v="Low"/>
    <s v="Female"/>
    <n v="48"/>
    <s v="Medium"/>
    <s v="Medium"/>
    <s v="Laboratory Technician"/>
    <s v="Excellent"/>
    <s v="Married"/>
    <n v="4627"/>
    <n v="23631"/>
    <s v="Low"/>
    <n v="0"/>
    <x v="1"/>
    <n v="12"/>
    <s v="High"/>
    <s v="Low"/>
    <n v="1"/>
    <n v="10"/>
    <n v="6"/>
    <n v="3"/>
    <n v="9"/>
    <n v="2"/>
    <n v="6"/>
    <n v="7"/>
  </r>
  <r>
    <n v="943"/>
    <n v="36"/>
    <s v="36-45"/>
    <x v="1"/>
    <s v="Travel_Rarely"/>
    <n v="1389"/>
    <x v="1"/>
    <n v="10"/>
    <s v="High"/>
    <s v="Technical Degree"/>
    <s v="Excellent"/>
    <s v="Female"/>
    <n v="63"/>
    <s v="High"/>
    <s v="High"/>
    <s v="Healthcare Representative"/>
    <s v="High"/>
    <s v="Married"/>
    <n v="7094"/>
    <n v="5747"/>
    <s v="Medium"/>
    <n v="3"/>
    <x v="1"/>
    <n v="12"/>
    <s v="High"/>
    <s v="Low"/>
    <n v="0"/>
    <n v="10"/>
    <n v="0"/>
    <n v="3"/>
    <n v="7"/>
    <n v="7"/>
    <n v="1"/>
    <n v="7"/>
  </r>
  <r>
    <n v="944"/>
    <n v="46"/>
    <s v="46-55"/>
    <x v="1"/>
    <s v="Travel_Rarely"/>
    <n v="1389"/>
    <x v="2"/>
    <n v="1"/>
    <s v="Good"/>
    <s v="Life Sciences"/>
    <s v="Excellent"/>
    <s v="Female"/>
    <n v="44"/>
    <s v="High"/>
    <s v="Low"/>
    <s v="Human Resources"/>
    <s v="Low"/>
    <s v="Single"/>
    <n v="3423"/>
    <n v="22957"/>
    <s v="Low"/>
    <n v="6"/>
    <x v="1"/>
    <n v="12"/>
    <s v="High"/>
    <s v="High"/>
    <n v="0"/>
    <n v="10"/>
    <n v="3"/>
    <n v="4"/>
    <n v="7"/>
    <n v="6"/>
    <n v="5"/>
    <n v="7"/>
  </r>
  <r>
    <n v="945"/>
    <n v="28"/>
    <s v="26-35"/>
    <x v="1"/>
    <s v="Non-Travel"/>
    <n v="1389"/>
    <x v="1"/>
    <n v="1"/>
    <s v="Medium"/>
    <s v="Life Sciences"/>
    <s v="High"/>
    <s v="Female"/>
    <n v="55"/>
    <s v="Low"/>
    <s v="Medium"/>
    <s v="Laboratory Technician"/>
    <s v="Excellent"/>
    <s v="Married"/>
    <n v="6674"/>
    <n v="16392"/>
    <s v="Medium"/>
    <n v="0"/>
    <x v="1"/>
    <n v="11"/>
    <s v="High"/>
    <s v="Low"/>
    <n v="3"/>
    <n v="10"/>
    <n v="6"/>
    <n v="3"/>
    <n v="9"/>
    <n v="8"/>
    <n v="7"/>
    <n v="5"/>
  </r>
  <r>
    <n v="946"/>
    <n v="50"/>
    <s v="46-55"/>
    <x v="1"/>
    <s v="Travel_Rarely"/>
    <n v="1389"/>
    <x v="1"/>
    <n v="28"/>
    <s v="Medium"/>
    <s v="Life Sciences"/>
    <s v="Excellent"/>
    <s v="Female"/>
    <n v="43"/>
    <s v="High"/>
    <s v="Excellent"/>
    <s v="Research Director"/>
    <s v="Low"/>
    <s v="Married"/>
    <n v="16880"/>
    <n v="22422"/>
    <s v="High"/>
    <n v="4"/>
    <x v="0"/>
    <n v="11"/>
    <s v="High"/>
    <s v="Medium"/>
    <n v="0"/>
    <n v="25"/>
    <n v="2"/>
    <n v="3"/>
    <n v="3"/>
    <n v="2"/>
    <n v="1"/>
    <n v="2"/>
  </r>
  <r>
    <n v="947"/>
    <n v="40"/>
    <s v="36-45"/>
    <x v="0"/>
    <s v="Travel_Rarely"/>
    <n v="1389"/>
    <x v="0"/>
    <n v="25"/>
    <s v="High"/>
    <s v="Marketing"/>
    <s v="Excellent"/>
    <s v="Male"/>
    <n v="57"/>
    <s v="Medium"/>
    <s v="High"/>
    <s v="Sales Executive"/>
    <s v="Medium"/>
    <s v="Single"/>
    <n v="9094"/>
    <n v="17235"/>
    <s v="Medium"/>
    <n v="2"/>
    <x v="0"/>
    <n v="12"/>
    <s v="High"/>
    <s v="High"/>
    <n v="0"/>
    <n v="9"/>
    <n v="2"/>
    <n v="3"/>
    <n v="5"/>
    <n v="4"/>
    <n v="1"/>
    <n v="0"/>
  </r>
  <r>
    <n v="948"/>
    <n v="52"/>
    <s v="46-55"/>
    <x v="0"/>
    <s v="Travel_Rarely"/>
    <n v="1389"/>
    <x v="0"/>
    <n v="5"/>
    <s v="Medium"/>
    <s v="Life Sciences"/>
    <s v="Medium"/>
    <s v="Male"/>
    <n v="64"/>
    <s v="High"/>
    <s v="High"/>
    <s v="Sales Executive"/>
    <s v="Medium"/>
    <s v="Single"/>
    <n v="8446"/>
    <n v="21534"/>
    <s v="Medium"/>
    <n v="9"/>
    <x v="0"/>
    <n v="19"/>
    <s v="High"/>
    <s v="High"/>
    <n v="0"/>
    <n v="10"/>
    <n v="2"/>
    <n v="2"/>
    <n v="8"/>
    <n v="7"/>
    <n v="7"/>
    <n v="7"/>
  </r>
  <r>
    <n v="949"/>
    <n v="30"/>
    <s v="26-35"/>
    <x v="1"/>
    <s v="Travel_Rarely"/>
    <n v="1389"/>
    <x v="1"/>
    <n v="17"/>
    <s v="High"/>
    <s v="Medical"/>
    <s v="Medium"/>
    <s v="Female"/>
    <n v="95"/>
    <s v="High"/>
    <s v="High"/>
    <s v="Manager"/>
    <s v="Low"/>
    <s v="Married"/>
    <n v="11916"/>
    <n v="25927"/>
    <s v="High"/>
    <n v="1"/>
    <x v="0"/>
    <n v="23"/>
    <s v="Excellent"/>
    <s v="Excellent"/>
    <n v="2"/>
    <n v="9"/>
    <n v="2"/>
    <n v="3"/>
    <n v="9"/>
    <n v="1"/>
    <n v="0"/>
    <n v="8"/>
  </r>
  <r>
    <n v="950"/>
    <n v="39"/>
    <s v="36-45"/>
    <x v="1"/>
    <s v="Travel_Rarely"/>
    <n v="1389"/>
    <x v="1"/>
    <n v="18"/>
    <s v="Good"/>
    <s v="Life Sciences"/>
    <s v="Low"/>
    <s v="Male"/>
    <n v="32"/>
    <s v="High"/>
    <s v="Medium"/>
    <s v="Manufacturing Director"/>
    <s v="High"/>
    <s v="Single"/>
    <n v="4534"/>
    <n v="13352"/>
    <s v="Low"/>
    <n v="0"/>
    <x v="1"/>
    <n v="11"/>
    <s v="High"/>
    <s v="Low"/>
    <n v="0"/>
    <n v="9"/>
    <n v="6"/>
    <n v="3"/>
    <n v="8"/>
    <n v="7"/>
    <n v="1"/>
    <n v="7"/>
  </r>
  <r>
    <n v="951"/>
    <n v="31"/>
    <s v="26-35"/>
    <x v="1"/>
    <s v="Non-Travel"/>
    <n v="1389"/>
    <x v="0"/>
    <n v="2"/>
    <s v="High"/>
    <s v="Life Sciences"/>
    <s v="Excellent"/>
    <s v="Female"/>
    <n v="57"/>
    <s v="High"/>
    <s v="High"/>
    <s v="Sales Executive"/>
    <s v="High"/>
    <s v="Divorced"/>
    <n v="9852"/>
    <n v="8935"/>
    <s v="Medium"/>
    <n v="1"/>
    <x v="0"/>
    <n v="19"/>
    <s v="High"/>
    <s v="Low"/>
    <n v="1"/>
    <n v="10"/>
    <n v="5"/>
    <n v="2"/>
    <n v="10"/>
    <n v="8"/>
    <n v="9"/>
    <n v="6"/>
  </r>
  <r>
    <n v="952"/>
    <n v="41"/>
    <s v="36-45"/>
    <x v="1"/>
    <s v="Non-Travel"/>
    <n v="1389"/>
    <x v="0"/>
    <n v="10"/>
    <s v="Good"/>
    <s v="Medical"/>
    <s v="High"/>
    <s v="Male"/>
    <n v="40"/>
    <s v="Low"/>
    <s v="Medium"/>
    <s v="Sales Executive"/>
    <s v="Medium"/>
    <s v="Single"/>
    <n v="6151"/>
    <n v="22074"/>
    <s v="Medium"/>
    <n v="1"/>
    <x v="1"/>
    <n v="13"/>
    <s v="High"/>
    <s v="Low"/>
    <n v="0"/>
    <n v="19"/>
    <n v="4"/>
    <n v="3"/>
    <n v="19"/>
    <n v="2"/>
    <n v="11"/>
    <n v="9"/>
  </r>
  <r>
    <n v="953"/>
    <n v="31"/>
    <s v="26-35"/>
    <x v="0"/>
    <s v="Travel_Frequently"/>
    <n v="1389"/>
    <x v="0"/>
    <n v="1"/>
    <s v="Medium"/>
    <s v="Life Sciences"/>
    <s v="Excellent"/>
    <s v="Female"/>
    <n v="54"/>
    <s v="High"/>
    <s v="Low"/>
    <s v="Sales Representative"/>
    <s v="Medium"/>
    <s v="Single"/>
    <n v="2302"/>
    <n v="8319"/>
    <s v="Low"/>
    <n v="1"/>
    <x v="0"/>
    <n v="11"/>
    <s v="High"/>
    <s v="Low"/>
    <n v="0"/>
    <n v="3"/>
    <n v="2"/>
    <n v="4"/>
    <n v="3"/>
    <n v="2"/>
    <n v="2"/>
    <n v="2"/>
  </r>
  <r>
    <n v="954"/>
    <n v="44"/>
    <s v="36-45"/>
    <x v="0"/>
    <s v="Travel_Rarely"/>
    <n v="1389"/>
    <x v="1"/>
    <n v="3"/>
    <s v="Medium"/>
    <s v="Life Sciences"/>
    <s v="Low"/>
    <s v="Male"/>
    <n v="89"/>
    <s v="High"/>
    <s v="Low"/>
    <s v="Laboratory Technician"/>
    <s v="Low"/>
    <s v="Married"/>
    <n v="2362"/>
    <n v="14669"/>
    <s v="Low"/>
    <n v="4"/>
    <x v="1"/>
    <n v="12"/>
    <s v="High"/>
    <s v="High"/>
    <n v="0"/>
    <n v="10"/>
    <n v="4"/>
    <n v="4"/>
    <n v="3"/>
    <n v="2"/>
    <n v="1"/>
    <n v="2"/>
  </r>
  <r>
    <n v="955"/>
    <n v="42"/>
    <s v="36-45"/>
    <x v="1"/>
    <s v="Non-Travel"/>
    <n v="1389"/>
    <x v="1"/>
    <n v="2"/>
    <s v="Low"/>
    <s v="Life Sciences"/>
    <s v="High"/>
    <s v="Male"/>
    <n v="37"/>
    <s v="High"/>
    <s v="Excellent"/>
    <s v="Manager"/>
    <s v="High"/>
    <s v="Married"/>
    <n v="17861"/>
    <n v="26582"/>
    <s v="High"/>
    <n v="0"/>
    <x v="0"/>
    <n v="13"/>
    <s v="High"/>
    <s v="Excellent"/>
    <n v="0"/>
    <n v="21"/>
    <n v="3"/>
    <n v="2"/>
    <n v="20"/>
    <n v="8"/>
    <n v="2"/>
    <n v="10"/>
  </r>
  <r>
    <n v="956"/>
    <n v="55"/>
    <s v="46-55"/>
    <x v="1"/>
    <s v="Travel_Rarely"/>
    <n v="1389"/>
    <x v="1"/>
    <n v="2"/>
    <s v="Good"/>
    <s v="Medical"/>
    <s v="Excellent"/>
    <s v="Female"/>
    <n v="58"/>
    <s v="Low"/>
    <e v="#N/A"/>
    <s v="Manager"/>
    <s v="High"/>
    <s v="Married"/>
    <n v="19187"/>
    <n v="6992"/>
    <s v="High"/>
    <n v="4"/>
    <x v="1"/>
    <n v="14"/>
    <s v="High"/>
    <s v="Excellent"/>
    <n v="1"/>
    <n v="23"/>
    <n v="5"/>
    <n v="3"/>
    <n v="19"/>
    <n v="9"/>
    <n v="9"/>
    <n v="11"/>
  </r>
  <r>
    <n v="957"/>
    <n v="56"/>
    <s v="55+"/>
    <x v="1"/>
    <s v="Travel_Rarely"/>
    <n v="1389"/>
    <x v="2"/>
    <n v="8"/>
    <s v="High"/>
    <s v="Life Sciences"/>
    <s v="Excellent"/>
    <s v="Male"/>
    <n v="99"/>
    <s v="High"/>
    <e v="#N/A"/>
    <s v="Manager"/>
    <s v="Medium"/>
    <s v="Single"/>
    <n v="19717"/>
    <n v="4022"/>
    <s v="High"/>
    <n v="6"/>
    <x v="1"/>
    <n v="14"/>
    <s v="High"/>
    <s v="Low"/>
    <n v="0"/>
    <n v="36"/>
    <n v="4"/>
    <n v="3"/>
    <n v="7"/>
    <n v="3"/>
    <n v="7"/>
    <n v="7"/>
  </r>
  <r>
    <n v="958"/>
    <n v="40"/>
    <s v="36-45"/>
    <x v="1"/>
    <s v="Non-Travel"/>
    <n v="1389"/>
    <x v="1"/>
    <n v="16"/>
    <s v="Good"/>
    <s v="Life Sciences"/>
    <s v="High"/>
    <s v="Male"/>
    <n v="74"/>
    <s v="High"/>
    <s v="Low"/>
    <s v="Research Scientist"/>
    <s v="High"/>
    <s v="Divorced"/>
    <n v="3544"/>
    <n v="8532"/>
    <s v="Low"/>
    <n v="9"/>
    <x v="1"/>
    <n v="16"/>
    <s v="High"/>
    <s v="Medium"/>
    <n v="1"/>
    <n v="6"/>
    <n v="0"/>
    <n v="3"/>
    <n v="4"/>
    <n v="2"/>
    <n v="0"/>
    <n v="0"/>
  </r>
  <r>
    <n v="959"/>
    <n v="34"/>
    <s v="26-35"/>
    <x v="1"/>
    <s v="Travel_Rarely"/>
    <n v="1389"/>
    <x v="1"/>
    <n v="9"/>
    <s v="Medium"/>
    <s v="Life Sciences"/>
    <s v="Excellent"/>
    <s v="Male"/>
    <n v="86"/>
    <s v="High"/>
    <s v="High"/>
    <s v="Healthcare Representative"/>
    <s v="Excellent"/>
    <s v="Divorced"/>
    <n v="8500"/>
    <n v="5494"/>
    <s v="Medium"/>
    <n v="0"/>
    <x v="1"/>
    <n v="11"/>
    <s v="High"/>
    <s v="Excellent"/>
    <n v="1"/>
    <n v="10"/>
    <n v="0"/>
    <n v="2"/>
    <n v="9"/>
    <n v="7"/>
    <n v="1"/>
    <n v="6"/>
  </r>
  <r>
    <n v="960"/>
    <n v="40"/>
    <s v="36-45"/>
    <x v="1"/>
    <s v="Travel_Rarely"/>
    <n v="1389"/>
    <x v="1"/>
    <n v="2"/>
    <s v="Medium"/>
    <s v="Life Sciences"/>
    <s v="High"/>
    <s v="Male"/>
    <n v="98"/>
    <s v="High"/>
    <s v="Medium"/>
    <s v="Research Scientist"/>
    <s v="Excellent"/>
    <s v="Single"/>
    <n v="4661"/>
    <n v="22455"/>
    <s v="Low"/>
    <n v="1"/>
    <x v="1"/>
    <n v="13"/>
    <s v="High"/>
    <s v="High"/>
    <n v="0"/>
    <n v="9"/>
    <n v="4"/>
    <n v="3"/>
    <n v="9"/>
    <n v="8"/>
    <n v="8"/>
    <n v="8"/>
  </r>
  <r>
    <n v="961"/>
    <n v="41"/>
    <s v="36-45"/>
    <x v="1"/>
    <s v="Travel_Frequently"/>
    <n v="1389"/>
    <x v="0"/>
    <n v="1"/>
    <s v="Medium"/>
    <s v="Marketing"/>
    <s v="High"/>
    <s v="Female"/>
    <n v="66"/>
    <s v="High"/>
    <s v="Medium"/>
    <s v="Sales Executive"/>
    <s v="Low"/>
    <s v="Divorced"/>
    <n v="4103"/>
    <n v="4297"/>
    <s v="Low"/>
    <n v="0"/>
    <x v="1"/>
    <n v="17"/>
    <s v="High"/>
    <s v="Excellent"/>
    <n v="1"/>
    <n v="10"/>
    <n v="2"/>
    <n v="3"/>
    <n v="9"/>
    <n v="3"/>
    <n v="1"/>
    <n v="7"/>
  </r>
  <r>
    <n v="962"/>
    <n v="35"/>
    <s v="26-35"/>
    <x v="1"/>
    <s v="Travel_Frequently"/>
    <n v="1389"/>
    <x v="1"/>
    <n v="4"/>
    <s v="High"/>
    <s v="Life Sciences"/>
    <s v="High"/>
    <s v="Male"/>
    <n v="87"/>
    <s v="High"/>
    <s v="Medium"/>
    <s v="Research Scientist"/>
    <s v="High"/>
    <s v="Single"/>
    <n v="4249"/>
    <n v="2690"/>
    <s v="Low"/>
    <n v="1"/>
    <x v="0"/>
    <n v="11"/>
    <s v="High"/>
    <s v="Medium"/>
    <n v="0"/>
    <n v="9"/>
    <n v="3"/>
    <n v="3"/>
    <n v="9"/>
    <n v="6"/>
    <n v="1"/>
    <n v="1"/>
  </r>
  <r>
    <n v="963"/>
    <n v="51"/>
    <s v="46-55"/>
    <x v="1"/>
    <s v="Travel_Rarely"/>
    <n v="1389"/>
    <x v="2"/>
    <n v="5"/>
    <s v="Medium"/>
    <s v="Life Sciences"/>
    <s v="High"/>
    <s v="Male"/>
    <n v="84"/>
    <s v="High"/>
    <s v="Excellent"/>
    <s v="Manager"/>
    <s v="Medium"/>
    <s v="Divorced"/>
    <n v="14026"/>
    <n v="17588"/>
    <s v="High"/>
    <n v="1"/>
    <x v="0"/>
    <n v="11"/>
    <s v="High"/>
    <s v="Medium"/>
    <n v="1"/>
    <n v="33"/>
    <n v="2"/>
    <n v="3"/>
    <n v="33"/>
    <n v="9"/>
    <n v="0"/>
    <n v="10"/>
  </r>
  <r>
    <n v="964"/>
    <n v="38"/>
    <s v="36-45"/>
    <x v="1"/>
    <s v="Travel_Rarely"/>
    <n v="1389"/>
    <x v="0"/>
    <n v="2"/>
    <s v="Good"/>
    <s v="Life Sciences"/>
    <s v="Medium"/>
    <s v="Female"/>
    <n v="31"/>
    <s v="High"/>
    <s v="Medium"/>
    <s v="Sales Executive"/>
    <s v="Low"/>
    <s v="Divorced"/>
    <n v="6893"/>
    <n v="19461"/>
    <s v="Medium"/>
    <n v="3"/>
    <x v="1"/>
    <n v="15"/>
    <s v="High"/>
    <s v="Excellent"/>
    <n v="1"/>
    <n v="11"/>
    <n v="3"/>
    <n v="3"/>
    <n v="7"/>
    <n v="7"/>
    <n v="1"/>
    <n v="7"/>
  </r>
  <r>
    <n v="965"/>
    <n v="34"/>
    <s v="26-35"/>
    <x v="1"/>
    <s v="Travel_Rarely"/>
    <n v="1389"/>
    <x v="0"/>
    <n v="15"/>
    <s v="Good"/>
    <s v="Medical"/>
    <s v="High"/>
    <s v="Female"/>
    <n v="66"/>
    <s v="High"/>
    <s v="Medium"/>
    <s v="Sales Executive"/>
    <s v="Low"/>
    <s v="Single"/>
    <n v="6125"/>
    <n v="23553"/>
    <s v="Medium"/>
    <n v="1"/>
    <x v="1"/>
    <n v="12"/>
    <s v="High"/>
    <s v="Excellent"/>
    <n v="0"/>
    <n v="10"/>
    <n v="6"/>
    <n v="4"/>
    <n v="10"/>
    <n v="8"/>
    <n v="9"/>
    <n v="6"/>
  </r>
  <r>
    <n v="966"/>
    <n v="25"/>
    <s v="18-25"/>
    <x v="1"/>
    <s v="Travel_Rarely"/>
    <n v="1389"/>
    <x v="1"/>
    <n v="19"/>
    <s v="Low"/>
    <s v="Medical"/>
    <s v="Excellent"/>
    <s v="Male"/>
    <n v="67"/>
    <s v="High"/>
    <s v="Low"/>
    <s v="Laboratory Technician"/>
    <s v="Excellent"/>
    <s v="Married"/>
    <n v="3669"/>
    <n v="9075"/>
    <s v="Low"/>
    <n v="3"/>
    <x v="1"/>
    <n v="11"/>
    <s v="High"/>
    <s v="High"/>
    <n v="3"/>
    <n v="7"/>
    <n v="6"/>
    <n v="2"/>
    <n v="3"/>
    <n v="2"/>
    <n v="1"/>
    <n v="2"/>
  </r>
  <r>
    <n v="967"/>
    <n v="58"/>
    <s v="55+"/>
    <x v="0"/>
    <s v="Travel_Rarely"/>
    <n v="1389"/>
    <x v="1"/>
    <n v="7"/>
    <s v="High"/>
    <s v="Medical"/>
    <s v="High"/>
    <s v="Female"/>
    <n v="53"/>
    <s v="Medium"/>
    <s v="High"/>
    <s v="Manufacturing Director"/>
    <s v="Low"/>
    <s v="Married"/>
    <n v="10008"/>
    <n v="12023"/>
    <s v="High"/>
    <n v="7"/>
    <x v="0"/>
    <n v="14"/>
    <s v="High"/>
    <s v="Excellent"/>
    <n v="0"/>
    <n v="31"/>
    <n v="0"/>
    <n v="2"/>
    <n v="10"/>
    <n v="9"/>
    <n v="5"/>
    <n v="9"/>
  </r>
  <r>
    <n v="968"/>
    <n v="40"/>
    <s v="36-45"/>
    <x v="1"/>
    <s v="Travel_Rarely"/>
    <n v="1389"/>
    <x v="1"/>
    <n v="1"/>
    <s v="High"/>
    <s v="Life Sciences"/>
    <s v="Medium"/>
    <s v="Male"/>
    <n v="88"/>
    <s v="High"/>
    <s v="Low"/>
    <s v="Laboratory Technician"/>
    <s v="Medium"/>
    <s v="Married"/>
    <n v="2387"/>
    <n v="6762"/>
    <s v="Low"/>
    <n v="3"/>
    <x v="1"/>
    <n v="22"/>
    <s v="Excellent"/>
    <s v="High"/>
    <n v="1"/>
    <n v="7"/>
    <n v="3"/>
    <n v="3"/>
    <n v="4"/>
    <n v="2"/>
    <n v="0"/>
    <n v="3"/>
  </r>
  <r>
    <n v="969"/>
    <n v="36"/>
    <s v="36-45"/>
    <x v="1"/>
    <s v="Travel_Frequently"/>
    <n v="1389"/>
    <x v="0"/>
    <n v="7"/>
    <s v="Medium"/>
    <s v="Marketing"/>
    <s v="Low"/>
    <s v="Female"/>
    <n v="83"/>
    <s v="Excellent"/>
    <s v="Medium"/>
    <s v="Sales Executive"/>
    <s v="Low"/>
    <s v="Married"/>
    <n v="4639"/>
    <n v="2261"/>
    <s v="Low"/>
    <n v="2"/>
    <x v="1"/>
    <n v="16"/>
    <s v="High"/>
    <s v="Excellent"/>
    <n v="1"/>
    <n v="17"/>
    <n v="2"/>
    <n v="2"/>
    <n v="15"/>
    <n v="7"/>
    <n v="6"/>
    <n v="13"/>
  </r>
  <r>
    <n v="970"/>
    <n v="48"/>
    <s v="46-55"/>
    <x v="1"/>
    <s v="Travel_Rarely"/>
    <n v="1389"/>
    <x v="1"/>
    <n v="4"/>
    <s v="Medium"/>
    <s v="Life Sciences"/>
    <s v="Excellent"/>
    <s v="Male"/>
    <n v="54"/>
    <s v="High"/>
    <s v="High"/>
    <s v="Manufacturing Director"/>
    <s v="Excellent"/>
    <s v="Single"/>
    <n v="7898"/>
    <n v="18706"/>
    <s v="Medium"/>
    <n v="1"/>
    <x v="1"/>
    <n v="11"/>
    <s v="High"/>
    <s v="High"/>
    <n v="0"/>
    <n v="11"/>
    <n v="2"/>
    <n v="3"/>
    <n v="10"/>
    <n v="9"/>
    <n v="0"/>
    <n v="8"/>
  </r>
  <r>
    <n v="971"/>
    <n v="27"/>
    <s v="26-35"/>
    <x v="1"/>
    <s v="Travel_Rarely"/>
    <n v="1389"/>
    <x v="0"/>
    <n v="11"/>
    <s v="Medium"/>
    <s v="Medical"/>
    <s v="High"/>
    <s v="Female"/>
    <n v="98"/>
    <s v="Excellent"/>
    <s v="Low"/>
    <s v="Sales Representative"/>
    <s v="Excellent"/>
    <s v="Married"/>
    <n v="2534"/>
    <n v="6527"/>
    <s v="Low"/>
    <n v="8"/>
    <x v="1"/>
    <n v="14"/>
    <s v="High"/>
    <s v="Medium"/>
    <n v="1"/>
    <n v="5"/>
    <n v="4"/>
    <n v="3"/>
    <n v="1"/>
    <n v="0"/>
    <n v="0"/>
    <n v="0"/>
  </r>
  <r>
    <n v="972"/>
    <n v="51"/>
    <s v="46-55"/>
    <x v="1"/>
    <s v="Travel_Rarely"/>
    <n v="1389"/>
    <x v="1"/>
    <n v="11"/>
    <s v="Good"/>
    <s v="Technical Degree"/>
    <s v="Excellent"/>
    <s v="Female"/>
    <n v="82"/>
    <s v="Medium"/>
    <s v="Excellent"/>
    <s v="Manufacturing Director"/>
    <s v="Medium"/>
    <s v="Single"/>
    <n v="13142"/>
    <n v="24439"/>
    <s v="High"/>
    <n v="3"/>
    <x v="1"/>
    <n v="16"/>
    <s v="High"/>
    <s v="Medium"/>
    <n v="0"/>
    <n v="29"/>
    <n v="1"/>
    <n v="2"/>
    <n v="5"/>
    <n v="2"/>
    <n v="0"/>
    <n v="3"/>
  </r>
  <r>
    <n v="973"/>
    <n v="18"/>
    <s v="18-25"/>
    <x v="1"/>
    <s v="Non-Travel"/>
    <n v="1389"/>
    <x v="1"/>
    <n v="1"/>
    <s v="Medium"/>
    <s v="Life Sciences"/>
    <s v="Excellent"/>
    <s v="Female"/>
    <n v="97"/>
    <s v="High"/>
    <s v="Low"/>
    <s v="Laboratory Technician"/>
    <s v="Excellent"/>
    <s v="Single"/>
    <n v="1611"/>
    <n v="19305"/>
    <s v="Low"/>
    <n v="1"/>
    <x v="1"/>
    <n v="15"/>
    <s v="High"/>
    <s v="High"/>
    <n v="0"/>
    <n v="0"/>
    <n v="5"/>
    <n v="4"/>
    <n v="0"/>
    <n v="0"/>
    <n v="0"/>
    <n v="0"/>
  </r>
  <r>
    <n v="974"/>
    <n v="35"/>
    <s v="26-35"/>
    <x v="1"/>
    <s v="Travel_Rarely"/>
    <n v="1389"/>
    <x v="1"/>
    <n v="1"/>
    <s v="Medium"/>
    <s v="Medical"/>
    <s v="Excellent"/>
    <s v="Female"/>
    <n v="60"/>
    <s v="Medium"/>
    <s v="Medium"/>
    <s v="Laboratory Technician"/>
    <s v="Excellent"/>
    <s v="Married"/>
    <n v="5363"/>
    <n v="10846"/>
    <s v="Medium"/>
    <n v="0"/>
    <x v="1"/>
    <n v="12"/>
    <s v="High"/>
    <s v="Medium"/>
    <n v="1"/>
    <n v="10"/>
    <n v="0"/>
    <n v="3"/>
    <n v="9"/>
    <n v="7"/>
    <n v="0"/>
    <n v="0"/>
  </r>
  <r>
    <n v="975"/>
    <n v="27"/>
    <s v="26-35"/>
    <x v="1"/>
    <s v="Travel_Frequently"/>
    <n v="1389"/>
    <x v="0"/>
    <n v="2"/>
    <s v="Low"/>
    <s v="Life Sciences"/>
    <s v="Excellent"/>
    <s v="Male"/>
    <n v="43"/>
    <s v="Low"/>
    <s v="Medium"/>
    <s v="Sales Executive"/>
    <s v="Excellent"/>
    <s v="Single"/>
    <n v="5071"/>
    <n v="20392"/>
    <s v="Medium"/>
    <n v="3"/>
    <x v="1"/>
    <n v="20"/>
    <s v="Excellent"/>
    <s v="Medium"/>
    <n v="0"/>
    <n v="8"/>
    <n v="3"/>
    <n v="3"/>
    <n v="6"/>
    <n v="2"/>
    <n v="0"/>
    <n v="0"/>
  </r>
  <r>
    <n v="976"/>
    <n v="55"/>
    <s v="46-55"/>
    <x v="0"/>
    <s v="Travel_Rarely"/>
    <n v="1389"/>
    <x v="0"/>
    <n v="13"/>
    <s v="High"/>
    <s v="Marketing"/>
    <s v="Low"/>
    <s v="Male"/>
    <n v="85"/>
    <s v="Excellent"/>
    <s v="Excellent"/>
    <s v="Sales Executive"/>
    <s v="High"/>
    <s v="Single"/>
    <n v="13695"/>
    <n v="9277"/>
    <s v="High"/>
    <n v="6"/>
    <x v="0"/>
    <n v="17"/>
    <s v="High"/>
    <s v="High"/>
    <n v="0"/>
    <n v="24"/>
    <n v="2"/>
    <n v="2"/>
    <n v="19"/>
    <n v="7"/>
    <n v="3"/>
    <n v="8"/>
  </r>
  <r>
    <n v="977"/>
    <n v="56"/>
    <s v="55+"/>
    <x v="1"/>
    <s v="Travel_Rarely"/>
    <n v="1389"/>
    <x v="1"/>
    <n v="23"/>
    <s v="Medium"/>
    <s v="Life Sciences"/>
    <s v="Excellent"/>
    <s v="Male"/>
    <n v="68"/>
    <s v="High"/>
    <s v="Excellent"/>
    <s v="Manufacturing Director"/>
    <s v="Medium"/>
    <s v="Married"/>
    <n v="13402"/>
    <n v="18235"/>
    <s v="High"/>
    <n v="4"/>
    <x v="0"/>
    <n v="12"/>
    <s v="High"/>
    <s v="Low"/>
    <n v="1"/>
    <n v="33"/>
    <n v="0"/>
    <n v="3"/>
    <n v="19"/>
    <n v="16"/>
    <n v="15"/>
    <n v="9"/>
  </r>
  <r>
    <n v="978"/>
    <n v="34"/>
    <s v="26-35"/>
    <x v="1"/>
    <s v="Non-Travel"/>
    <n v="1389"/>
    <x v="1"/>
    <n v="26"/>
    <s v="Low"/>
    <s v="Technical Degree"/>
    <s v="Low"/>
    <s v="Female"/>
    <n v="92"/>
    <s v="Medium"/>
    <s v="Low"/>
    <s v="Research Scientist"/>
    <s v="High"/>
    <s v="Divorced"/>
    <n v="2029"/>
    <n v="15891"/>
    <s v="Low"/>
    <n v="1"/>
    <x v="1"/>
    <n v="20"/>
    <s v="Excellent"/>
    <s v="High"/>
    <n v="3"/>
    <n v="5"/>
    <n v="2"/>
    <n v="3"/>
    <n v="5"/>
    <n v="4"/>
    <n v="0"/>
    <n v="0"/>
  </r>
  <r>
    <n v="979"/>
    <n v="40"/>
    <s v="36-45"/>
    <x v="1"/>
    <s v="Travel_Rarely"/>
    <n v="1389"/>
    <x v="1"/>
    <n v="2"/>
    <s v="Low"/>
    <s v="Medical"/>
    <s v="Medium"/>
    <s v="Female"/>
    <n v="89"/>
    <s v="Excellent"/>
    <s v="Medium"/>
    <s v="Healthcare Representative"/>
    <s v="High"/>
    <s v="Divorced"/>
    <n v="6377"/>
    <n v="13888"/>
    <s v="Medium"/>
    <n v="5"/>
    <x v="1"/>
    <n v="20"/>
    <s v="Excellent"/>
    <s v="Medium"/>
    <n v="3"/>
    <n v="15"/>
    <n v="0"/>
    <n v="3"/>
    <n v="12"/>
    <n v="11"/>
    <n v="11"/>
    <n v="8"/>
  </r>
  <r>
    <n v="980"/>
    <n v="34"/>
    <s v="26-35"/>
    <x v="1"/>
    <s v="Travel_Rarely"/>
    <n v="1389"/>
    <x v="1"/>
    <n v="29"/>
    <s v="Medium"/>
    <s v="Medical"/>
    <s v="Medium"/>
    <s v="Male"/>
    <n v="86"/>
    <s v="High"/>
    <s v="Medium"/>
    <s v="Laboratory Technician"/>
    <s v="High"/>
    <s v="Married"/>
    <n v="5429"/>
    <n v="17491"/>
    <s v="Medium"/>
    <n v="4"/>
    <x v="1"/>
    <n v="13"/>
    <s v="High"/>
    <s v="Low"/>
    <n v="2"/>
    <n v="10"/>
    <n v="1"/>
    <n v="3"/>
    <n v="8"/>
    <n v="7"/>
    <n v="7"/>
    <n v="7"/>
  </r>
  <r>
    <n v="981"/>
    <n v="31"/>
    <s v="26-35"/>
    <x v="0"/>
    <s v="Travel_Frequently"/>
    <n v="1389"/>
    <x v="0"/>
    <n v="2"/>
    <s v="Medium"/>
    <s v="Life Sciences"/>
    <s v="High"/>
    <s v="Female"/>
    <n v="90"/>
    <s v="Medium"/>
    <s v="Low"/>
    <s v="Sales Representative"/>
    <s v="Excellent"/>
    <s v="Single"/>
    <n v="2785"/>
    <n v="11882"/>
    <s v="Low"/>
    <n v="7"/>
    <x v="1"/>
    <n v="14"/>
    <s v="High"/>
    <s v="High"/>
    <n v="0"/>
    <n v="3"/>
    <n v="3"/>
    <n v="4"/>
    <n v="1"/>
    <n v="0"/>
    <n v="0"/>
    <n v="0"/>
  </r>
  <r>
    <n v="982"/>
    <n v="35"/>
    <s v="26-35"/>
    <x v="0"/>
    <s v="Travel_Frequently"/>
    <n v="1389"/>
    <x v="0"/>
    <n v="18"/>
    <s v="High"/>
    <s v="Marketing"/>
    <s v="Excellent"/>
    <s v="Female"/>
    <n v="67"/>
    <s v="High"/>
    <s v="Medium"/>
    <s v="Sales Executive"/>
    <s v="High"/>
    <s v="Married"/>
    <n v="4614"/>
    <n v="23288"/>
    <s v="Low"/>
    <n v="0"/>
    <x v="0"/>
    <n v="18"/>
    <s v="High"/>
    <s v="High"/>
    <n v="1"/>
    <n v="5"/>
    <n v="0"/>
    <n v="2"/>
    <n v="4"/>
    <n v="2"/>
    <n v="3"/>
    <n v="2"/>
  </r>
  <r>
    <n v="983"/>
    <n v="38"/>
    <s v="36-45"/>
    <x v="1"/>
    <s v="Travel_Frequently"/>
    <n v="1389"/>
    <x v="1"/>
    <n v="7"/>
    <s v="Medium"/>
    <s v="Life Sciences"/>
    <s v="Excellent"/>
    <s v="Male"/>
    <n v="57"/>
    <s v="Excellent"/>
    <s v="Low"/>
    <s v="Research Scientist"/>
    <s v="High"/>
    <s v="Divorced"/>
    <n v="2610"/>
    <n v="15748"/>
    <s v="Low"/>
    <n v="1"/>
    <x v="1"/>
    <n v="11"/>
    <s v="High"/>
    <s v="Excellent"/>
    <n v="3"/>
    <n v="4"/>
    <n v="2"/>
    <n v="3"/>
    <n v="4"/>
    <n v="2"/>
    <n v="0"/>
    <n v="3"/>
  </r>
  <r>
    <n v="984"/>
    <n v="34"/>
    <s v="26-35"/>
    <x v="1"/>
    <s v="Travel_Rarely"/>
    <n v="1389"/>
    <x v="1"/>
    <n v="2"/>
    <s v="High"/>
    <s v="Technical Degree"/>
    <s v="High"/>
    <s v="Female"/>
    <n v="98"/>
    <s v="High"/>
    <s v="Medium"/>
    <s v="Healthcare Representative"/>
    <s v="Excellent"/>
    <s v="Single"/>
    <n v="6687"/>
    <n v="6163"/>
    <s v="Medium"/>
    <n v="1"/>
    <x v="1"/>
    <n v="11"/>
    <s v="High"/>
    <s v="Excellent"/>
    <n v="0"/>
    <n v="14"/>
    <n v="2"/>
    <n v="4"/>
    <n v="14"/>
    <n v="11"/>
    <n v="4"/>
    <n v="11"/>
  </r>
  <r>
    <n v="985"/>
    <n v="28"/>
    <s v="26-35"/>
    <x v="1"/>
    <s v="Travel_Rarely"/>
    <n v="1389"/>
    <x v="0"/>
    <n v="26"/>
    <s v="Medium"/>
    <s v="Life Sciences"/>
    <s v="High"/>
    <s v="Male"/>
    <n v="48"/>
    <s v="Medium"/>
    <s v="Medium"/>
    <s v="Sales Executive"/>
    <s v="Low"/>
    <s v="Married"/>
    <n v="4724"/>
    <n v="24232"/>
    <s v="Low"/>
    <n v="1"/>
    <x v="1"/>
    <n v="11"/>
    <s v="High"/>
    <s v="High"/>
    <n v="1"/>
    <n v="5"/>
    <n v="0"/>
    <n v="3"/>
    <n v="5"/>
    <n v="3"/>
    <n v="0"/>
    <n v="4"/>
  </r>
  <r>
    <n v="986"/>
    <n v="31"/>
    <s v="26-35"/>
    <x v="0"/>
    <s v="Travel_Rarely"/>
    <n v="1389"/>
    <x v="1"/>
    <n v="22"/>
    <s v="High"/>
    <s v="Medical"/>
    <s v="Excellent"/>
    <s v="Male"/>
    <n v="98"/>
    <s v="High"/>
    <s v="Medium"/>
    <s v="Manufacturing Director"/>
    <s v="High"/>
    <s v="Married"/>
    <n v="6179"/>
    <n v="21057"/>
    <s v="Medium"/>
    <n v="1"/>
    <x v="0"/>
    <n v="15"/>
    <s v="High"/>
    <s v="Excellent"/>
    <n v="2"/>
    <n v="10"/>
    <n v="3"/>
    <n v="2"/>
    <n v="10"/>
    <n v="2"/>
    <n v="6"/>
    <n v="7"/>
  </r>
  <r>
    <n v="987"/>
    <n v="39"/>
    <s v="36-45"/>
    <x v="1"/>
    <s v="Travel_Rarely"/>
    <n v="1389"/>
    <x v="0"/>
    <n v="21"/>
    <s v="High"/>
    <s v="Life Sciences"/>
    <s v="Low"/>
    <s v="Male"/>
    <n v="44"/>
    <s v="Medium"/>
    <s v="Medium"/>
    <s v="Sales Executive"/>
    <s v="Excellent"/>
    <s v="Married"/>
    <n v="6120"/>
    <n v="3567"/>
    <s v="Medium"/>
    <n v="3"/>
    <x v="0"/>
    <n v="12"/>
    <s v="High"/>
    <s v="Excellent"/>
    <n v="2"/>
    <n v="8"/>
    <n v="2"/>
    <n v="4"/>
    <n v="5"/>
    <n v="4"/>
    <n v="1"/>
    <n v="4"/>
  </r>
  <r>
    <n v="988"/>
    <n v="51"/>
    <s v="46-55"/>
    <x v="1"/>
    <s v="Travel_Frequently"/>
    <n v="1389"/>
    <x v="0"/>
    <n v="2"/>
    <s v="Medium"/>
    <s v="Marketing"/>
    <s v="Medium"/>
    <s v="Male"/>
    <n v="52"/>
    <s v="High"/>
    <s v="High"/>
    <s v="Sales Executive"/>
    <s v="Medium"/>
    <s v="Married"/>
    <n v="10596"/>
    <n v="15395"/>
    <s v="High"/>
    <n v="2"/>
    <x v="1"/>
    <n v="11"/>
    <s v="High"/>
    <s v="Medium"/>
    <n v="0"/>
    <n v="14"/>
    <n v="5"/>
    <n v="3"/>
    <n v="4"/>
    <n v="2"/>
    <n v="3"/>
    <n v="2"/>
  </r>
  <r>
    <n v="989"/>
    <n v="41"/>
    <s v="36-45"/>
    <x v="1"/>
    <s v="Travel_Frequently"/>
    <n v="1389"/>
    <x v="1"/>
    <n v="22"/>
    <s v="Medium"/>
    <s v="Life Sciences"/>
    <s v="Excellent"/>
    <s v="Female"/>
    <n v="75"/>
    <s v="High"/>
    <s v="Medium"/>
    <s v="Research Scientist"/>
    <s v="Excellent"/>
    <s v="Divorced"/>
    <n v="5467"/>
    <n v="13953"/>
    <s v="Medium"/>
    <n v="3"/>
    <x v="0"/>
    <n v="14"/>
    <s v="High"/>
    <s v="Low"/>
    <n v="2"/>
    <n v="12"/>
    <n v="4"/>
    <n v="2"/>
    <n v="6"/>
    <n v="2"/>
    <n v="3"/>
    <n v="3"/>
  </r>
  <r>
    <n v="990"/>
    <n v="37"/>
    <s v="36-45"/>
    <x v="1"/>
    <s v="Travel_Rarely"/>
    <n v="1389"/>
    <x v="1"/>
    <n v="4"/>
    <s v="Low"/>
    <s v="Life Sciences"/>
    <s v="High"/>
    <s v="Male"/>
    <n v="54"/>
    <s v="High"/>
    <s v="Low"/>
    <s v="Research Scientist"/>
    <s v="High"/>
    <s v="Married"/>
    <n v="2996"/>
    <n v="5182"/>
    <s v="Low"/>
    <n v="7"/>
    <x v="0"/>
    <n v="15"/>
    <s v="High"/>
    <s v="Excellent"/>
    <n v="0"/>
    <n v="8"/>
    <n v="2"/>
    <n v="3"/>
    <n v="6"/>
    <n v="4"/>
    <n v="1"/>
    <n v="3"/>
  </r>
  <r>
    <n v="991"/>
    <n v="33"/>
    <s v="26-35"/>
    <x v="1"/>
    <s v="Travel_Frequently"/>
    <n v="1389"/>
    <x v="0"/>
    <n v="5"/>
    <s v="Low"/>
    <s v="Life Sciences"/>
    <s v="Medium"/>
    <s v="Male"/>
    <n v="61"/>
    <s v="High"/>
    <s v="Medium"/>
    <s v="Sales Executive"/>
    <s v="Excellent"/>
    <s v="Married"/>
    <n v="9998"/>
    <n v="19293"/>
    <s v="Medium"/>
    <n v="6"/>
    <x v="1"/>
    <n v="13"/>
    <s v="High"/>
    <s v="Low"/>
    <n v="0"/>
    <n v="8"/>
    <n v="2"/>
    <n v="4"/>
    <n v="5"/>
    <n v="4"/>
    <n v="1"/>
    <n v="2"/>
  </r>
  <r>
    <n v="992"/>
    <n v="32"/>
    <s v="26-35"/>
    <x v="1"/>
    <s v="Travel_Rarely"/>
    <n v="1389"/>
    <x v="0"/>
    <n v="2"/>
    <s v="Low"/>
    <s v="Marketing"/>
    <s v="High"/>
    <s v="Male"/>
    <n v="36"/>
    <s v="High"/>
    <s v="Medium"/>
    <s v="Sales Executive"/>
    <s v="Medium"/>
    <s v="Married"/>
    <n v="4078"/>
    <n v="20497"/>
    <s v="Low"/>
    <n v="0"/>
    <x v="0"/>
    <n v="13"/>
    <s v="High"/>
    <s v="Low"/>
    <n v="3"/>
    <n v="4"/>
    <n v="3"/>
    <n v="2"/>
    <n v="3"/>
    <n v="2"/>
    <n v="1"/>
    <n v="2"/>
  </r>
  <r>
    <n v="993"/>
    <n v="39"/>
    <s v="36-45"/>
    <x v="1"/>
    <s v="Non-Travel"/>
    <n v="1389"/>
    <x v="1"/>
    <n v="25"/>
    <s v="Good"/>
    <s v="Life Sciences"/>
    <s v="High"/>
    <s v="Male"/>
    <n v="71"/>
    <s v="High"/>
    <s v="High"/>
    <s v="Healthcare Representative"/>
    <s v="High"/>
    <s v="Married"/>
    <n v="10920"/>
    <n v="3449"/>
    <s v="High"/>
    <n v="3"/>
    <x v="1"/>
    <n v="21"/>
    <s v="Excellent"/>
    <s v="Medium"/>
    <n v="1"/>
    <n v="13"/>
    <n v="2"/>
    <n v="3"/>
    <n v="6"/>
    <n v="4"/>
    <n v="0"/>
    <n v="5"/>
  </r>
  <r>
    <n v="994"/>
    <n v="25"/>
    <s v="18-25"/>
    <x v="1"/>
    <s v="Travel_Rarely"/>
    <n v="1389"/>
    <x v="0"/>
    <n v="18"/>
    <s v="Low"/>
    <s v="Life Sciences"/>
    <s v="Low"/>
    <s v="Male"/>
    <n v="93"/>
    <s v="Excellent"/>
    <s v="Medium"/>
    <s v="Sales Executive"/>
    <s v="High"/>
    <s v="Married"/>
    <n v="6232"/>
    <n v="12477"/>
    <s v="Medium"/>
    <n v="2"/>
    <x v="1"/>
    <n v="11"/>
    <s v="High"/>
    <s v="Medium"/>
    <n v="0"/>
    <n v="6"/>
    <n v="3"/>
    <n v="2"/>
    <n v="3"/>
    <n v="2"/>
    <n v="1"/>
    <n v="2"/>
  </r>
  <r>
    <n v="995"/>
    <n v="52"/>
    <s v="46-55"/>
    <x v="1"/>
    <s v="Travel_Frequently"/>
    <n v="1389"/>
    <x v="1"/>
    <n v="28"/>
    <s v="Good"/>
    <s v="Medical"/>
    <s v="Excellent"/>
    <s v="Female"/>
    <n v="59"/>
    <s v="Excellent"/>
    <s v="Excellent"/>
    <s v="Manufacturing Director"/>
    <s v="High"/>
    <s v="Married"/>
    <n v="13247"/>
    <n v="9731"/>
    <s v="High"/>
    <n v="2"/>
    <x v="0"/>
    <n v="11"/>
    <s v="High"/>
    <s v="Medium"/>
    <n v="1"/>
    <n v="24"/>
    <n v="3"/>
    <n v="2"/>
    <n v="5"/>
    <n v="3"/>
    <n v="0"/>
    <n v="2"/>
  </r>
  <r>
    <n v="996"/>
    <n v="43"/>
    <s v="36-45"/>
    <x v="1"/>
    <s v="Travel_Rarely"/>
    <n v="1389"/>
    <x v="1"/>
    <n v="6"/>
    <s v="Medium"/>
    <s v="Medical"/>
    <s v="Low"/>
    <s v="Female"/>
    <n v="73"/>
    <s v="Medium"/>
    <s v="Medium"/>
    <s v="Research Scientist"/>
    <s v="High"/>
    <s v="Single"/>
    <n v="4081"/>
    <n v="20003"/>
    <s v="Low"/>
    <n v="1"/>
    <x v="0"/>
    <n v="14"/>
    <s v="High"/>
    <s v="Low"/>
    <n v="0"/>
    <n v="20"/>
    <n v="3"/>
    <n v="1"/>
    <n v="20"/>
    <n v="7"/>
    <n v="1"/>
    <n v="8"/>
  </r>
  <r>
    <n v="997"/>
    <n v="27"/>
    <s v="26-35"/>
    <x v="1"/>
    <s v="Travel_Rarely"/>
    <n v="1389"/>
    <x v="0"/>
    <n v="10"/>
    <s v="Medium"/>
    <s v="Marketing"/>
    <s v="Excellent"/>
    <s v="Female"/>
    <n v="98"/>
    <s v="Medium"/>
    <s v="Medium"/>
    <s v="Sales Executive"/>
    <s v="Excellent"/>
    <s v="Married"/>
    <n v="5769"/>
    <n v="7100"/>
    <s v="Medium"/>
    <n v="1"/>
    <x v="0"/>
    <n v="11"/>
    <s v="High"/>
    <s v="Excellent"/>
    <n v="0"/>
    <n v="6"/>
    <n v="3"/>
    <n v="3"/>
    <n v="6"/>
    <n v="2"/>
    <n v="4"/>
    <n v="4"/>
  </r>
  <r>
    <n v="998"/>
    <n v="27"/>
    <s v="26-35"/>
    <x v="0"/>
    <s v="Travel_Rarely"/>
    <n v="1389"/>
    <x v="1"/>
    <n v="17"/>
    <s v="High"/>
    <s v="Life Sciences"/>
    <s v="Excellent"/>
    <s v="Female"/>
    <n v="51"/>
    <s v="High"/>
    <s v="Low"/>
    <s v="Research Scientist"/>
    <s v="High"/>
    <s v="Single"/>
    <n v="2394"/>
    <n v="25681"/>
    <s v="Low"/>
    <n v="1"/>
    <x v="0"/>
    <n v="13"/>
    <s v="High"/>
    <s v="Excellent"/>
    <n v="0"/>
    <n v="8"/>
    <n v="2"/>
    <n v="3"/>
    <n v="8"/>
    <n v="2"/>
    <n v="7"/>
    <n v="7"/>
  </r>
  <r>
    <n v="999"/>
    <n v="26"/>
    <s v="26-35"/>
    <x v="1"/>
    <s v="Travel_Rarely"/>
    <n v="1389"/>
    <x v="1"/>
    <n v="2"/>
    <s v="Low"/>
    <s v="Medical"/>
    <s v="Low"/>
    <s v="Male"/>
    <n v="36"/>
    <s v="Medium"/>
    <s v="Low"/>
    <s v="Research Scientist"/>
    <s v="Excellent"/>
    <s v="Single"/>
    <n v="3904"/>
    <n v="4050"/>
    <s v="Low"/>
    <n v="0"/>
    <x v="1"/>
    <n v="12"/>
    <s v="High"/>
    <s v="Excellent"/>
    <n v="0"/>
    <n v="5"/>
    <n v="2"/>
    <n v="3"/>
    <n v="4"/>
    <n v="3"/>
    <n v="1"/>
    <n v="1"/>
  </r>
  <r>
    <n v="1000"/>
    <n v="42"/>
    <s v="36-45"/>
    <x v="1"/>
    <s v="Travel_Rarely"/>
    <n v="1389"/>
    <x v="2"/>
    <n v="10"/>
    <s v="Medium"/>
    <s v="Human Resources"/>
    <s v="High"/>
    <s v="Female"/>
    <n v="31"/>
    <s v="High"/>
    <s v="Excellent"/>
    <s v="Manager"/>
    <s v="Low"/>
    <s v="Married"/>
    <n v="16799"/>
    <n v="16616"/>
    <s v="High"/>
    <n v="0"/>
    <x v="1"/>
    <n v="14"/>
    <s v="High"/>
    <s v="High"/>
    <n v="1"/>
    <n v="21"/>
    <n v="5"/>
    <n v="3"/>
    <n v="20"/>
    <n v="7"/>
    <n v="0"/>
    <n v="9"/>
  </r>
  <r>
    <n v="1001"/>
    <n v="52"/>
    <s v="46-55"/>
    <x v="1"/>
    <s v="Travel_Rarely"/>
    <n v="1389"/>
    <x v="1"/>
    <n v="8"/>
    <s v="High"/>
    <s v="Other"/>
    <s v="High"/>
    <s v="Female"/>
    <n v="54"/>
    <s v="High"/>
    <s v="Low"/>
    <s v="Laboratory Technician"/>
    <s v="Low"/>
    <s v="Married"/>
    <n v="2950"/>
    <n v="17363"/>
    <s v="Low"/>
    <n v="9"/>
    <x v="1"/>
    <n v="13"/>
    <s v="High"/>
    <s v="High"/>
    <n v="0"/>
    <n v="12"/>
    <n v="2"/>
    <n v="1"/>
    <n v="5"/>
    <n v="4"/>
    <n v="0"/>
    <n v="4"/>
  </r>
  <r>
    <n v="1002"/>
    <n v="37"/>
    <s v="36-45"/>
    <x v="1"/>
    <s v="Travel_Rarely"/>
    <n v="1389"/>
    <x v="1"/>
    <n v="11"/>
    <s v="Medium"/>
    <s v="Medical"/>
    <s v="Low"/>
    <s v="Female"/>
    <n v="94"/>
    <s v="High"/>
    <s v="Low"/>
    <s v="Laboratory Technician"/>
    <s v="High"/>
    <s v="Single"/>
    <n v="3629"/>
    <n v="19106"/>
    <s v="Low"/>
    <n v="4"/>
    <x v="1"/>
    <n v="18"/>
    <s v="High"/>
    <s v="Low"/>
    <n v="0"/>
    <n v="8"/>
    <n v="6"/>
    <n v="3"/>
    <n v="3"/>
    <n v="2"/>
    <n v="0"/>
    <n v="2"/>
  </r>
  <r>
    <n v="1003"/>
    <n v="35"/>
    <s v="26-35"/>
    <x v="1"/>
    <s v="Travel_Frequently"/>
    <n v="1389"/>
    <x v="1"/>
    <n v="18"/>
    <s v="Good"/>
    <s v="Life Sciences"/>
    <s v="High"/>
    <s v="Male"/>
    <n v="60"/>
    <s v="High"/>
    <s v="High"/>
    <s v="Manufacturing Director"/>
    <s v="Excellent"/>
    <s v="Single"/>
    <n v="9362"/>
    <n v="19944"/>
    <s v="Medium"/>
    <n v="2"/>
    <x v="1"/>
    <n v="11"/>
    <s v="High"/>
    <s v="High"/>
    <n v="0"/>
    <n v="10"/>
    <n v="2"/>
    <n v="3"/>
    <n v="2"/>
    <n v="2"/>
    <n v="2"/>
    <n v="2"/>
  </r>
  <r>
    <n v="1004"/>
    <n v="25"/>
    <s v="18-25"/>
    <x v="1"/>
    <s v="Travel_Rarely"/>
    <n v="1389"/>
    <x v="1"/>
    <n v="1"/>
    <s v="Medium"/>
    <s v="Technical Degree"/>
    <s v="Low"/>
    <s v="Male"/>
    <n v="81"/>
    <s v="High"/>
    <s v="Low"/>
    <s v="Laboratory Technician"/>
    <s v="Excellent"/>
    <s v="Married"/>
    <n v="3229"/>
    <n v="4910"/>
    <s v="Low"/>
    <n v="4"/>
    <x v="1"/>
    <n v="11"/>
    <s v="High"/>
    <s v="Medium"/>
    <n v="1"/>
    <n v="7"/>
    <n v="2"/>
    <n v="2"/>
    <n v="3"/>
    <n v="2"/>
    <n v="0"/>
    <n v="2"/>
  </r>
  <r>
    <n v="1005"/>
    <n v="26"/>
    <s v="26-35"/>
    <x v="1"/>
    <s v="Travel_Rarely"/>
    <n v="1389"/>
    <x v="1"/>
    <n v="7"/>
    <s v="Medium"/>
    <s v="Other"/>
    <s v="High"/>
    <s v="Male"/>
    <n v="100"/>
    <s v="Excellent"/>
    <s v="Low"/>
    <s v="Laboratory Technician"/>
    <s v="Low"/>
    <s v="Single"/>
    <n v="3578"/>
    <n v="23577"/>
    <s v="Low"/>
    <n v="0"/>
    <x v="1"/>
    <n v="12"/>
    <s v="High"/>
    <s v="Excellent"/>
    <n v="0"/>
    <n v="8"/>
    <n v="2"/>
    <n v="3"/>
    <n v="7"/>
    <n v="7"/>
    <n v="0"/>
    <n v="7"/>
  </r>
  <r>
    <n v="1006"/>
    <n v="29"/>
    <s v="26-35"/>
    <x v="1"/>
    <s v="Travel_Rarely"/>
    <n v="1389"/>
    <x v="2"/>
    <n v="17"/>
    <s v="Medium"/>
    <s v="Other"/>
    <s v="Medium"/>
    <s v="Male"/>
    <n v="51"/>
    <s v="Medium"/>
    <s v="High"/>
    <s v="Human Resources"/>
    <s v="Low"/>
    <s v="Single"/>
    <n v="7988"/>
    <n v="9769"/>
    <s v="Medium"/>
    <n v="1"/>
    <x v="1"/>
    <n v="13"/>
    <s v="High"/>
    <s v="Low"/>
    <n v="0"/>
    <n v="10"/>
    <n v="3"/>
    <n v="2"/>
    <n v="10"/>
    <n v="9"/>
    <n v="0"/>
    <n v="9"/>
  </r>
  <r>
    <n v="1007"/>
    <n v="49"/>
    <s v="46-55"/>
    <x v="0"/>
    <s v="Travel_Frequently"/>
    <n v="1389"/>
    <x v="1"/>
    <n v="28"/>
    <s v="Good"/>
    <s v="Life Sciences"/>
    <s v="Low"/>
    <s v="Male"/>
    <n v="97"/>
    <s v="Medium"/>
    <s v="Medium"/>
    <s v="Laboratory Technician"/>
    <s v="Low"/>
    <s v="Single"/>
    <n v="4284"/>
    <n v="22710"/>
    <s v="Low"/>
    <n v="3"/>
    <x v="1"/>
    <n v="20"/>
    <s v="Excellent"/>
    <s v="Low"/>
    <n v="0"/>
    <n v="20"/>
    <n v="2"/>
    <n v="3"/>
    <n v="4"/>
    <n v="3"/>
    <n v="1"/>
    <n v="3"/>
  </r>
  <r>
    <n v="1008"/>
    <n v="29"/>
    <s v="26-35"/>
    <x v="0"/>
    <s v="Travel_Frequently"/>
    <n v="1389"/>
    <x v="1"/>
    <n v="14"/>
    <s v="Low"/>
    <s v="Other"/>
    <s v="High"/>
    <s v="Female"/>
    <n v="84"/>
    <s v="High"/>
    <s v="High"/>
    <s v="Healthcare Representative"/>
    <s v="Excellent"/>
    <s v="Single"/>
    <n v="7553"/>
    <n v="22930"/>
    <s v="Medium"/>
    <n v="0"/>
    <x v="0"/>
    <n v="12"/>
    <s v="High"/>
    <s v="Low"/>
    <n v="0"/>
    <n v="9"/>
    <n v="1"/>
    <n v="3"/>
    <n v="8"/>
    <n v="7"/>
    <n v="7"/>
    <n v="7"/>
  </r>
  <r>
    <n v="1009"/>
    <n v="54"/>
    <s v="46-55"/>
    <x v="1"/>
    <s v="Travel_Rarely"/>
    <n v="1389"/>
    <x v="1"/>
    <n v="1"/>
    <s v="Medium"/>
    <s v="Medical"/>
    <s v="Excellent"/>
    <s v="Female"/>
    <n v="54"/>
    <s v="High"/>
    <s v="Excellent"/>
    <s v="Research Director"/>
    <s v="Excellent"/>
    <s v="Single"/>
    <n v="17328"/>
    <n v="5652"/>
    <s v="High"/>
    <n v="6"/>
    <x v="1"/>
    <n v="19"/>
    <s v="High"/>
    <s v="Excellent"/>
    <n v="0"/>
    <n v="29"/>
    <n v="3"/>
    <n v="2"/>
    <n v="20"/>
    <n v="7"/>
    <n v="12"/>
    <n v="7"/>
  </r>
  <r>
    <n v="1010"/>
    <n v="58"/>
    <s v="55+"/>
    <x v="1"/>
    <s v="Travel_Rarely"/>
    <n v="1389"/>
    <x v="1"/>
    <n v="1"/>
    <s v="Medium"/>
    <s v="Medical"/>
    <s v="Excellent"/>
    <s v="Female"/>
    <n v="76"/>
    <s v="High"/>
    <e v="#N/A"/>
    <s v="Research Director"/>
    <s v="Low"/>
    <s v="Married"/>
    <n v="19701"/>
    <n v="22456"/>
    <s v="High"/>
    <n v="3"/>
    <x v="0"/>
    <n v="21"/>
    <s v="Excellent"/>
    <s v="High"/>
    <n v="1"/>
    <n v="32"/>
    <n v="3"/>
    <n v="3"/>
    <n v="9"/>
    <n v="8"/>
    <n v="1"/>
    <n v="5"/>
  </r>
  <r>
    <n v="1011"/>
    <n v="55"/>
    <s v="46-55"/>
    <x v="1"/>
    <s v="Travel_Rarely"/>
    <n v="1389"/>
    <x v="1"/>
    <n v="1"/>
    <s v="High"/>
    <s v="Medical"/>
    <s v="Medium"/>
    <s v="Male"/>
    <n v="81"/>
    <s v="Excellent"/>
    <s v="Excellent"/>
    <s v="Research Director"/>
    <s v="Excellent"/>
    <s v="Divorced"/>
    <n v="14732"/>
    <n v="12414"/>
    <s v="High"/>
    <n v="2"/>
    <x v="1"/>
    <n v="13"/>
    <s v="High"/>
    <s v="Excellent"/>
    <n v="2"/>
    <n v="31"/>
    <n v="4"/>
    <n v="4"/>
    <n v="7"/>
    <n v="7"/>
    <n v="0"/>
    <n v="0"/>
  </r>
  <r>
    <n v="1012"/>
    <n v="36"/>
    <s v="36-45"/>
    <x v="1"/>
    <s v="Travel_Rarely"/>
    <n v="1389"/>
    <x v="0"/>
    <n v="3"/>
    <s v="High"/>
    <s v="Marketing"/>
    <s v="Low"/>
    <s v="Female"/>
    <n v="99"/>
    <s v="High"/>
    <s v="Medium"/>
    <s v="Sales Executive"/>
    <s v="Medium"/>
    <s v="Single"/>
    <n v="9278"/>
    <n v="20763"/>
    <s v="Medium"/>
    <n v="3"/>
    <x v="0"/>
    <n v="16"/>
    <s v="High"/>
    <s v="Excellent"/>
    <n v="0"/>
    <n v="15"/>
    <n v="3"/>
    <n v="3"/>
    <n v="5"/>
    <n v="4"/>
    <n v="0"/>
    <n v="1"/>
  </r>
  <r>
    <n v="1013"/>
    <n v="31"/>
    <s v="26-35"/>
    <x v="0"/>
    <s v="Travel_Frequently"/>
    <n v="1389"/>
    <x v="0"/>
    <n v="1"/>
    <s v="High"/>
    <s v="Life Sciences"/>
    <s v="Medium"/>
    <s v="Female"/>
    <n v="50"/>
    <s v="Low"/>
    <s v="Low"/>
    <s v="Sales Representative"/>
    <s v="High"/>
    <s v="Single"/>
    <n v="1359"/>
    <n v="16154"/>
    <s v="Low"/>
    <n v="1"/>
    <x v="1"/>
    <n v="12"/>
    <s v="High"/>
    <s v="Medium"/>
    <n v="0"/>
    <n v="1"/>
    <n v="3"/>
    <n v="3"/>
    <n v="1"/>
    <n v="0"/>
    <n v="0"/>
    <n v="0"/>
  </r>
  <r>
    <n v="1014"/>
    <n v="30"/>
    <s v="26-35"/>
    <x v="1"/>
    <s v="Travel_Rarely"/>
    <n v="1389"/>
    <x v="0"/>
    <n v="7"/>
    <s v="High"/>
    <s v="Marketing"/>
    <s v="Excellent"/>
    <s v="Female"/>
    <n v="73"/>
    <s v="High"/>
    <s v="Medium"/>
    <s v="Sales Executive"/>
    <s v="Low"/>
    <s v="Divorced"/>
    <n v="4779"/>
    <n v="12761"/>
    <s v="Low"/>
    <n v="7"/>
    <x v="1"/>
    <n v="14"/>
    <s v="High"/>
    <s v="Medium"/>
    <n v="2"/>
    <n v="8"/>
    <n v="3"/>
    <n v="3"/>
    <n v="3"/>
    <n v="2"/>
    <n v="0"/>
    <n v="2"/>
  </r>
  <r>
    <n v="1015"/>
    <n v="31"/>
    <s v="26-35"/>
    <x v="1"/>
    <s v="Travel_Rarely"/>
    <n v="1389"/>
    <x v="1"/>
    <n v="8"/>
    <s v="Excellent"/>
    <s v="Life Sciences"/>
    <s v="Low"/>
    <s v="Female"/>
    <n v="93"/>
    <s v="High"/>
    <s v="Excellent"/>
    <s v="Research Director"/>
    <s v="Medium"/>
    <s v="Single"/>
    <n v="16422"/>
    <n v="8847"/>
    <s v="High"/>
    <n v="3"/>
    <x v="1"/>
    <n v="11"/>
    <s v="High"/>
    <s v="High"/>
    <n v="0"/>
    <n v="9"/>
    <n v="3"/>
    <n v="4"/>
    <n v="3"/>
    <n v="2"/>
    <n v="1"/>
    <n v="0"/>
  </r>
  <r>
    <n v="1016"/>
    <n v="34"/>
    <s v="26-35"/>
    <x v="1"/>
    <s v="Travel_Frequently"/>
    <n v="1389"/>
    <x v="1"/>
    <n v="1"/>
    <s v="High"/>
    <s v="Other"/>
    <s v="Excellent"/>
    <s v="Male"/>
    <n v="91"/>
    <s v="High"/>
    <s v="Low"/>
    <s v="Research Scientist"/>
    <s v="Low"/>
    <s v="Divorced"/>
    <n v="2996"/>
    <n v="20284"/>
    <s v="Low"/>
    <n v="5"/>
    <x v="1"/>
    <n v="14"/>
    <s v="High"/>
    <s v="High"/>
    <n v="2"/>
    <n v="10"/>
    <n v="2"/>
    <n v="3"/>
    <n v="4"/>
    <n v="3"/>
    <n v="1"/>
    <n v="3"/>
  </r>
  <r>
    <n v="1017"/>
    <n v="31"/>
    <s v="26-35"/>
    <x v="0"/>
    <s v="Travel_Rarely"/>
    <n v="1389"/>
    <x v="1"/>
    <n v="8"/>
    <s v="Medium"/>
    <s v="Life Sciences"/>
    <s v="Low"/>
    <s v="Female"/>
    <n v="34"/>
    <s v="Medium"/>
    <s v="Low"/>
    <s v="Research Scientist"/>
    <s v="Medium"/>
    <s v="Single"/>
    <n v="1261"/>
    <n v="22262"/>
    <s v="Low"/>
    <n v="1"/>
    <x v="1"/>
    <n v="12"/>
    <s v="High"/>
    <s v="High"/>
    <n v="0"/>
    <n v="1"/>
    <n v="3"/>
    <n v="4"/>
    <n v="1"/>
    <n v="0"/>
    <n v="0"/>
    <n v="0"/>
  </r>
  <r>
    <n v="1018"/>
    <n v="27"/>
    <s v="26-35"/>
    <x v="1"/>
    <s v="Travel_Rarely"/>
    <n v="1389"/>
    <x v="1"/>
    <n v="11"/>
    <s v="Low"/>
    <s v="Life Sciences"/>
    <s v="Medium"/>
    <s v="Male"/>
    <n v="91"/>
    <s v="High"/>
    <s v="Low"/>
    <s v="Laboratory Technician"/>
    <s v="Low"/>
    <s v="Married"/>
    <n v="2099"/>
    <n v="7679"/>
    <s v="Low"/>
    <n v="0"/>
    <x v="1"/>
    <n v="14"/>
    <s v="High"/>
    <s v="Medium"/>
    <n v="0"/>
    <n v="6"/>
    <n v="3"/>
    <n v="4"/>
    <n v="5"/>
    <n v="0"/>
    <n v="1"/>
    <n v="4"/>
  </r>
  <r>
    <n v="1019"/>
    <n v="36"/>
    <s v="36-45"/>
    <x v="1"/>
    <s v="Travel_Rarely"/>
    <n v="1389"/>
    <x v="1"/>
    <n v="4"/>
    <s v="High"/>
    <s v="Life Sciences"/>
    <s v="Low"/>
    <s v="Male"/>
    <n v="37"/>
    <s v="Medium"/>
    <s v="Medium"/>
    <s v="Laboratory Technician"/>
    <s v="Excellent"/>
    <s v="Single"/>
    <n v="5810"/>
    <n v="22604"/>
    <s v="Medium"/>
    <n v="1"/>
    <x v="1"/>
    <n v="16"/>
    <s v="High"/>
    <s v="High"/>
    <n v="0"/>
    <n v="10"/>
    <n v="2"/>
    <n v="2"/>
    <n v="10"/>
    <n v="4"/>
    <n v="1"/>
    <n v="8"/>
  </r>
  <r>
    <n v="1020"/>
    <n v="36"/>
    <s v="36-45"/>
    <x v="1"/>
    <s v="Travel_Rarely"/>
    <n v="1389"/>
    <x v="0"/>
    <n v="16"/>
    <s v="High"/>
    <s v="Marketing"/>
    <s v="High"/>
    <s v="Female"/>
    <n v="98"/>
    <s v="Medium"/>
    <s v="Medium"/>
    <s v="Sales Executive"/>
    <s v="Low"/>
    <s v="Married"/>
    <n v="5647"/>
    <n v="13494"/>
    <s v="Medium"/>
    <n v="4"/>
    <x v="1"/>
    <n v="13"/>
    <s v="High"/>
    <s v="Low"/>
    <n v="2"/>
    <n v="11"/>
    <n v="3"/>
    <n v="2"/>
    <n v="3"/>
    <n v="2"/>
    <n v="0"/>
    <n v="2"/>
  </r>
  <r>
    <n v="1021"/>
    <n v="47"/>
    <s v="46-55"/>
    <x v="1"/>
    <s v="Travel_Rarely"/>
    <n v="1389"/>
    <x v="1"/>
    <n v="1"/>
    <s v="Medium"/>
    <s v="Technical Degree"/>
    <s v="Low"/>
    <s v="Male"/>
    <n v="74"/>
    <s v="High"/>
    <s v="Low"/>
    <s v="Research Scientist"/>
    <s v="Excellent"/>
    <s v="Married"/>
    <n v="3420"/>
    <n v="10205"/>
    <s v="Low"/>
    <n v="7"/>
    <x v="1"/>
    <n v="12"/>
    <s v="High"/>
    <s v="High"/>
    <n v="1"/>
    <n v="17"/>
    <n v="2"/>
    <n v="2"/>
    <n v="6"/>
    <n v="5"/>
    <n v="1"/>
    <n v="2"/>
  </r>
  <r>
    <n v="1022"/>
    <n v="25"/>
    <s v="18-25"/>
    <x v="0"/>
    <s v="Travel_Rarely"/>
    <n v="1389"/>
    <x v="0"/>
    <n v="9"/>
    <s v="Good"/>
    <s v="Life Sciences"/>
    <s v="Low"/>
    <s v="Male"/>
    <n v="68"/>
    <s v="Medium"/>
    <s v="Low"/>
    <s v="Sales Representative"/>
    <s v="Low"/>
    <s v="Married"/>
    <n v="4400"/>
    <n v="15182"/>
    <s v="Low"/>
    <n v="3"/>
    <x v="1"/>
    <n v="12"/>
    <s v="High"/>
    <s v="Low"/>
    <n v="0"/>
    <n v="6"/>
    <n v="2"/>
    <n v="3"/>
    <n v="3"/>
    <n v="2"/>
    <n v="2"/>
    <n v="2"/>
  </r>
  <r>
    <n v="1023"/>
    <n v="37"/>
    <s v="36-45"/>
    <x v="1"/>
    <s v="Non-Travel"/>
    <n v="1389"/>
    <x v="1"/>
    <n v="5"/>
    <s v="Good"/>
    <s v="Technical Degree"/>
    <s v="High"/>
    <s v="Male"/>
    <n v="84"/>
    <s v="Excellent"/>
    <s v="Low"/>
    <s v="Laboratory Technician"/>
    <s v="High"/>
    <s v="Single"/>
    <n v="3500"/>
    <n v="25470"/>
    <s v="Low"/>
    <n v="0"/>
    <x v="1"/>
    <n v="14"/>
    <s v="High"/>
    <s v="Low"/>
    <n v="0"/>
    <n v="7"/>
    <n v="2"/>
    <n v="1"/>
    <n v="6"/>
    <n v="5"/>
    <n v="1"/>
    <n v="3"/>
  </r>
  <r>
    <n v="1024"/>
    <n v="56"/>
    <s v="55+"/>
    <x v="1"/>
    <s v="Travel_Rarely"/>
    <n v="1389"/>
    <x v="1"/>
    <n v="1"/>
    <s v="Good"/>
    <s v="Life Sciences"/>
    <s v="Low"/>
    <s v="Female"/>
    <n v="90"/>
    <s v="High"/>
    <s v="Low"/>
    <s v="Research Scientist"/>
    <s v="Low"/>
    <s v="Married"/>
    <n v="2066"/>
    <n v="10494"/>
    <s v="Low"/>
    <n v="2"/>
    <x v="1"/>
    <n v="22"/>
    <s v="Excellent"/>
    <s v="Excellent"/>
    <n v="1"/>
    <n v="5"/>
    <n v="3"/>
    <n v="4"/>
    <n v="3"/>
    <n v="2"/>
    <n v="1"/>
    <n v="0"/>
  </r>
  <r>
    <n v="1025"/>
    <n v="47"/>
    <s v="46-55"/>
    <x v="1"/>
    <s v="Travel_Rarely"/>
    <n v="1389"/>
    <x v="1"/>
    <n v="2"/>
    <s v="High"/>
    <s v="Medical"/>
    <s v="Low"/>
    <s v="Female"/>
    <n v="82"/>
    <s v="High"/>
    <s v="Excellent"/>
    <s v="Research Director"/>
    <s v="High"/>
    <s v="Married"/>
    <n v="17169"/>
    <n v="26703"/>
    <s v="High"/>
    <n v="3"/>
    <x v="1"/>
    <n v="19"/>
    <s v="High"/>
    <s v="Medium"/>
    <n v="2"/>
    <n v="26"/>
    <n v="2"/>
    <n v="4"/>
    <n v="20"/>
    <n v="17"/>
    <n v="5"/>
    <n v="6"/>
  </r>
  <r>
    <n v="1026"/>
    <n v="24"/>
    <s v="18-25"/>
    <x v="1"/>
    <s v="Travel_Rarely"/>
    <n v="1389"/>
    <x v="0"/>
    <n v="4"/>
    <s v="Low"/>
    <s v="Medical"/>
    <s v="Excellent"/>
    <s v="Female"/>
    <n v="42"/>
    <s v="High"/>
    <s v="Medium"/>
    <s v="Sales Executive"/>
    <s v="High"/>
    <s v="Married"/>
    <n v="4162"/>
    <n v="15211"/>
    <s v="Low"/>
    <n v="1"/>
    <x v="0"/>
    <n v="12"/>
    <s v="High"/>
    <s v="High"/>
    <n v="2"/>
    <n v="5"/>
    <n v="3"/>
    <n v="3"/>
    <n v="5"/>
    <n v="4"/>
    <n v="0"/>
    <n v="3"/>
  </r>
  <r>
    <n v="1027"/>
    <n v="32"/>
    <s v="26-35"/>
    <x v="1"/>
    <s v="Travel_Rarely"/>
    <n v="1389"/>
    <x v="0"/>
    <n v="7"/>
    <s v="Excellent"/>
    <s v="Marketing"/>
    <s v="Excellent"/>
    <s v="Male"/>
    <n v="97"/>
    <s v="High"/>
    <s v="Medium"/>
    <s v="Sales Executive"/>
    <s v="Excellent"/>
    <s v="Married"/>
    <n v="9204"/>
    <n v="23343"/>
    <s v="Medium"/>
    <n v="4"/>
    <x v="1"/>
    <n v="12"/>
    <s v="High"/>
    <s v="High"/>
    <n v="1"/>
    <n v="7"/>
    <n v="3"/>
    <n v="2"/>
    <n v="4"/>
    <n v="3"/>
    <n v="0"/>
    <n v="3"/>
  </r>
  <r>
    <n v="1028"/>
    <n v="34"/>
    <s v="26-35"/>
    <x v="1"/>
    <s v="Travel_Rarely"/>
    <n v="1389"/>
    <x v="1"/>
    <n v="1"/>
    <s v="Medium"/>
    <s v="Life Sciences"/>
    <s v="Excellent"/>
    <s v="Female"/>
    <n v="86"/>
    <s v="Medium"/>
    <s v="Low"/>
    <s v="Laboratory Technician"/>
    <s v="Medium"/>
    <s v="Married"/>
    <n v="3294"/>
    <n v="3708"/>
    <s v="Low"/>
    <n v="5"/>
    <x v="1"/>
    <n v="17"/>
    <s v="High"/>
    <s v="Low"/>
    <n v="1"/>
    <n v="7"/>
    <n v="2"/>
    <n v="2"/>
    <n v="5"/>
    <n v="4"/>
    <n v="0"/>
    <n v="2"/>
  </r>
  <r>
    <n v="1029"/>
    <n v="41"/>
    <s v="36-45"/>
    <x v="1"/>
    <s v="Travel_Rarely"/>
    <n v="1389"/>
    <x v="1"/>
    <n v="5"/>
    <s v="Excellent"/>
    <s v="Medical"/>
    <s v="Medium"/>
    <s v="Male"/>
    <n v="90"/>
    <s v="Excellent"/>
    <s v="Low"/>
    <s v="Research Scientist"/>
    <s v="High"/>
    <s v="Married"/>
    <n v="2127"/>
    <n v="5561"/>
    <s v="Low"/>
    <n v="2"/>
    <x v="0"/>
    <n v="12"/>
    <s v="High"/>
    <s v="Low"/>
    <n v="0"/>
    <n v="7"/>
    <n v="5"/>
    <n v="2"/>
    <n v="4"/>
    <n v="2"/>
    <n v="0"/>
    <n v="3"/>
  </r>
  <r>
    <n v="1030"/>
    <n v="40"/>
    <s v="36-45"/>
    <x v="1"/>
    <s v="Non-Travel"/>
    <n v="1389"/>
    <x v="1"/>
    <n v="9"/>
    <s v="High"/>
    <s v="Other"/>
    <s v="High"/>
    <s v="Male"/>
    <n v="81"/>
    <s v="High"/>
    <s v="Medium"/>
    <s v="Laboratory Technician"/>
    <s v="High"/>
    <s v="Divorced"/>
    <n v="3975"/>
    <n v="23099"/>
    <s v="Low"/>
    <n v="3"/>
    <x v="1"/>
    <n v="11"/>
    <s v="High"/>
    <s v="High"/>
    <n v="2"/>
    <n v="11"/>
    <n v="2"/>
    <n v="4"/>
    <n v="8"/>
    <n v="7"/>
    <n v="0"/>
    <n v="7"/>
  </r>
  <r>
    <n v="1031"/>
    <n v="31"/>
    <s v="26-35"/>
    <x v="1"/>
    <s v="Travel_Rarely"/>
    <n v="1389"/>
    <x v="0"/>
    <n v="8"/>
    <s v="Good"/>
    <s v="Life Sciences"/>
    <s v="Low"/>
    <s v="Male"/>
    <n v="31"/>
    <s v="High"/>
    <s v="High"/>
    <s v="Sales Executive"/>
    <s v="Excellent"/>
    <s v="Divorced"/>
    <n v="10793"/>
    <n v="8386"/>
    <s v="High"/>
    <n v="1"/>
    <x v="1"/>
    <n v="18"/>
    <s v="High"/>
    <s v="Low"/>
    <n v="1"/>
    <n v="13"/>
    <n v="5"/>
    <n v="3"/>
    <n v="13"/>
    <n v="7"/>
    <n v="9"/>
    <n v="9"/>
  </r>
  <r>
    <n v="1032"/>
    <n v="46"/>
    <s v="46-55"/>
    <x v="0"/>
    <s v="Travel_Rarely"/>
    <n v="1389"/>
    <x v="0"/>
    <n v="9"/>
    <s v="Medium"/>
    <s v="Marketing"/>
    <s v="Low"/>
    <s v="Male"/>
    <n v="52"/>
    <s v="High"/>
    <s v="High"/>
    <s v="Sales Executive"/>
    <s v="Excellent"/>
    <s v="Divorced"/>
    <n v="10096"/>
    <n v="15986"/>
    <s v="High"/>
    <n v="4"/>
    <x v="1"/>
    <n v="11"/>
    <s v="High"/>
    <s v="Low"/>
    <n v="1"/>
    <n v="28"/>
    <n v="1"/>
    <n v="4"/>
    <n v="7"/>
    <n v="7"/>
    <n v="4"/>
    <n v="3"/>
  </r>
  <r>
    <n v="1033"/>
    <n v="39"/>
    <s v="36-45"/>
    <x v="0"/>
    <s v="Non-Travel"/>
    <n v="1389"/>
    <x v="1"/>
    <n v="2"/>
    <s v="Medium"/>
    <s v="Life Sciences"/>
    <s v="Low"/>
    <s v="Female"/>
    <n v="54"/>
    <s v="Medium"/>
    <s v="Low"/>
    <s v="Laboratory Technician"/>
    <s v="Low"/>
    <s v="Single"/>
    <n v="3646"/>
    <n v="17181"/>
    <s v="Low"/>
    <n v="2"/>
    <x v="0"/>
    <n v="23"/>
    <s v="Excellent"/>
    <s v="Medium"/>
    <n v="0"/>
    <n v="11"/>
    <n v="2"/>
    <n v="4"/>
    <n v="1"/>
    <n v="0"/>
    <n v="0"/>
    <n v="0"/>
  </r>
  <r>
    <n v="1034"/>
    <n v="31"/>
    <s v="26-35"/>
    <x v="0"/>
    <s v="Travel_Frequently"/>
    <n v="1389"/>
    <x v="1"/>
    <n v="1"/>
    <s v="Excellent"/>
    <s v="Life Sciences"/>
    <s v="High"/>
    <s v="Female"/>
    <n v="100"/>
    <s v="Excellent"/>
    <s v="High"/>
    <s v="Manufacturing Director"/>
    <s v="Medium"/>
    <s v="Single"/>
    <n v="7446"/>
    <n v="8931"/>
    <s v="Medium"/>
    <n v="1"/>
    <x v="1"/>
    <n v="11"/>
    <s v="High"/>
    <s v="Low"/>
    <n v="0"/>
    <n v="10"/>
    <n v="2"/>
    <n v="3"/>
    <n v="10"/>
    <n v="8"/>
    <n v="4"/>
    <n v="7"/>
  </r>
  <r>
    <n v="1035"/>
    <n v="45"/>
    <s v="36-45"/>
    <x v="1"/>
    <s v="Travel_Rarely"/>
    <n v="1389"/>
    <x v="1"/>
    <n v="20"/>
    <s v="Medium"/>
    <s v="Medical"/>
    <s v="Medium"/>
    <s v="Male"/>
    <n v="95"/>
    <s v="Low"/>
    <s v="High"/>
    <s v="Healthcare Representative"/>
    <s v="Low"/>
    <s v="Divorced"/>
    <n v="10851"/>
    <n v="19863"/>
    <s v="High"/>
    <n v="2"/>
    <x v="0"/>
    <n v="18"/>
    <s v="High"/>
    <s v="Medium"/>
    <n v="1"/>
    <n v="24"/>
    <n v="2"/>
    <n v="3"/>
    <n v="7"/>
    <n v="7"/>
    <n v="0"/>
    <n v="7"/>
  </r>
  <r>
    <n v="1036"/>
    <n v="31"/>
    <s v="26-35"/>
    <x v="1"/>
    <s v="Travel_Rarely"/>
    <n v="1389"/>
    <x v="2"/>
    <n v="8"/>
    <s v="Good"/>
    <s v="Medical"/>
    <s v="Excellent"/>
    <s v="Female"/>
    <n v="96"/>
    <s v="Excellent"/>
    <s v="Low"/>
    <s v="Human Resources"/>
    <s v="Medium"/>
    <s v="Single"/>
    <n v="2109"/>
    <n v="24609"/>
    <s v="Low"/>
    <n v="9"/>
    <x v="1"/>
    <n v="18"/>
    <s v="High"/>
    <s v="Excellent"/>
    <n v="0"/>
    <n v="8"/>
    <n v="3"/>
    <n v="3"/>
    <n v="3"/>
    <n v="2"/>
    <n v="0"/>
    <n v="2"/>
  </r>
  <r>
    <n v="1037"/>
    <n v="31"/>
    <s v="26-35"/>
    <x v="0"/>
    <s v="Travel_Frequently"/>
    <n v="1389"/>
    <x v="1"/>
    <n v="2"/>
    <s v="Medium"/>
    <s v="Life Sciences"/>
    <s v="Medium"/>
    <s v="Male"/>
    <n v="94"/>
    <s v="High"/>
    <s v="Low"/>
    <s v="Laboratory Technician"/>
    <s v="Excellent"/>
    <s v="Married"/>
    <n v="3722"/>
    <n v="21081"/>
    <s v="Low"/>
    <n v="6"/>
    <x v="0"/>
    <n v="13"/>
    <s v="High"/>
    <s v="High"/>
    <n v="1"/>
    <n v="7"/>
    <n v="2"/>
    <n v="1"/>
    <n v="2"/>
    <n v="2"/>
    <n v="2"/>
    <n v="2"/>
  </r>
  <r>
    <n v="1038"/>
    <n v="45"/>
    <s v="36-45"/>
    <x v="1"/>
    <s v="Travel_Rarely"/>
    <n v="1389"/>
    <x v="1"/>
    <n v="29"/>
    <s v="Medium"/>
    <s v="Technical Degree"/>
    <s v="Medium"/>
    <s v="Male"/>
    <n v="55"/>
    <s v="High"/>
    <s v="High"/>
    <s v="Manufacturing Director"/>
    <s v="Excellent"/>
    <s v="Married"/>
    <n v="9380"/>
    <n v="14720"/>
    <s v="Medium"/>
    <n v="4"/>
    <x v="0"/>
    <n v="18"/>
    <s v="High"/>
    <s v="Excellent"/>
    <n v="2"/>
    <n v="10"/>
    <n v="4"/>
    <n v="4"/>
    <n v="3"/>
    <n v="1"/>
    <n v="1"/>
    <n v="2"/>
  </r>
  <r>
    <n v="1039"/>
    <n v="48"/>
    <s v="46-55"/>
    <x v="1"/>
    <s v="Travel_Rarely"/>
    <n v="1389"/>
    <x v="0"/>
    <n v="7"/>
    <s v="Medium"/>
    <s v="Marketing"/>
    <s v="High"/>
    <s v="Male"/>
    <n v="96"/>
    <s v="High"/>
    <s v="Medium"/>
    <s v="Sales Executive"/>
    <s v="Low"/>
    <s v="Divorced"/>
    <n v="5486"/>
    <n v="24795"/>
    <s v="Medium"/>
    <n v="4"/>
    <x v="1"/>
    <n v="11"/>
    <s v="High"/>
    <s v="Low"/>
    <n v="3"/>
    <n v="15"/>
    <n v="3"/>
    <n v="3"/>
    <n v="2"/>
    <n v="2"/>
    <n v="2"/>
    <n v="2"/>
  </r>
  <r>
    <n v="1040"/>
    <n v="34"/>
    <s v="26-35"/>
    <x v="0"/>
    <s v="Travel_Rarely"/>
    <n v="1389"/>
    <x v="2"/>
    <n v="9"/>
    <s v="High"/>
    <s v="Technical Degree"/>
    <s v="Low"/>
    <s v="Female"/>
    <n v="52"/>
    <s v="High"/>
    <s v="Low"/>
    <s v="Human Resources"/>
    <s v="High"/>
    <s v="Married"/>
    <n v="2742"/>
    <n v="3072"/>
    <s v="Low"/>
    <n v="1"/>
    <x v="1"/>
    <n v="15"/>
    <s v="High"/>
    <s v="Excellent"/>
    <n v="0"/>
    <n v="2"/>
    <n v="0"/>
    <n v="3"/>
    <n v="2"/>
    <n v="2"/>
    <n v="2"/>
    <n v="2"/>
  </r>
  <r>
    <n v="1041"/>
    <n v="40"/>
    <s v="36-45"/>
    <x v="1"/>
    <s v="Non-Travel"/>
    <n v="1389"/>
    <x v="1"/>
    <n v="8"/>
    <s v="Low"/>
    <s v="Medical"/>
    <s v="Excellent"/>
    <s v="Male"/>
    <n v="55"/>
    <s v="Medium"/>
    <s v="High"/>
    <s v="Research Director"/>
    <s v="Medium"/>
    <s v="Divorced"/>
    <n v="13757"/>
    <n v="25178"/>
    <s v="High"/>
    <n v="2"/>
    <x v="1"/>
    <n v="11"/>
    <s v="High"/>
    <s v="High"/>
    <n v="1"/>
    <n v="16"/>
    <n v="5"/>
    <n v="3"/>
    <n v="9"/>
    <n v="8"/>
    <n v="4"/>
    <n v="8"/>
  </r>
  <r>
    <n v="1042"/>
    <n v="28"/>
    <s v="26-35"/>
    <x v="1"/>
    <s v="Travel_Rarely"/>
    <n v="1389"/>
    <x v="0"/>
    <n v="5"/>
    <s v="Medium"/>
    <s v="Medical"/>
    <s v="Excellent"/>
    <s v="Male"/>
    <n v="84"/>
    <s v="High"/>
    <s v="Medium"/>
    <s v="Sales Executive"/>
    <s v="Low"/>
    <s v="Single"/>
    <n v="8463"/>
    <n v="23490"/>
    <s v="Medium"/>
    <n v="0"/>
    <x v="1"/>
    <n v="18"/>
    <s v="High"/>
    <s v="Excellent"/>
    <n v="0"/>
    <n v="6"/>
    <n v="4"/>
    <n v="3"/>
    <n v="5"/>
    <n v="4"/>
    <n v="1"/>
    <n v="3"/>
  </r>
  <r>
    <n v="1043"/>
    <n v="44"/>
    <s v="36-45"/>
    <x v="1"/>
    <s v="Non-Travel"/>
    <n v="1389"/>
    <x v="1"/>
    <n v="5"/>
    <s v="Medium"/>
    <s v="Life Sciences"/>
    <s v="High"/>
    <s v="Male"/>
    <n v="90"/>
    <s v="Medium"/>
    <s v="Low"/>
    <s v="Laboratory Technician"/>
    <s v="High"/>
    <s v="Single"/>
    <n v="3162"/>
    <n v="7973"/>
    <s v="Low"/>
    <n v="3"/>
    <x v="1"/>
    <n v="14"/>
    <s v="High"/>
    <s v="Excellent"/>
    <n v="0"/>
    <n v="7"/>
    <n v="5"/>
    <n v="3"/>
    <n v="5"/>
    <n v="2"/>
    <n v="0"/>
    <n v="3"/>
  </r>
  <r>
    <n v="1044"/>
    <n v="53"/>
    <s v="46-55"/>
    <x v="1"/>
    <s v="Travel_Rarely"/>
    <n v="1389"/>
    <x v="1"/>
    <n v="2"/>
    <s v="Medium"/>
    <s v="Medical"/>
    <s v="Excellent"/>
    <s v="Male"/>
    <n v="39"/>
    <s v="Excellent"/>
    <s v="Excellent"/>
    <s v="Research Director"/>
    <s v="Medium"/>
    <s v="Single"/>
    <n v="16598"/>
    <n v="19764"/>
    <s v="High"/>
    <n v="4"/>
    <x v="1"/>
    <n v="12"/>
    <s v="High"/>
    <s v="Medium"/>
    <n v="0"/>
    <n v="35"/>
    <n v="2"/>
    <n v="2"/>
    <n v="9"/>
    <n v="8"/>
    <n v="8"/>
    <n v="8"/>
  </r>
  <r>
    <n v="1045"/>
    <n v="49"/>
    <s v="46-55"/>
    <x v="1"/>
    <s v="Travel_Rarely"/>
    <n v="1389"/>
    <x v="1"/>
    <n v="5"/>
    <s v="High"/>
    <s v="Technical Degree"/>
    <s v="Low"/>
    <s v="Male"/>
    <n v="96"/>
    <s v="High"/>
    <s v="Medium"/>
    <s v="Healthcare Representative"/>
    <s v="High"/>
    <s v="Married"/>
    <n v="6651"/>
    <n v="21534"/>
    <s v="Medium"/>
    <n v="2"/>
    <x v="1"/>
    <n v="14"/>
    <s v="High"/>
    <s v="Medium"/>
    <n v="1"/>
    <n v="20"/>
    <n v="0"/>
    <n v="2"/>
    <n v="3"/>
    <n v="2"/>
    <n v="1"/>
    <n v="2"/>
  </r>
  <r>
    <n v="1046"/>
    <n v="40"/>
    <s v="36-45"/>
    <x v="1"/>
    <s v="Travel_Rarely"/>
    <n v="1389"/>
    <x v="1"/>
    <n v="2"/>
    <s v="Medium"/>
    <s v="Medical"/>
    <s v="High"/>
    <s v="Male"/>
    <n v="68"/>
    <s v="High"/>
    <s v="Low"/>
    <s v="Research Scientist"/>
    <s v="High"/>
    <s v="Divorced"/>
    <n v="2345"/>
    <n v="8045"/>
    <s v="Low"/>
    <n v="2"/>
    <x v="1"/>
    <n v="14"/>
    <s v="High"/>
    <s v="High"/>
    <n v="1"/>
    <n v="8"/>
    <n v="3"/>
    <n v="4"/>
    <n v="3"/>
    <n v="1"/>
    <n v="1"/>
    <n v="2"/>
  </r>
  <r>
    <n v="1047"/>
    <n v="44"/>
    <s v="36-45"/>
    <x v="1"/>
    <s v="Travel_Rarely"/>
    <n v="1389"/>
    <x v="1"/>
    <n v="20"/>
    <s v="Medium"/>
    <s v="Life Sciences"/>
    <s v="Excellent"/>
    <s v="Male"/>
    <n v="49"/>
    <s v="High"/>
    <s v="Low"/>
    <s v="Research Scientist"/>
    <s v="Medium"/>
    <s v="Single"/>
    <n v="3420"/>
    <n v="21158"/>
    <s v="Low"/>
    <n v="1"/>
    <x v="1"/>
    <n v="13"/>
    <s v="High"/>
    <s v="High"/>
    <n v="0"/>
    <n v="6"/>
    <n v="3"/>
    <n v="2"/>
    <n v="5"/>
    <n v="2"/>
    <n v="1"/>
    <n v="3"/>
  </r>
  <r>
    <n v="1048"/>
    <n v="33"/>
    <s v="26-35"/>
    <x v="1"/>
    <s v="Travel_Frequently"/>
    <n v="1389"/>
    <x v="0"/>
    <n v="7"/>
    <s v="Medium"/>
    <s v="Medical"/>
    <s v="Excellent"/>
    <s v="Male"/>
    <n v="54"/>
    <s v="High"/>
    <s v="Medium"/>
    <s v="Sales Executive"/>
    <s v="Low"/>
    <s v="Married"/>
    <n v="4373"/>
    <n v="17456"/>
    <s v="Low"/>
    <n v="0"/>
    <x v="1"/>
    <n v="14"/>
    <s v="High"/>
    <s v="Low"/>
    <n v="2"/>
    <n v="5"/>
    <n v="2"/>
    <n v="3"/>
    <n v="4"/>
    <n v="3"/>
    <n v="0"/>
    <n v="3"/>
  </r>
  <r>
    <n v="1049"/>
    <n v="34"/>
    <s v="26-35"/>
    <x v="1"/>
    <s v="Travel_Rarely"/>
    <n v="1389"/>
    <x v="0"/>
    <n v="3"/>
    <s v="Medium"/>
    <s v="Other"/>
    <s v="Excellent"/>
    <s v="Male"/>
    <n v="81"/>
    <s v="Low"/>
    <s v="Medium"/>
    <s v="Sales Executive"/>
    <s v="Low"/>
    <s v="Single"/>
    <n v="4759"/>
    <n v="15891"/>
    <s v="Low"/>
    <n v="3"/>
    <x v="1"/>
    <n v="18"/>
    <s v="High"/>
    <s v="Excellent"/>
    <n v="0"/>
    <n v="15"/>
    <n v="2"/>
    <n v="3"/>
    <n v="13"/>
    <n v="9"/>
    <n v="3"/>
    <n v="12"/>
  </r>
  <r>
    <n v="1050"/>
    <n v="30"/>
    <s v="26-35"/>
    <x v="1"/>
    <s v="Travel_Rarely"/>
    <n v="1389"/>
    <x v="0"/>
    <n v="16"/>
    <s v="Low"/>
    <s v="Life Sciences"/>
    <s v="Excellent"/>
    <s v="Male"/>
    <n v="96"/>
    <s v="High"/>
    <s v="Medium"/>
    <s v="Sales Executive"/>
    <s v="High"/>
    <s v="Married"/>
    <n v="5301"/>
    <n v="2939"/>
    <s v="Medium"/>
    <n v="8"/>
    <x v="1"/>
    <n v="15"/>
    <s v="High"/>
    <s v="High"/>
    <n v="2"/>
    <n v="4"/>
    <n v="2"/>
    <n v="2"/>
    <n v="2"/>
    <n v="1"/>
    <n v="2"/>
    <n v="2"/>
  </r>
  <r>
    <n v="1051"/>
    <n v="42"/>
    <s v="36-45"/>
    <x v="1"/>
    <s v="Travel_Frequently"/>
    <n v="1389"/>
    <x v="1"/>
    <n v="9"/>
    <s v="Good"/>
    <s v="Medical"/>
    <s v="Low"/>
    <s v="Female"/>
    <n v="74"/>
    <s v="High"/>
    <s v="Low"/>
    <s v="Laboratory Technician"/>
    <s v="Excellent"/>
    <s v="Single"/>
    <n v="3673"/>
    <n v="16458"/>
    <s v="Low"/>
    <n v="1"/>
    <x v="1"/>
    <n v="13"/>
    <s v="High"/>
    <s v="High"/>
    <n v="0"/>
    <n v="12"/>
    <n v="3"/>
    <n v="3"/>
    <n v="12"/>
    <n v="9"/>
    <n v="5"/>
    <n v="8"/>
  </r>
  <r>
    <n v="1052"/>
    <n v="44"/>
    <s v="36-45"/>
    <x v="1"/>
    <s v="Travel_Frequently"/>
    <n v="1389"/>
    <x v="0"/>
    <n v="1"/>
    <s v="Excellent"/>
    <s v="Marketing"/>
    <s v="Low"/>
    <s v="Female"/>
    <n v="79"/>
    <s v="High"/>
    <s v="Medium"/>
    <s v="Sales Executive"/>
    <s v="High"/>
    <s v="Married"/>
    <n v="4768"/>
    <n v="9282"/>
    <s v="Low"/>
    <n v="7"/>
    <x v="1"/>
    <n v="12"/>
    <s v="High"/>
    <s v="High"/>
    <n v="1"/>
    <n v="11"/>
    <n v="4"/>
    <n v="2"/>
    <n v="1"/>
    <n v="0"/>
    <n v="0"/>
    <n v="0"/>
  </r>
  <r>
    <n v="1053"/>
    <n v="30"/>
    <s v="26-35"/>
    <x v="1"/>
    <s v="Non-Travel"/>
    <n v="1389"/>
    <x v="1"/>
    <n v="7"/>
    <s v="Medium"/>
    <s v="Technical Degree"/>
    <s v="High"/>
    <s v="Male"/>
    <n v="64"/>
    <s v="High"/>
    <s v="Low"/>
    <s v="Research Scientist"/>
    <s v="High"/>
    <s v="Divorced"/>
    <n v="1274"/>
    <n v="7152"/>
    <s v="Low"/>
    <n v="1"/>
    <x v="1"/>
    <n v="13"/>
    <s v="High"/>
    <s v="Medium"/>
    <n v="2"/>
    <n v="1"/>
    <n v="2"/>
    <n v="2"/>
    <n v="1"/>
    <n v="0"/>
    <n v="0"/>
    <n v="0"/>
  </r>
  <r>
    <n v="1054"/>
    <n v="57"/>
    <s v="55+"/>
    <x v="1"/>
    <s v="Travel_Rarely"/>
    <n v="1389"/>
    <x v="1"/>
    <n v="1"/>
    <s v="Good"/>
    <s v="Life Sciences"/>
    <s v="Medium"/>
    <s v="Male"/>
    <n v="93"/>
    <s v="Excellent"/>
    <s v="Medium"/>
    <s v="Research Scientist"/>
    <s v="High"/>
    <s v="Married"/>
    <n v="4900"/>
    <n v="2721"/>
    <s v="Low"/>
    <n v="0"/>
    <x v="1"/>
    <n v="24"/>
    <s v="Excellent"/>
    <s v="Low"/>
    <n v="1"/>
    <n v="13"/>
    <n v="2"/>
    <n v="2"/>
    <n v="12"/>
    <n v="9"/>
    <n v="2"/>
    <n v="8"/>
  </r>
  <r>
    <n v="1055"/>
    <n v="49"/>
    <s v="46-55"/>
    <x v="1"/>
    <s v="Travel_Rarely"/>
    <n v="1389"/>
    <x v="1"/>
    <n v="7"/>
    <s v="High"/>
    <s v="Life Sciences"/>
    <s v="High"/>
    <s v="Male"/>
    <n v="35"/>
    <s v="High"/>
    <s v="High"/>
    <s v="Healthcare Representative"/>
    <s v="Medium"/>
    <s v="Divorced"/>
    <n v="10466"/>
    <n v="20948"/>
    <s v="High"/>
    <n v="3"/>
    <x v="1"/>
    <n v="14"/>
    <s v="High"/>
    <s v="Medium"/>
    <n v="2"/>
    <n v="29"/>
    <n v="3"/>
    <n v="3"/>
    <n v="8"/>
    <n v="7"/>
    <n v="0"/>
    <n v="7"/>
  </r>
  <r>
    <n v="1056"/>
    <n v="34"/>
    <s v="26-35"/>
    <x v="1"/>
    <s v="Travel_Frequently"/>
    <n v="1389"/>
    <x v="1"/>
    <n v="15"/>
    <s v="Medium"/>
    <s v="Medical"/>
    <s v="Medium"/>
    <s v="Male"/>
    <n v="71"/>
    <s v="High"/>
    <s v="Excellent"/>
    <s v="Research Director"/>
    <s v="Low"/>
    <s v="Divorced"/>
    <n v="17007"/>
    <n v="11929"/>
    <s v="High"/>
    <n v="7"/>
    <x v="1"/>
    <n v="14"/>
    <s v="High"/>
    <s v="Excellent"/>
    <n v="2"/>
    <n v="16"/>
    <n v="3"/>
    <n v="2"/>
    <n v="14"/>
    <n v="8"/>
    <n v="6"/>
    <n v="9"/>
  </r>
  <r>
    <n v="1057"/>
    <n v="28"/>
    <s v="26-35"/>
    <x v="0"/>
    <s v="Travel_Frequently"/>
    <n v="1389"/>
    <x v="0"/>
    <n v="1"/>
    <s v="Medium"/>
    <s v="Technical Degree"/>
    <s v="Low"/>
    <s v="Male"/>
    <n v="92"/>
    <s v="High"/>
    <s v="Low"/>
    <s v="Sales Representative"/>
    <s v="High"/>
    <s v="Married"/>
    <n v="2909"/>
    <n v="15747"/>
    <s v="Low"/>
    <n v="3"/>
    <x v="1"/>
    <n v="15"/>
    <s v="High"/>
    <s v="Excellent"/>
    <n v="1"/>
    <n v="5"/>
    <n v="3"/>
    <n v="4"/>
    <n v="3"/>
    <n v="2"/>
    <n v="1"/>
    <n v="2"/>
  </r>
  <r>
    <n v="1058"/>
    <n v="29"/>
    <s v="26-35"/>
    <x v="0"/>
    <s v="Travel_Frequently"/>
    <n v="1389"/>
    <x v="0"/>
    <n v="13"/>
    <s v="Medium"/>
    <s v="Technical Degree"/>
    <s v="Low"/>
    <s v="Female"/>
    <n v="51"/>
    <s v="High"/>
    <s v="Medium"/>
    <s v="Sales Executive"/>
    <s v="Medium"/>
    <s v="Single"/>
    <n v="5765"/>
    <n v="17485"/>
    <s v="Medium"/>
    <n v="5"/>
    <x v="1"/>
    <n v="11"/>
    <s v="High"/>
    <s v="Low"/>
    <n v="0"/>
    <n v="7"/>
    <n v="4"/>
    <n v="1"/>
    <n v="5"/>
    <n v="3"/>
    <n v="0"/>
    <n v="0"/>
  </r>
  <r>
    <n v="1059"/>
    <n v="34"/>
    <s v="26-35"/>
    <x v="0"/>
    <s v="Travel_Rarely"/>
    <n v="1389"/>
    <x v="0"/>
    <n v="24"/>
    <s v="High"/>
    <s v="Medical"/>
    <s v="Low"/>
    <s v="Female"/>
    <n v="40"/>
    <s v="Medium"/>
    <s v="Medium"/>
    <s v="Sales Executive"/>
    <s v="Medium"/>
    <s v="Single"/>
    <n v="4599"/>
    <n v="7815"/>
    <s v="Low"/>
    <n v="0"/>
    <x v="0"/>
    <n v="23"/>
    <s v="Excellent"/>
    <s v="High"/>
    <n v="0"/>
    <n v="16"/>
    <n v="2"/>
    <n v="4"/>
    <n v="15"/>
    <n v="9"/>
    <n v="10"/>
    <n v="10"/>
  </r>
  <r>
    <n v="1060"/>
    <n v="35"/>
    <s v="26-35"/>
    <x v="1"/>
    <s v="Travel_Rarely"/>
    <n v="1389"/>
    <x v="0"/>
    <n v="7"/>
    <s v="Low"/>
    <s v="Life Sciences"/>
    <s v="Excellent"/>
    <s v="Male"/>
    <n v="76"/>
    <s v="High"/>
    <s v="Low"/>
    <s v="Sales Representative"/>
    <s v="High"/>
    <s v="Married"/>
    <n v="2404"/>
    <n v="16192"/>
    <s v="Low"/>
    <n v="1"/>
    <x v="1"/>
    <n v="13"/>
    <s v="High"/>
    <s v="Low"/>
    <n v="1"/>
    <n v="1"/>
    <n v="3"/>
    <n v="3"/>
    <n v="1"/>
    <n v="0"/>
    <n v="0"/>
    <n v="0"/>
  </r>
  <r>
    <n v="1061"/>
    <n v="24"/>
    <s v="18-25"/>
    <x v="0"/>
    <s v="Travel_Frequently"/>
    <n v="1389"/>
    <x v="1"/>
    <n v="9"/>
    <s v="Medium"/>
    <s v="Medical"/>
    <s v="Medium"/>
    <s v="Male"/>
    <n v="89"/>
    <s v="High"/>
    <s v="Low"/>
    <s v="Laboratory Technician"/>
    <s v="Low"/>
    <s v="Single"/>
    <n v="3172"/>
    <n v="16998"/>
    <s v="Low"/>
    <n v="2"/>
    <x v="0"/>
    <n v="11"/>
    <s v="High"/>
    <s v="High"/>
    <n v="0"/>
    <n v="4"/>
    <n v="2"/>
    <n v="2"/>
    <n v="0"/>
    <n v="0"/>
    <n v="0"/>
    <n v="0"/>
  </r>
  <r>
    <n v="1062"/>
    <n v="24"/>
    <s v="18-25"/>
    <x v="1"/>
    <s v="Non-Travel"/>
    <n v="1389"/>
    <x v="0"/>
    <n v="13"/>
    <s v="Good"/>
    <s v="Life Sciences"/>
    <s v="Excellent"/>
    <s v="Female"/>
    <n v="78"/>
    <s v="High"/>
    <s v="Low"/>
    <s v="Sales Representative"/>
    <s v="Medium"/>
    <s v="Married"/>
    <n v="2033"/>
    <n v="7103"/>
    <s v="Low"/>
    <n v="1"/>
    <x v="1"/>
    <n v="13"/>
    <s v="High"/>
    <s v="High"/>
    <n v="1"/>
    <n v="1"/>
    <n v="2"/>
    <n v="3"/>
    <n v="1"/>
    <n v="0"/>
    <n v="0"/>
    <n v="0"/>
  </r>
  <r>
    <n v="1063"/>
    <n v="44"/>
    <s v="36-45"/>
    <x v="1"/>
    <s v="Travel_Frequently"/>
    <n v="1389"/>
    <x v="1"/>
    <n v="2"/>
    <s v="Low"/>
    <s v="Medical"/>
    <s v="Medium"/>
    <s v="Male"/>
    <n v="86"/>
    <s v="High"/>
    <s v="High"/>
    <s v="Manufacturing Director"/>
    <s v="High"/>
    <s v="Single"/>
    <n v="10209"/>
    <n v="19719"/>
    <s v="High"/>
    <n v="5"/>
    <x v="0"/>
    <n v="18"/>
    <s v="High"/>
    <s v="Medium"/>
    <n v="0"/>
    <n v="16"/>
    <n v="2"/>
    <n v="2"/>
    <n v="2"/>
    <n v="2"/>
    <n v="2"/>
    <n v="2"/>
  </r>
  <r>
    <n v="1064"/>
    <n v="29"/>
    <s v="26-35"/>
    <x v="1"/>
    <s v="Travel_Rarely"/>
    <n v="1389"/>
    <x v="0"/>
    <n v="19"/>
    <s v="Medium"/>
    <s v="Life Sciences"/>
    <s v="High"/>
    <s v="Male"/>
    <n v="77"/>
    <s v="Medium"/>
    <s v="Medium"/>
    <s v="Sales Executive"/>
    <s v="High"/>
    <s v="Divorced"/>
    <n v="8620"/>
    <n v="23757"/>
    <s v="Medium"/>
    <n v="1"/>
    <x v="1"/>
    <n v="14"/>
    <s v="High"/>
    <s v="High"/>
    <n v="2"/>
    <n v="10"/>
    <n v="3"/>
    <n v="3"/>
    <n v="10"/>
    <n v="7"/>
    <n v="0"/>
    <n v="4"/>
  </r>
  <r>
    <n v="1065"/>
    <n v="30"/>
    <s v="26-35"/>
    <x v="1"/>
    <s v="Travel_Rarely"/>
    <n v="1389"/>
    <x v="2"/>
    <n v="1"/>
    <s v="Medium"/>
    <s v="Life Sciences"/>
    <s v="High"/>
    <s v="Male"/>
    <n v="46"/>
    <s v="High"/>
    <s v="Low"/>
    <s v="Human Resources"/>
    <s v="High"/>
    <s v="Divorced"/>
    <n v="2064"/>
    <n v="15428"/>
    <s v="Low"/>
    <n v="0"/>
    <x v="1"/>
    <n v="21"/>
    <s v="Excellent"/>
    <s v="Low"/>
    <n v="1"/>
    <n v="6"/>
    <n v="3"/>
    <n v="4"/>
    <n v="5"/>
    <n v="3"/>
    <n v="1"/>
    <n v="3"/>
  </r>
  <r>
    <n v="1066"/>
    <n v="55"/>
    <s v="46-55"/>
    <x v="1"/>
    <s v="Travel_Rarely"/>
    <n v="1389"/>
    <x v="1"/>
    <n v="4"/>
    <s v="High"/>
    <s v="Life Sciences"/>
    <s v="Excellent"/>
    <s v="Male"/>
    <n v="30"/>
    <s v="High"/>
    <s v="Medium"/>
    <s v="Healthcare Representative"/>
    <s v="High"/>
    <s v="Married"/>
    <n v="4035"/>
    <n v="16143"/>
    <s v="Low"/>
    <n v="0"/>
    <x v="0"/>
    <n v="16"/>
    <s v="High"/>
    <s v="Medium"/>
    <n v="0"/>
    <n v="4"/>
    <n v="2"/>
    <n v="3"/>
    <n v="3"/>
    <n v="2"/>
    <n v="1"/>
    <n v="2"/>
  </r>
  <r>
    <n v="1067"/>
    <n v="33"/>
    <s v="26-35"/>
    <x v="1"/>
    <s v="Travel_Rarely"/>
    <n v="1389"/>
    <x v="1"/>
    <n v="4"/>
    <s v="High"/>
    <s v="Medical"/>
    <s v="Low"/>
    <s v="Female"/>
    <n v="82"/>
    <s v="Medium"/>
    <s v="Low"/>
    <s v="Laboratory Technician"/>
    <s v="Medium"/>
    <s v="Married"/>
    <n v="3838"/>
    <n v="8192"/>
    <s v="Low"/>
    <n v="8"/>
    <x v="1"/>
    <n v="11"/>
    <s v="High"/>
    <s v="Excellent"/>
    <n v="0"/>
    <n v="8"/>
    <n v="5"/>
    <n v="3"/>
    <n v="5"/>
    <n v="4"/>
    <n v="0"/>
    <n v="2"/>
  </r>
  <r>
    <n v="1068"/>
    <n v="47"/>
    <s v="46-55"/>
    <x v="1"/>
    <s v="Travel_Rarely"/>
    <n v="1389"/>
    <x v="0"/>
    <n v="14"/>
    <s v="Medium"/>
    <s v="Medical"/>
    <s v="High"/>
    <s v="Female"/>
    <n v="78"/>
    <s v="High"/>
    <s v="Medium"/>
    <s v="Sales Executive"/>
    <s v="High"/>
    <s v="Married"/>
    <n v="4591"/>
    <n v="24200"/>
    <s v="Low"/>
    <n v="3"/>
    <x v="0"/>
    <n v="17"/>
    <s v="High"/>
    <s v="High"/>
    <n v="1"/>
    <n v="11"/>
    <n v="4"/>
    <n v="2"/>
    <n v="5"/>
    <n v="4"/>
    <n v="1"/>
    <n v="2"/>
  </r>
  <r>
    <n v="1069"/>
    <n v="28"/>
    <s v="26-35"/>
    <x v="0"/>
    <s v="Travel_Frequently"/>
    <n v="1389"/>
    <x v="1"/>
    <n v="2"/>
    <s v="Good"/>
    <s v="Medical"/>
    <s v="High"/>
    <s v="Male"/>
    <n v="38"/>
    <s v="Medium"/>
    <s v="Low"/>
    <s v="Laboratory Technician"/>
    <s v="Low"/>
    <s v="Single"/>
    <n v="2561"/>
    <n v="5355"/>
    <s v="Low"/>
    <n v="7"/>
    <x v="1"/>
    <n v="11"/>
    <s v="High"/>
    <s v="High"/>
    <n v="0"/>
    <n v="8"/>
    <n v="2"/>
    <n v="2"/>
    <n v="0"/>
    <n v="0"/>
    <n v="0"/>
    <n v="0"/>
  </r>
  <r>
    <n v="1070"/>
    <n v="28"/>
    <s v="26-35"/>
    <x v="1"/>
    <s v="Travel_Rarely"/>
    <n v="1389"/>
    <x v="1"/>
    <n v="1"/>
    <s v="Medium"/>
    <s v="Life Sciences"/>
    <s v="Low"/>
    <s v="Male"/>
    <n v="72"/>
    <s v="Medium"/>
    <s v="Low"/>
    <s v="Research Scientist"/>
    <s v="High"/>
    <s v="Divorced"/>
    <n v="1563"/>
    <n v="12530"/>
    <s v="Low"/>
    <n v="1"/>
    <x v="1"/>
    <n v="14"/>
    <s v="High"/>
    <s v="Excellent"/>
    <n v="1"/>
    <n v="1"/>
    <n v="2"/>
    <n v="1"/>
    <n v="1"/>
    <n v="0"/>
    <n v="0"/>
    <n v="0"/>
  </r>
  <r>
    <n v="1071"/>
    <n v="28"/>
    <s v="26-35"/>
    <x v="1"/>
    <s v="Travel_Frequently"/>
    <n v="1389"/>
    <x v="0"/>
    <n v="7"/>
    <s v="Medium"/>
    <s v="Life Sciences"/>
    <s v="High"/>
    <s v="Male"/>
    <n v="55"/>
    <s v="High"/>
    <s v="Medium"/>
    <s v="Sales Executive"/>
    <s v="Low"/>
    <s v="Single"/>
    <n v="4898"/>
    <n v="11827"/>
    <s v="Low"/>
    <n v="0"/>
    <x v="1"/>
    <n v="14"/>
    <s v="High"/>
    <s v="Excellent"/>
    <n v="0"/>
    <n v="5"/>
    <n v="5"/>
    <n v="3"/>
    <n v="4"/>
    <n v="2"/>
    <n v="1"/>
    <n v="3"/>
  </r>
  <r>
    <n v="1072"/>
    <n v="49"/>
    <s v="46-55"/>
    <x v="1"/>
    <s v="Travel_Rarely"/>
    <n v="1389"/>
    <x v="1"/>
    <n v="3"/>
    <s v="Good"/>
    <s v="Medical"/>
    <s v="High"/>
    <s v="Female"/>
    <n v="43"/>
    <s v="Medium"/>
    <s v="Medium"/>
    <s v="Laboratory Technician"/>
    <s v="Low"/>
    <s v="Married"/>
    <n v="4789"/>
    <n v="23070"/>
    <s v="Low"/>
    <n v="4"/>
    <x v="1"/>
    <n v="25"/>
    <s v="Excellent"/>
    <s v="Low"/>
    <n v="1"/>
    <n v="10"/>
    <n v="3"/>
    <n v="3"/>
    <n v="3"/>
    <n v="2"/>
    <n v="1"/>
    <n v="2"/>
  </r>
  <r>
    <n v="1073"/>
    <n v="29"/>
    <s v="26-35"/>
    <x v="1"/>
    <s v="Travel_Frequently"/>
    <n v="1389"/>
    <x v="1"/>
    <n v="2"/>
    <s v="Low"/>
    <s v="Life Sciences"/>
    <s v="Excellent"/>
    <s v="Female"/>
    <n v="97"/>
    <s v="High"/>
    <s v="Low"/>
    <s v="Laboratory Technician"/>
    <s v="Medium"/>
    <s v="Married"/>
    <n v="3180"/>
    <n v="4668"/>
    <s v="Low"/>
    <n v="0"/>
    <x v="1"/>
    <n v="13"/>
    <s v="High"/>
    <s v="High"/>
    <n v="3"/>
    <n v="4"/>
    <n v="3"/>
    <n v="3"/>
    <n v="3"/>
    <n v="2"/>
    <n v="0"/>
    <n v="2"/>
  </r>
  <r>
    <n v="1074"/>
    <n v="28"/>
    <s v="26-35"/>
    <x v="1"/>
    <s v="Travel_Rarely"/>
    <n v="1389"/>
    <x v="1"/>
    <n v="29"/>
    <s v="Low"/>
    <s v="Life Sciences"/>
    <s v="High"/>
    <s v="Male"/>
    <n v="96"/>
    <s v="Low"/>
    <s v="Medium"/>
    <s v="Manufacturing Director"/>
    <s v="Medium"/>
    <s v="Married"/>
    <n v="6549"/>
    <n v="3173"/>
    <s v="Medium"/>
    <n v="1"/>
    <x v="1"/>
    <n v="14"/>
    <s v="High"/>
    <s v="Medium"/>
    <n v="2"/>
    <n v="8"/>
    <n v="2"/>
    <n v="2"/>
    <n v="8"/>
    <n v="6"/>
    <n v="1"/>
    <n v="7"/>
  </r>
  <r>
    <n v="1075"/>
    <n v="33"/>
    <s v="26-35"/>
    <x v="1"/>
    <s v="Travel_Rarely"/>
    <n v="1389"/>
    <x v="1"/>
    <n v="8"/>
    <s v="Excellent"/>
    <s v="Life Sciences"/>
    <s v="Excellent"/>
    <s v="Male"/>
    <n v="69"/>
    <s v="High"/>
    <s v="Medium"/>
    <s v="Healthcare Representative"/>
    <s v="High"/>
    <s v="Single"/>
    <n v="6388"/>
    <n v="22049"/>
    <s v="Medium"/>
    <n v="2"/>
    <x v="0"/>
    <n v="17"/>
    <s v="High"/>
    <s v="Low"/>
    <n v="0"/>
    <n v="14"/>
    <n v="6"/>
    <n v="3"/>
    <n v="0"/>
    <n v="0"/>
    <n v="0"/>
    <n v="0"/>
  </r>
  <r>
    <n v="1076"/>
    <n v="32"/>
    <s v="26-35"/>
    <x v="1"/>
    <s v="Travel_Rarely"/>
    <n v="1389"/>
    <x v="1"/>
    <n v="10"/>
    <s v="Medium"/>
    <s v="Medical"/>
    <s v="High"/>
    <s v="Male"/>
    <n v="64"/>
    <s v="High"/>
    <s v="High"/>
    <s v="Manager"/>
    <s v="Excellent"/>
    <s v="Single"/>
    <n v="11244"/>
    <n v="21072"/>
    <s v="High"/>
    <n v="2"/>
    <x v="1"/>
    <n v="25"/>
    <s v="Excellent"/>
    <s v="Medium"/>
    <n v="0"/>
    <n v="10"/>
    <n v="5"/>
    <n v="4"/>
    <n v="5"/>
    <n v="2"/>
    <n v="0"/>
    <n v="0"/>
  </r>
  <r>
    <n v="1077"/>
    <n v="54"/>
    <s v="46-55"/>
    <x v="1"/>
    <s v="Travel_Frequently"/>
    <n v="1389"/>
    <x v="1"/>
    <n v="11"/>
    <s v="High"/>
    <s v="Medical"/>
    <s v="Medium"/>
    <s v="Female"/>
    <n v="87"/>
    <s v="High"/>
    <s v="Excellent"/>
    <s v="Manager"/>
    <s v="Excellent"/>
    <s v="Divorced"/>
    <n v="16032"/>
    <n v="24456"/>
    <s v="High"/>
    <n v="3"/>
    <x v="1"/>
    <n v="20"/>
    <s v="Excellent"/>
    <s v="Low"/>
    <n v="1"/>
    <n v="26"/>
    <n v="2"/>
    <n v="3"/>
    <n v="14"/>
    <n v="9"/>
    <n v="1"/>
    <n v="12"/>
  </r>
  <r>
    <n v="1078"/>
    <n v="29"/>
    <s v="26-35"/>
    <x v="0"/>
    <s v="Travel_Rarely"/>
    <n v="1389"/>
    <x v="1"/>
    <n v="1"/>
    <s v="High"/>
    <s v="Technical Degree"/>
    <s v="Low"/>
    <s v="Male"/>
    <n v="100"/>
    <s v="Medium"/>
    <s v="Low"/>
    <s v="Research Scientist"/>
    <s v="Low"/>
    <s v="Single"/>
    <n v="2362"/>
    <n v="7568"/>
    <s v="Low"/>
    <n v="6"/>
    <x v="1"/>
    <n v="13"/>
    <s v="High"/>
    <s v="High"/>
    <n v="0"/>
    <n v="11"/>
    <n v="2"/>
    <n v="1"/>
    <n v="9"/>
    <n v="7"/>
    <n v="0"/>
    <n v="7"/>
  </r>
  <r>
    <n v="1079"/>
    <n v="44"/>
    <s v="36-45"/>
    <x v="1"/>
    <s v="Travel_Rarely"/>
    <n v="1389"/>
    <x v="1"/>
    <n v="28"/>
    <s v="Medium"/>
    <s v="Life Sciences"/>
    <s v="Excellent"/>
    <s v="Male"/>
    <n v="32"/>
    <s v="High"/>
    <s v="Excellent"/>
    <s v="Research Director"/>
    <s v="Low"/>
    <s v="Married"/>
    <n v="16328"/>
    <n v="22074"/>
    <s v="High"/>
    <n v="3"/>
    <x v="1"/>
    <n v="13"/>
    <s v="High"/>
    <s v="High"/>
    <n v="1"/>
    <n v="24"/>
    <n v="1"/>
    <n v="4"/>
    <n v="20"/>
    <n v="6"/>
    <n v="14"/>
    <n v="17"/>
  </r>
  <r>
    <n v="1080"/>
    <n v="39"/>
    <s v="36-45"/>
    <x v="1"/>
    <s v="Travel_Rarely"/>
    <n v="1389"/>
    <x v="1"/>
    <n v="6"/>
    <s v="Medium"/>
    <s v="Life Sciences"/>
    <s v="Medium"/>
    <s v="Female"/>
    <n v="32"/>
    <s v="High"/>
    <s v="High"/>
    <s v="Manufacturing Director"/>
    <s v="Medium"/>
    <s v="Single"/>
    <n v="8376"/>
    <n v="9150"/>
    <s v="Medium"/>
    <n v="4"/>
    <x v="1"/>
    <n v="18"/>
    <s v="High"/>
    <s v="Excellent"/>
    <n v="0"/>
    <n v="9"/>
    <n v="3"/>
    <n v="3"/>
    <n v="2"/>
    <n v="0"/>
    <n v="2"/>
    <n v="2"/>
  </r>
  <r>
    <n v="1081"/>
    <n v="46"/>
    <s v="46-55"/>
    <x v="1"/>
    <s v="Travel_Rarely"/>
    <n v="1389"/>
    <x v="0"/>
    <n v="3"/>
    <s v="Medium"/>
    <s v="Life Sciences"/>
    <s v="High"/>
    <s v="Female"/>
    <n v="51"/>
    <s v="High"/>
    <s v="Excellent"/>
    <s v="Manager"/>
    <s v="Medium"/>
    <s v="Married"/>
    <n v="16606"/>
    <n v="11380"/>
    <s v="High"/>
    <n v="8"/>
    <x v="1"/>
    <n v="12"/>
    <s v="High"/>
    <s v="Excellent"/>
    <n v="1"/>
    <n v="23"/>
    <n v="2"/>
    <n v="4"/>
    <n v="13"/>
    <n v="12"/>
    <n v="5"/>
    <n v="1"/>
  </r>
  <r>
    <n v="1082"/>
    <n v="35"/>
    <s v="26-35"/>
    <x v="1"/>
    <s v="Travel_Rarely"/>
    <n v="1389"/>
    <x v="1"/>
    <n v="16"/>
    <s v="Medium"/>
    <s v="Life Sciences"/>
    <s v="Excellent"/>
    <s v="Female"/>
    <n v="91"/>
    <s v="Medium"/>
    <s v="High"/>
    <s v="Healthcare Representative"/>
    <s v="Medium"/>
    <s v="Single"/>
    <n v="8606"/>
    <n v="21195"/>
    <s v="Medium"/>
    <n v="1"/>
    <x v="1"/>
    <n v="19"/>
    <s v="High"/>
    <s v="Excellent"/>
    <n v="0"/>
    <n v="11"/>
    <n v="3"/>
    <n v="1"/>
    <n v="11"/>
    <n v="8"/>
    <n v="3"/>
    <n v="3"/>
  </r>
  <r>
    <n v="1083"/>
    <n v="23"/>
    <s v="18-25"/>
    <x v="1"/>
    <s v="Travel_Rarely"/>
    <n v="1389"/>
    <x v="1"/>
    <n v="20"/>
    <s v="Low"/>
    <s v="Life Sciences"/>
    <s v="Low"/>
    <s v="Male"/>
    <n v="97"/>
    <s v="High"/>
    <s v="Medium"/>
    <s v="Laboratory Technician"/>
    <s v="High"/>
    <s v="Single"/>
    <n v="2272"/>
    <n v="24812"/>
    <s v="Low"/>
    <n v="0"/>
    <x v="1"/>
    <n v="14"/>
    <s v="High"/>
    <s v="Medium"/>
    <n v="0"/>
    <n v="5"/>
    <n v="2"/>
    <n v="3"/>
    <n v="4"/>
    <n v="3"/>
    <n v="1"/>
    <n v="2"/>
  </r>
  <r>
    <n v="1084"/>
    <n v="40"/>
    <s v="36-45"/>
    <x v="0"/>
    <s v="Travel_Rarely"/>
    <n v="1389"/>
    <x v="1"/>
    <n v="9"/>
    <s v="High"/>
    <s v="Life Sciences"/>
    <s v="Excellent"/>
    <s v="Male"/>
    <n v="86"/>
    <s v="High"/>
    <s v="Low"/>
    <s v="Laboratory Technician"/>
    <s v="Low"/>
    <s v="Single"/>
    <n v="2018"/>
    <n v="21831"/>
    <s v="Low"/>
    <n v="3"/>
    <x v="1"/>
    <n v="14"/>
    <s v="High"/>
    <s v="Medium"/>
    <n v="0"/>
    <n v="15"/>
    <n v="3"/>
    <n v="1"/>
    <n v="5"/>
    <n v="4"/>
    <n v="1"/>
    <n v="0"/>
  </r>
  <r>
    <n v="1085"/>
    <n v="34"/>
    <s v="26-35"/>
    <x v="1"/>
    <s v="Travel_Rarely"/>
    <n v="1389"/>
    <x v="0"/>
    <n v="1"/>
    <s v="Medium"/>
    <s v="Technical Degree"/>
    <s v="Excellent"/>
    <s v="Male"/>
    <n v="64"/>
    <s v="Medium"/>
    <s v="High"/>
    <s v="Sales Executive"/>
    <s v="High"/>
    <s v="Married"/>
    <n v="7083"/>
    <n v="12288"/>
    <s v="Medium"/>
    <n v="1"/>
    <x v="0"/>
    <n v="14"/>
    <s v="High"/>
    <s v="Excellent"/>
    <n v="0"/>
    <n v="10"/>
    <n v="3"/>
    <n v="3"/>
    <n v="10"/>
    <n v="9"/>
    <n v="8"/>
    <n v="6"/>
  </r>
  <r>
    <n v="1086"/>
    <n v="31"/>
    <s v="26-35"/>
    <x v="0"/>
    <s v="Travel_Frequently"/>
    <n v="1389"/>
    <x v="1"/>
    <n v="3"/>
    <s v="Medium"/>
    <s v="Life Sciences"/>
    <s v="Excellent"/>
    <s v="Female"/>
    <n v="33"/>
    <s v="High"/>
    <s v="Low"/>
    <s v="Research Scientist"/>
    <s v="High"/>
    <s v="Single"/>
    <n v="4084"/>
    <n v="4156"/>
    <s v="Low"/>
    <n v="1"/>
    <x v="1"/>
    <n v="12"/>
    <s v="High"/>
    <s v="Low"/>
    <n v="0"/>
    <n v="7"/>
    <n v="2"/>
    <n v="1"/>
    <n v="7"/>
    <n v="2"/>
    <n v="7"/>
    <n v="7"/>
  </r>
  <r>
    <n v="1087"/>
    <n v="50"/>
    <s v="46-55"/>
    <x v="1"/>
    <s v="Travel_Frequently"/>
    <n v="1389"/>
    <x v="1"/>
    <n v="22"/>
    <s v="Excellent"/>
    <s v="Medical"/>
    <s v="High"/>
    <s v="Male"/>
    <n v="88"/>
    <s v="Low"/>
    <s v="Excellent"/>
    <s v="Research Director"/>
    <s v="Excellent"/>
    <s v="Single"/>
    <n v="14411"/>
    <n v="24450"/>
    <s v="High"/>
    <n v="1"/>
    <x v="0"/>
    <n v="13"/>
    <s v="High"/>
    <s v="Excellent"/>
    <n v="0"/>
    <n v="32"/>
    <n v="2"/>
    <n v="3"/>
    <n v="32"/>
    <n v="6"/>
    <n v="13"/>
    <n v="9"/>
  </r>
  <r>
    <n v="1088"/>
    <n v="34"/>
    <s v="26-35"/>
    <x v="1"/>
    <s v="Travel_Rarely"/>
    <n v="1389"/>
    <x v="0"/>
    <n v="7"/>
    <s v="Good"/>
    <s v="Technical Degree"/>
    <s v="Medium"/>
    <s v="Male"/>
    <n v="55"/>
    <s v="High"/>
    <s v="Low"/>
    <s v="Sales Representative"/>
    <s v="High"/>
    <s v="Married"/>
    <n v="2308"/>
    <n v="4944"/>
    <s v="Low"/>
    <n v="0"/>
    <x v="0"/>
    <n v="25"/>
    <s v="Excellent"/>
    <s v="Medium"/>
    <n v="1"/>
    <n v="12"/>
    <n v="4"/>
    <n v="3"/>
    <n v="11"/>
    <n v="10"/>
    <n v="5"/>
    <n v="7"/>
  </r>
  <r>
    <n v="1089"/>
    <n v="42"/>
    <s v="36-45"/>
    <x v="1"/>
    <s v="Travel_Rarely"/>
    <n v="1389"/>
    <x v="1"/>
    <n v="2"/>
    <s v="Medium"/>
    <s v="Medical"/>
    <s v="High"/>
    <s v="Male"/>
    <n v="68"/>
    <s v="Medium"/>
    <s v="Low"/>
    <s v="Laboratory Technician"/>
    <s v="Medium"/>
    <s v="Married"/>
    <n v="4841"/>
    <n v="24052"/>
    <s v="Low"/>
    <n v="4"/>
    <x v="1"/>
    <n v="14"/>
    <s v="High"/>
    <s v="Medium"/>
    <n v="1"/>
    <n v="4"/>
    <n v="3"/>
    <n v="3"/>
    <n v="1"/>
    <n v="0"/>
    <n v="0"/>
    <n v="0"/>
  </r>
  <r>
    <n v="1090"/>
    <n v="37"/>
    <s v="36-45"/>
    <x v="1"/>
    <s v="Travel_Rarely"/>
    <n v="1389"/>
    <x v="1"/>
    <n v="13"/>
    <s v="Medium"/>
    <s v="Medical"/>
    <s v="Low"/>
    <s v="Male"/>
    <n v="47"/>
    <s v="High"/>
    <s v="Medium"/>
    <s v="Research Scientist"/>
    <s v="Excellent"/>
    <s v="Married"/>
    <n v="4285"/>
    <n v="3031"/>
    <s v="Low"/>
    <n v="1"/>
    <x v="1"/>
    <n v="17"/>
    <s v="High"/>
    <s v="Low"/>
    <n v="0"/>
    <n v="10"/>
    <n v="2"/>
    <n v="3"/>
    <n v="10"/>
    <n v="8"/>
    <n v="3"/>
    <n v="7"/>
  </r>
  <r>
    <n v="1091"/>
    <n v="29"/>
    <s v="26-35"/>
    <x v="1"/>
    <s v="Travel_Rarely"/>
    <n v="1389"/>
    <x v="1"/>
    <n v="8"/>
    <s v="Low"/>
    <s v="Other"/>
    <s v="High"/>
    <s v="Female"/>
    <n v="39"/>
    <s v="Low"/>
    <s v="Medium"/>
    <s v="Healthcare Representative"/>
    <s v="Low"/>
    <s v="Married"/>
    <n v="9715"/>
    <n v="7288"/>
    <s v="Medium"/>
    <n v="3"/>
    <x v="1"/>
    <n v="13"/>
    <s v="High"/>
    <s v="High"/>
    <n v="1"/>
    <n v="9"/>
    <n v="3"/>
    <n v="3"/>
    <n v="7"/>
    <n v="7"/>
    <n v="0"/>
    <n v="7"/>
  </r>
  <r>
    <n v="1092"/>
    <n v="33"/>
    <s v="26-35"/>
    <x v="1"/>
    <s v="Travel_Rarely"/>
    <n v="1389"/>
    <x v="1"/>
    <n v="25"/>
    <s v="Medium"/>
    <s v="Life Sciences"/>
    <s v="Excellent"/>
    <s v="Male"/>
    <n v="44"/>
    <s v="Medium"/>
    <s v="Medium"/>
    <s v="Manufacturing Director"/>
    <s v="Medium"/>
    <s v="Single"/>
    <n v="4320"/>
    <n v="24152"/>
    <s v="Low"/>
    <n v="1"/>
    <x v="1"/>
    <n v="13"/>
    <s v="High"/>
    <s v="Excellent"/>
    <n v="0"/>
    <n v="5"/>
    <n v="2"/>
    <n v="3"/>
    <n v="5"/>
    <n v="3"/>
    <n v="0"/>
    <n v="2"/>
  </r>
  <r>
    <n v="1093"/>
    <n v="45"/>
    <s v="36-45"/>
    <x v="1"/>
    <s v="Travel_Rarely"/>
    <n v="1389"/>
    <x v="1"/>
    <n v="28"/>
    <s v="Medium"/>
    <s v="Technical Degree"/>
    <s v="Excellent"/>
    <s v="Male"/>
    <n v="97"/>
    <s v="High"/>
    <s v="Low"/>
    <s v="Research Scientist"/>
    <s v="Excellent"/>
    <s v="Married"/>
    <n v="2132"/>
    <n v="4585"/>
    <s v="Low"/>
    <n v="4"/>
    <x v="1"/>
    <n v="20"/>
    <s v="Excellent"/>
    <s v="Excellent"/>
    <n v="1"/>
    <n v="8"/>
    <n v="3"/>
    <n v="3"/>
    <n v="5"/>
    <n v="4"/>
    <n v="0"/>
    <n v="3"/>
  </r>
  <r>
    <n v="1094"/>
    <n v="42"/>
    <s v="36-45"/>
    <x v="1"/>
    <s v="Travel_Frequently"/>
    <n v="1389"/>
    <x v="1"/>
    <n v="2"/>
    <s v="Medium"/>
    <s v="Life Sciences"/>
    <s v="Excellent"/>
    <s v="Male"/>
    <n v="40"/>
    <s v="High"/>
    <s v="High"/>
    <s v="Healthcare Representative"/>
    <s v="Excellent"/>
    <s v="Married"/>
    <n v="10124"/>
    <n v="18611"/>
    <s v="High"/>
    <n v="2"/>
    <x v="0"/>
    <n v="14"/>
    <s v="High"/>
    <s v="High"/>
    <n v="1"/>
    <n v="24"/>
    <n v="3"/>
    <n v="1"/>
    <n v="20"/>
    <n v="8"/>
    <n v="13"/>
    <n v="9"/>
  </r>
  <r>
    <n v="1095"/>
    <n v="40"/>
    <s v="36-45"/>
    <x v="1"/>
    <s v="Travel_Rarely"/>
    <n v="1389"/>
    <x v="0"/>
    <n v="9"/>
    <s v="Good"/>
    <s v="Medical"/>
    <s v="Low"/>
    <s v="Male"/>
    <n v="47"/>
    <s v="High"/>
    <s v="Medium"/>
    <s v="Sales Executive"/>
    <s v="Low"/>
    <s v="Married"/>
    <n v="5473"/>
    <n v="19345"/>
    <s v="Medium"/>
    <n v="0"/>
    <x v="1"/>
    <n v="12"/>
    <s v="High"/>
    <s v="Excellent"/>
    <n v="0"/>
    <n v="9"/>
    <n v="5"/>
    <n v="4"/>
    <n v="8"/>
    <n v="4"/>
    <n v="7"/>
    <n v="1"/>
  </r>
  <r>
    <n v="1096"/>
    <n v="33"/>
    <s v="26-35"/>
    <x v="1"/>
    <s v="Travel_Rarely"/>
    <n v="1389"/>
    <x v="1"/>
    <n v="28"/>
    <s v="High"/>
    <s v="Life Sciences"/>
    <s v="Medium"/>
    <s v="Male"/>
    <n v="79"/>
    <s v="High"/>
    <s v="Medium"/>
    <s v="Laboratory Technician"/>
    <s v="High"/>
    <s v="Married"/>
    <n v="5207"/>
    <n v="22949"/>
    <s v="Medium"/>
    <n v="1"/>
    <x v="0"/>
    <n v="12"/>
    <s v="High"/>
    <s v="Medium"/>
    <n v="1"/>
    <n v="15"/>
    <n v="3"/>
    <n v="3"/>
    <n v="15"/>
    <n v="14"/>
    <n v="5"/>
    <n v="7"/>
  </r>
  <r>
    <n v="1097"/>
    <n v="40"/>
    <s v="36-45"/>
    <x v="1"/>
    <s v="Travel_Rarely"/>
    <n v="1389"/>
    <x v="2"/>
    <n v="6"/>
    <s v="Good"/>
    <s v="Medical"/>
    <s v="High"/>
    <s v="Male"/>
    <n v="38"/>
    <s v="High"/>
    <s v="Excellent"/>
    <s v="Manager"/>
    <s v="Excellent"/>
    <s v="Single"/>
    <n v="16437"/>
    <n v="17381"/>
    <s v="High"/>
    <n v="1"/>
    <x v="0"/>
    <n v="21"/>
    <s v="Excellent"/>
    <s v="Excellent"/>
    <n v="0"/>
    <n v="21"/>
    <n v="2"/>
    <n v="3"/>
    <n v="21"/>
    <n v="7"/>
    <n v="7"/>
    <n v="7"/>
  </r>
  <r>
    <n v="1098"/>
    <n v="24"/>
    <s v="18-25"/>
    <x v="1"/>
    <s v="Travel_Rarely"/>
    <n v="1389"/>
    <x v="1"/>
    <n v="21"/>
    <s v="Good"/>
    <s v="Technical Degree"/>
    <s v="High"/>
    <s v="Male"/>
    <n v="57"/>
    <s v="Medium"/>
    <s v="Low"/>
    <s v="Laboratory Technician"/>
    <s v="Low"/>
    <s v="Divorced"/>
    <n v="2296"/>
    <n v="10036"/>
    <s v="Low"/>
    <n v="0"/>
    <x v="1"/>
    <n v="14"/>
    <s v="High"/>
    <s v="Medium"/>
    <n v="3"/>
    <n v="2"/>
    <n v="3"/>
    <n v="3"/>
    <n v="1"/>
    <n v="1"/>
    <n v="0"/>
    <n v="0"/>
  </r>
  <r>
    <n v="1099"/>
    <n v="40"/>
    <s v="36-45"/>
    <x v="1"/>
    <s v="Non-Travel"/>
    <n v="1389"/>
    <x v="1"/>
    <n v="8"/>
    <s v="Good"/>
    <s v="Life Sciences"/>
    <s v="Excellent"/>
    <s v="Male"/>
    <n v="72"/>
    <s v="High"/>
    <s v="Medium"/>
    <s v="Healthcare Representative"/>
    <s v="Excellent"/>
    <s v="Divorced"/>
    <n v="4069"/>
    <n v="8841"/>
    <s v="Low"/>
    <n v="3"/>
    <x v="0"/>
    <n v="18"/>
    <s v="High"/>
    <s v="High"/>
    <n v="0"/>
    <n v="8"/>
    <n v="2"/>
    <n v="3"/>
    <n v="2"/>
    <n v="2"/>
    <n v="2"/>
    <n v="2"/>
  </r>
  <r>
    <n v="1100"/>
    <n v="45"/>
    <s v="36-45"/>
    <x v="1"/>
    <s v="Travel_Rarely"/>
    <n v="1389"/>
    <x v="1"/>
    <n v="1"/>
    <s v="High"/>
    <s v="Technical Degree"/>
    <s v="Low"/>
    <s v="Male"/>
    <n v="66"/>
    <s v="High"/>
    <s v="High"/>
    <s v="Healthcare Representative"/>
    <s v="Medium"/>
    <s v="Divorced"/>
    <n v="7441"/>
    <n v="20933"/>
    <s v="Medium"/>
    <n v="1"/>
    <x v="1"/>
    <n v="12"/>
    <s v="High"/>
    <s v="Low"/>
    <n v="3"/>
    <n v="10"/>
    <n v="4"/>
    <n v="3"/>
    <n v="10"/>
    <n v="8"/>
    <n v="7"/>
    <n v="7"/>
  </r>
  <r>
    <n v="1101"/>
    <n v="35"/>
    <s v="26-35"/>
    <x v="1"/>
    <s v="Travel_Rarely"/>
    <n v="1389"/>
    <x v="0"/>
    <n v="28"/>
    <s v="High"/>
    <s v="Life Sciences"/>
    <s v="Medium"/>
    <s v="Female"/>
    <n v="98"/>
    <s v="Medium"/>
    <s v="Low"/>
    <s v="Sales Representative"/>
    <s v="High"/>
    <s v="Married"/>
    <n v="2430"/>
    <n v="26204"/>
    <s v="Low"/>
    <n v="0"/>
    <x v="1"/>
    <n v="23"/>
    <s v="Excellent"/>
    <s v="Low"/>
    <n v="2"/>
    <n v="6"/>
    <n v="5"/>
    <n v="3"/>
    <n v="5"/>
    <n v="3"/>
    <n v="4"/>
    <n v="2"/>
  </r>
  <r>
    <n v="1102"/>
    <n v="32"/>
    <s v="26-35"/>
    <x v="1"/>
    <s v="Travel_Rarely"/>
    <n v="1389"/>
    <x v="1"/>
    <n v="5"/>
    <s v="Good"/>
    <s v="Life Sciences"/>
    <s v="Excellent"/>
    <s v="Female"/>
    <n v="67"/>
    <s v="Medium"/>
    <s v="Medium"/>
    <s v="Research Scientist"/>
    <s v="Medium"/>
    <s v="Married"/>
    <n v="5878"/>
    <n v="15624"/>
    <s v="Medium"/>
    <n v="3"/>
    <x v="1"/>
    <n v="12"/>
    <s v="High"/>
    <s v="Low"/>
    <n v="1"/>
    <n v="12"/>
    <n v="2"/>
    <n v="3"/>
    <n v="7"/>
    <n v="1"/>
    <n v="2"/>
    <n v="5"/>
  </r>
  <r>
    <n v="1103"/>
    <n v="36"/>
    <s v="36-45"/>
    <x v="1"/>
    <s v="Travel_Rarely"/>
    <n v="1389"/>
    <x v="0"/>
    <n v="2"/>
    <s v="High"/>
    <s v="Life Sciences"/>
    <s v="High"/>
    <s v="Male"/>
    <n v="70"/>
    <s v="High"/>
    <s v="Low"/>
    <s v="Sales Representative"/>
    <s v="Excellent"/>
    <s v="Single"/>
    <n v="2644"/>
    <n v="17001"/>
    <s v="Low"/>
    <n v="3"/>
    <x v="0"/>
    <n v="21"/>
    <s v="Excellent"/>
    <s v="Excellent"/>
    <n v="0"/>
    <n v="7"/>
    <n v="3"/>
    <n v="2"/>
    <n v="3"/>
    <n v="2"/>
    <n v="1"/>
    <n v="2"/>
  </r>
  <r>
    <n v="1104"/>
    <n v="48"/>
    <s v="46-55"/>
    <x v="1"/>
    <s v="Travel_Rarely"/>
    <n v="1389"/>
    <x v="0"/>
    <n v="16"/>
    <s v="High"/>
    <s v="Life Sciences"/>
    <s v="High"/>
    <s v="Female"/>
    <n v="96"/>
    <s v="High"/>
    <s v="Medium"/>
    <s v="Sales Executive"/>
    <s v="High"/>
    <s v="Divorced"/>
    <n v="6439"/>
    <n v="13693"/>
    <s v="Medium"/>
    <n v="8"/>
    <x v="1"/>
    <n v="14"/>
    <s v="High"/>
    <s v="High"/>
    <n v="1"/>
    <n v="18"/>
    <n v="2"/>
    <n v="3"/>
    <n v="8"/>
    <n v="7"/>
    <n v="7"/>
    <n v="7"/>
  </r>
  <r>
    <n v="1105"/>
    <n v="29"/>
    <s v="26-35"/>
    <x v="1"/>
    <s v="Travel_Rarely"/>
    <n v="1389"/>
    <x v="1"/>
    <n v="9"/>
    <s v="Medium"/>
    <s v="Life Sciences"/>
    <s v="High"/>
    <s v="Male"/>
    <n v="91"/>
    <s v="Excellent"/>
    <s v="Low"/>
    <s v="Research Scientist"/>
    <s v="High"/>
    <s v="Married"/>
    <n v="2451"/>
    <n v="22376"/>
    <s v="Low"/>
    <n v="6"/>
    <x v="1"/>
    <n v="18"/>
    <s v="High"/>
    <s v="Low"/>
    <n v="2"/>
    <n v="5"/>
    <n v="2"/>
    <n v="2"/>
    <n v="1"/>
    <n v="0"/>
    <n v="0"/>
    <n v="0"/>
  </r>
  <r>
    <n v="1106"/>
    <n v="33"/>
    <s v="26-35"/>
    <x v="1"/>
    <s v="Travel_Rarely"/>
    <n v="1389"/>
    <x v="0"/>
    <n v="8"/>
    <s v="High"/>
    <s v="Life Sciences"/>
    <s v="Low"/>
    <s v="Male"/>
    <n v="46"/>
    <s v="High"/>
    <s v="Medium"/>
    <s v="Sales Executive"/>
    <s v="Low"/>
    <s v="Married"/>
    <n v="6392"/>
    <n v="10589"/>
    <s v="Medium"/>
    <n v="2"/>
    <x v="1"/>
    <n v="13"/>
    <s v="High"/>
    <s v="Excellent"/>
    <n v="1"/>
    <n v="8"/>
    <n v="6"/>
    <n v="1"/>
    <n v="2"/>
    <n v="2"/>
    <n v="2"/>
    <n v="2"/>
  </r>
  <r>
    <n v="1107"/>
    <n v="30"/>
    <s v="26-35"/>
    <x v="0"/>
    <s v="Travel_Rarely"/>
    <n v="1389"/>
    <x v="0"/>
    <n v="1"/>
    <s v="Medium"/>
    <s v="Life Sciences"/>
    <s v="Medium"/>
    <s v="Male"/>
    <n v="64"/>
    <s v="Medium"/>
    <s v="Medium"/>
    <s v="Sales Executive"/>
    <s v="Low"/>
    <s v="Married"/>
    <n v="9714"/>
    <n v="5323"/>
    <s v="Medium"/>
    <n v="1"/>
    <x v="1"/>
    <n v="11"/>
    <s v="High"/>
    <s v="Excellent"/>
    <n v="1"/>
    <n v="10"/>
    <n v="4"/>
    <n v="3"/>
    <n v="10"/>
    <n v="8"/>
    <n v="6"/>
    <n v="7"/>
  </r>
  <r>
    <n v="1108"/>
    <n v="38"/>
    <s v="36-45"/>
    <x v="1"/>
    <s v="Travel_Frequently"/>
    <n v="1389"/>
    <x v="2"/>
    <n v="10"/>
    <s v="High"/>
    <s v="Human Resources"/>
    <s v="High"/>
    <s v="Male"/>
    <n v="71"/>
    <s v="High"/>
    <s v="Medium"/>
    <s v="Human Resources"/>
    <s v="High"/>
    <s v="Married"/>
    <n v="6077"/>
    <n v="14814"/>
    <s v="Medium"/>
    <n v="3"/>
    <x v="1"/>
    <n v="11"/>
    <s v="High"/>
    <s v="High"/>
    <n v="0"/>
    <n v="10"/>
    <n v="2"/>
    <n v="3"/>
    <n v="6"/>
    <n v="3"/>
    <n v="1"/>
    <n v="2"/>
  </r>
  <r>
    <n v="1109"/>
    <n v="35"/>
    <s v="26-35"/>
    <x v="1"/>
    <s v="Travel_Rarely"/>
    <n v="1389"/>
    <x v="1"/>
    <n v="1"/>
    <s v="Medium"/>
    <s v="Medical"/>
    <s v="Excellent"/>
    <s v="Male"/>
    <n v="68"/>
    <s v="Medium"/>
    <s v="Low"/>
    <s v="Laboratory Technician"/>
    <s v="Low"/>
    <s v="Single"/>
    <n v="2450"/>
    <n v="21731"/>
    <s v="Low"/>
    <n v="1"/>
    <x v="1"/>
    <n v="19"/>
    <s v="High"/>
    <s v="Medium"/>
    <n v="0"/>
    <n v="3"/>
    <n v="3"/>
    <n v="3"/>
    <n v="3"/>
    <n v="0"/>
    <n v="1"/>
    <n v="2"/>
  </r>
  <r>
    <n v="1110"/>
    <n v="30"/>
    <s v="26-35"/>
    <x v="1"/>
    <s v="Travel_Rarely"/>
    <n v="1389"/>
    <x v="0"/>
    <n v="29"/>
    <s v="High"/>
    <s v="Technical Degree"/>
    <s v="High"/>
    <s v="Male"/>
    <n v="33"/>
    <s v="High"/>
    <s v="High"/>
    <s v="Sales Executive"/>
    <s v="Medium"/>
    <s v="Married"/>
    <n v="9250"/>
    <n v="17799"/>
    <s v="Medium"/>
    <n v="3"/>
    <x v="1"/>
    <n v="12"/>
    <s v="High"/>
    <s v="Medium"/>
    <n v="1"/>
    <n v="9"/>
    <n v="3"/>
    <n v="3"/>
    <n v="4"/>
    <n v="2"/>
    <n v="1"/>
    <n v="3"/>
  </r>
  <r>
    <n v="1111"/>
    <n v="35"/>
    <s v="26-35"/>
    <x v="0"/>
    <s v="Travel_Rarely"/>
    <n v="1389"/>
    <x v="1"/>
    <n v="2"/>
    <s v="Medium"/>
    <s v="Life Sciences"/>
    <s v="Low"/>
    <s v="Female"/>
    <n v="69"/>
    <s v="High"/>
    <s v="Low"/>
    <s v="Laboratory Technician"/>
    <s v="Low"/>
    <s v="Divorced"/>
    <n v="2074"/>
    <n v="26619"/>
    <s v="Low"/>
    <n v="1"/>
    <x v="0"/>
    <n v="12"/>
    <s v="High"/>
    <s v="Excellent"/>
    <n v="1"/>
    <n v="1"/>
    <n v="2"/>
    <n v="3"/>
    <n v="1"/>
    <n v="0"/>
    <n v="0"/>
    <n v="0"/>
  </r>
  <r>
    <n v="1112"/>
    <n v="53"/>
    <s v="46-55"/>
    <x v="0"/>
    <s v="Travel_Rarely"/>
    <n v="1389"/>
    <x v="1"/>
    <n v="2"/>
    <s v="Excellent"/>
    <s v="Technical Degree"/>
    <s v="High"/>
    <s v="Female"/>
    <n v="78"/>
    <s v="Medium"/>
    <s v="High"/>
    <s v="Manufacturing Director"/>
    <s v="Excellent"/>
    <s v="Married"/>
    <n v="10169"/>
    <n v="14618"/>
    <s v="High"/>
    <n v="0"/>
    <x v="1"/>
    <n v="16"/>
    <s v="High"/>
    <s v="Medium"/>
    <n v="1"/>
    <n v="34"/>
    <n v="4"/>
    <n v="3"/>
    <n v="33"/>
    <n v="7"/>
    <n v="1"/>
    <n v="9"/>
  </r>
  <r>
    <n v="1113"/>
    <n v="38"/>
    <s v="36-45"/>
    <x v="0"/>
    <s v="Travel_Rarely"/>
    <n v="1389"/>
    <x v="1"/>
    <n v="2"/>
    <s v="Medium"/>
    <s v="Medical"/>
    <s v="High"/>
    <s v="Male"/>
    <n v="81"/>
    <s v="High"/>
    <s v="Medium"/>
    <s v="Manufacturing Director"/>
    <s v="Medium"/>
    <s v="Married"/>
    <n v="4855"/>
    <n v="7653"/>
    <s v="Low"/>
    <n v="4"/>
    <x v="1"/>
    <n v="11"/>
    <s v="High"/>
    <s v="Low"/>
    <n v="2"/>
    <n v="7"/>
    <n v="2"/>
    <n v="3"/>
    <n v="5"/>
    <n v="2"/>
    <n v="1"/>
    <n v="4"/>
  </r>
  <r>
    <n v="1114"/>
    <n v="32"/>
    <s v="26-35"/>
    <x v="1"/>
    <s v="Non-Travel"/>
    <n v="1389"/>
    <x v="1"/>
    <n v="1"/>
    <s v="High"/>
    <s v="Technical Degree"/>
    <s v="Excellent"/>
    <s v="Male"/>
    <n v="62"/>
    <s v="High"/>
    <s v="Medium"/>
    <s v="Research Scientist"/>
    <s v="Low"/>
    <s v="Married"/>
    <n v="4087"/>
    <n v="25174"/>
    <s v="Low"/>
    <n v="4"/>
    <x v="1"/>
    <n v="14"/>
    <s v="High"/>
    <s v="Medium"/>
    <n v="1"/>
    <n v="9"/>
    <n v="3"/>
    <n v="2"/>
    <n v="6"/>
    <n v="5"/>
    <n v="1"/>
    <n v="2"/>
  </r>
  <r>
    <n v="1115"/>
    <n v="48"/>
    <s v="46-55"/>
    <x v="1"/>
    <s v="Travel_Rarely"/>
    <n v="1389"/>
    <x v="1"/>
    <n v="15"/>
    <s v="High"/>
    <s v="Other"/>
    <s v="High"/>
    <s v="Female"/>
    <n v="65"/>
    <s v="High"/>
    <s v="Low"/>
    <s v="Research Scientist"/>
    <s v="Low"/>
    <s v="Married"/>
    <n v="2367"/>
    <n v="16530"/>
    <s v="Low"/>
    <n v="8"/>
    <x v="1"/>
    <n v="12"/>
    <s v="High"/>
    <s v="Excellent"/>
    <n v="1"/>
    <n v="10"/>
    <n v="3"/>
    <n v="2"/>
    <n v="8"/>
    <n v="2"/>
    <n v="7"/>
    <n v="6"/>
  </r>
  <r>
    <n v="1116"/>
    <n v="34"/>
    <s v="26-35"/>
    <x v="1"/>
    <s v="Travel_Rarely"/>
    <n v="1389"/>
    <x v="1"/>
    <n v="7"/>
    <s v="High"/>
    <s v="Medical"/>
    <s v="Low"/>
    <s v="Male"/>
    <n v="35"/>
    <s v="High"/>
    <s v="Low"/>
    <s v="Research Scientist"/>
    <s v="Excellent"/>
    <s v="Single"/>
    <n v="2972"/>
    <n v="22061"/>
    <s v="Low"/>
    <n v="1"/>
    <x v="1"/>
    <n v="13"/>
    <s v="High"/>
    <s v="High"/>
    <n v="0"/>
    <n v="1"/>
    <n v="4"/>
    <n v="1"/>
    <n v="1"/>
    <n v="0"/>
    <n v="0"/>
    <n v="0"/>
  </r>
  <r>
    <n v="1117"/>
    <n v="55"/>
    <s v="46-55"/>
    <x v="1"/>
    <s v="Travel_Rarely"/>
    <n v="1389"/>
    <x v="0"/>
    <n v="26"/>
    <s v="Excellent"/>
    <s v="Marketing"/>
    <s v="High"/>
    <s v="Male"/>
    <n v="60"/>
    <s v="Medium"/>
    <e v="#N/A"/>
    <s v="Manager"/>
    <s v="Excellent"/>
    <s v="Married"/>
    <n v="19586"/>
    <n v="23037"/>
    <s v="High"/>
    <n v="1"/>
    <x v="1"/>
    <n v="21"/>
    <s v="Excellent"/>
    <s v="High"/>
    <n v="1"/>
    <n v="36"/>
    <n v="3"/>
    <n v="3"/>
    <n v="36"/>
    <n v="6"/>
    <n v="2"/>
    <n v="13"/>
  </r>
  <r>
    <n v="1118"/>
    <n v="34"/>
    <s v="26-35"/>
    <x v="1"/>
    <s v="Travel_Rarely"/>
    <n v="1389"/>
    <x v="1"/>
    <n v="1"/>
    <s v="High"/>
    <s v="Life Sciences"/>
    <s v="Medium"/>
    <s v="Male"/>
    <n v="45"/>
    <s v="High"/>
    <s v="Medium"/>
    <s v="Research Scientist"/>
    <s v="Excellent"/>
    <s v="Married"/>
    <n v="5484"/>
    <n v="13008"/>
    <s v="Medium"/>
    <n v="9"/>
    <x v="1"/>
    <n v="17"/>
    <s v="High"/>
    <s v="Medium"/>
    <n v="1"/>
    <n v="9"/>
    <n v="3"/>
    <n v="2"/>
    <n v="2"/>
    <n v="2"/>
    <n v="2"/>
    <n v="1"/>
  </r>
  <r>
    <n v="1119"/>
    <n v="26"/>
    <s v="26-35"/>
    <x v="1"/>
    <s v="Travel_Rarely"/>
    <n v="1389"/>
    <x v="1"/>
    <n v="3"/>
    <s v="Medium"/>
    <s v="Life Sciences"/>
    <s v="Low"/>
    <s v="Female"/>
    <n v="89"/>
    <s v="High"/>
    <s v="Low"/>
    <s v="Research Scientist"/>
    <s v="Excellent"/>
    <s v="Married"/>
    <n v="2061"/>
    <n v="11133"/>
    <s v="Low"/>
    <n v="1"/>
    <x v="1"/>
    <n v="21"/>
    <s v="Excellent"/>
    <s v="Low"/>
    <n v="0"/>
    <n v="1"/>
    <n v="5"/>
    <n v="3"/>
    <n v="1"/>
    <n v="0"/>
    <n v="0"/>
    <n v="0"/>
  </r>
  <r>
    <n v="1120"/>
    <n v="38"/>
    <s v="36-45"/>
    <x v="1"/>
    <s v="Travel_Rarely"/>
    <n v="1389"/>
    <x v="0"/>
    <n v="14"/>
    <s v="Medium"/>
    <s v="Life Sciences"/>
    <s v="High"/>
    <s v="Male"/>
    <n v="80"/>
    <s v="High"/>
    <s v="Medium"/>
    <s v="Sales Executive"/>
    <s v="Medium"/>
    <s v="Married"/>
    <n v="9924"/>
    <n v="12355"/>
    <s v="Medium"/>
    <n v="0"/>
    <x v="1"/>
    <n v="11"/>
    <s v="High"/>
    <s v="Excellent"/>
    <n v="1"/>
    <n v="10"/>
    <n v="3"/>
    <n v="3"/>
    <n v="9"/>
    <n v="8"/>
    <n v="7"/>
    <n v="7"/>
  </r>
  <r>
    <n v="1121"/>
    <n v="38"/>
    <s v="36-45"/>
    <x v="1"/>
    <s v="Travel_Rarely"/>
    <n v="1389"/>
    <x v="0"/>
    <n v="16"/>
    <s v="Medium"/>
    <s v="Life Sciences"/>
    <s v="Medium"/>
    <s v="Female"/>
    <n v="90"/>
    <s v="High"/>
    <s v="Medium"/>
    <s v="Sales Executive"/>
    <s v="Medium"/>
    <s v="Single"/>
    <n v="4198"/>
    <n v="16379"/>
    <s v="Low"/>
    <n v="2"/>
    <x v="1"/>
    <n v="12"/>
    <s v="High"/>
    <s v="Medium"/>
    <n v="0"/>
    <n v="8"/>
    <n v="5"/>
    <n v="4"/>
    <n v="3"/>
    <n v="2"/>
    <n v="1"/>
    <n v="2"/>
  </r>
  <r>
    <n v="1122"/>
    <n v="36"/>
    <s v="36-45"/>
    <x v="1"/>
    <s v="Travel_Rarely"/>
    <n v="1389"/>
    <x v="0"/>
    <n v="1"/>
    <s v="High"/>
    <s v="Life Sciences"/>
    <s v="Medium"/>
    <s v="Female"/>
    <n v="73"/>
    <s v="High"/>
    <s v="Medium"/>
    <s v="Sales Executive"/>
    <s v="High"/>
    <s v="Single"/>
    <n v="6815"/>
    <n v="21447"/>
    <s v="Medium"/>
    <n v="6"/>
    <x v="1"/>
    <n v="13"/>
    <s v="High"/>
    <s v="Low"/>
    <n v="0"/>
    <n v="15"/>
    <n v="5"/>
    <n v="3"/>
    <n v="1"/>
    <n v="0"/>
    <n v="0"/>
    <n v="0"/>
  </r>
  <r>
    <n v="1123"/>
    <n v="29"/>
    <s v="26-35"/>
    <x v="1"/>
    <s v="Travel_Rarely"/>
    <n v="1389"/>
    <x v="1"/>
    <n v="3"/>
    <s v="Low"/>
    <s v="Medical"/>
    <s v="Medium"/>
    <s v="Male"/>
    <n v="87"/>
    <s v="High"/>
    <s v="Low"/>
    <s v="Laboratory Technician"/>
    <s v="Low"/>
    <s v="Single"/>
    <n v="4723"/>
    <n v="16213"/>
    <s v="Low"/>
    <n v="1"/>
    <x v="0"/>
    <n v="18"/>
    <s v="High"/>
    <s v="Excellent"/>
    <n v="0"/>
    <n v="10"/>
    <n v="3"/>
    <n v="3"/>
    <n v="10"/>
    <n v="9"/>
    <n v="1"/>
    <n v="5"/>
  </r>
  <r>
    <n v="1124"/>
    <n v="35"/>
    <s v="26-35"/>
    <x v="1"/>
    <s v="Travel_Rarely"/>
    <n v="1389"/>
    <x v="1"/>
    <n v="10"/>
    <s v="High"/>
    <s v="Medical"/>
    <s v="Low"/>
    <s v="Female"/>
    <n v="51"/>
    <s v="High"/>
    <s v="Medium"/>
    <s v="Healthcare Representative"/>
    <s v="High"/>
    <s v="Single"/>
    <n v="6142"/>
    <n v="4223"/>
    <s v="Medium"/>
    <n v="3"/>
    <x v="0"/>
    <n v="16"/>
    <s v="High"/>
    <s v="High"/>
    <n v="0"/>
    <n v="10"/>
    <n v="4"/>
    <n v="3"/>
    <n v="5"/>
    <n v="2"/>
    <n v="0"/>
    <n v="4"/>
  </r>
  <r>
    <n v="1125"/>
    <n v="39"/>
    <s v="36-45"/>
    <x v="1"/>
    <s v="Travel_Rarely"/>
    <n v="1389"/>
    <x v="0"/>
    <n v="6"/>
    <s v="Medium"/>
    <s v="Medical"/>
    <s v="Excellent"/>
    <s v="Male"/>
    <n v="38"/>
    <s v="Excellent"/>
    <s v="High"/>
    <s v="Sales Executive"/>
    <s v="High"/>
    <s v="Married"/>
    <n v="8237"/>
    <n v="4658"/>
    <s v="Medium"/>
    <n v="2"/>
    <x v="1"/>
    <n v="11"/>
    <s v="High"/>
    <s v="Low"/>
    <n v="1"/>
    <n v="11"/>
    <n v="3"/>
    <n v="3"/>
    <n v="7"/>
    <n v="6"/>
    <n v="7"/>
    <n v="6"/>
  </r>
  <r>
    <n v="1126"/>
    <n v="29"/>
    <s v="26-35"/>
    <x v="1"/>
    <s v="Travel_Frequently"/>
    <n v="1389"/>
    <x v="1"/>
    <n v="2"/>
    <s v="Low"/>
    <s v="Life Sciences"/>
    <s v="Low"/>
    <s v="Male"/>
    <n v="87"/>
    <s v="High"/>
    <s v="Medium"/>
    <s v="Healthcare Representative"/>
    <s v="Excellent"/>
    <s v="Divorced"/>
    <n v="8853"/>
    <n v="24483"/>
    <s v="Medium"/>
    <n v="1"/>
    <x v="1"/>
    <n v="19"/>
    <s v="High"/>
    <s v="Excellent"/>
    <n v="1"/>
    <n v="6"/>
    <n v="0"/>
    <n v="4"/>
    <n v="6"/>
    <n v="4"/>
    <n v="1"/>
    <n v="3"/>
  </r>
  <r>
    <n v="1127"/>
    <n v="50"/>
    <s v="46-55"/>
    <x v="1"/>
    <s v="Travel_Rarely"/>
    <n v="1389"/>
    <x v="0"/>
    <n v="9"/>
    <s v="Medium"/>
    <s v="Marketing"/>
    <s v="High"/>
    <s v="Male"/>
    <n v="59"/>
    <s v="High"/>
    <e v="#N/A"/>
    <s v="Manager"/>
    <s v="High"/>
    <s v="Married"/>
    <n v="19331"/>
    <n v="19519"/>
    <s v="High"/>
    <n v="4"/>
    <x v="0"/>
    <n v="16"/>
    <s v="High"/>
    <s v="High"/>
    <n v="1"/>
    <n v="27"/>
    <n v="2"/>
    <n v="3"/>
    <n v="1"/>
    <n v="0"/>
    <n v="0"/>
    <n v="0"/>
  </r>
  <r>
    <n v="1128"/>
    <n v="23"/>
    <s v="18-25"/>
    <x v="1"/>
    <s v="Travel_Rarely"/>
    <n v="1389"/>
    <x v="1"/>
    <n v="10"/>
    <s v="Medium"/>
    <s v="Technical Degree"/>
    <s v="Excellent"/>
    <s v="Male"/>
    <n v="45"/>
    <s v="Excellent"/>
    <s v="Low"/>
    <s v="Research Scientist"/>
    <s v="High"/>
    <s v="Married"/>
    <n v="2073"/>
    <n v="12826"/>
    <s v="Low"/>
    <n v="2"/>
    <x v="1"/>
    <n v="16"/>
    <s v="High"/>
    <s v="Excellent"/>
    <n v="1"/>
    <n v="4"/>
    <n v="2"/>
    <n v="3"/>
    <n v="2"/>
    <n v="2"/>
    <n v="2"/>
    <n v="2"/>
  </r>
  <r>
    <n v="1129"/>
    <n v="36"/>
    <s v="36-45"/>
    <x v="1"/>
    <s v="Travel_Frequently"/>
    <n v="1389"/>
    <x v="1"/>
    <n v="6"/>
    <s v="High"/>
    <s v="Life Sciences"/>
    <s v="Low"/>
    <s v="Male"/>
    <n v="80"/>
    <s v="Excellent"/>
    <s v="Medium"/>
    <s v="Laboratory Technician"/>
    <s v="Low"/>
    <s v="Married"/>
    <n v="5562"/>
    <n v="19711"/>
    <s v="Medium"/>
    <n v="3"/>
    <x v="0"/>
    <n v="13"/>
    <s v="High"/>
    <s v="Excellent"/>
    <n v="1"/>
    <n v="9"/>
    <n v="3"/>
    <n v="3"/>
    <n v="3"/>
    <n v="2"/>
    <n v="0"/>
    <n v="2"/>
  </r>
  <r>
    <n v="1130"/>
    <n v="42"/>
    <s v="36-45"/>
    <x v="1"/>
    <s v="Travel_Rarely"/>
    <n v="1389"/>
    <x v="1"/>
    <n v="9"/>
    <s v="Good"/>
    <s v="Other"/>
    <s v="Excellent"/>
    <s v="Male"/>
    <n v="93"/>
    <s v="Medium"/>
    <e v="#N/A"/>
    <s v="Manager"/>
    <s v="Excellent"/>
    <s v="Single"/>
    <n v="19613"/>
    <n v="26362"/>
    <s v="High"/>
    <n v="8"/>
    <x v="1"/>
    <n v="22"/>
    <s v="Excellent"/>
    <s v="Excellent"/>
    <n v="0"/>
    <n v="24"/>
    <n v="2"/>
    <n v="3"/>
    <n v="1"/>
    <n v="0"/>
    <n v="0"/>
    <n v="1"/>
  </r>
  <r>
    <n v="1131"/>
    <n v="35"/>
    <s v="26-35"/>
    <x v="1"/>
    <s v="Travel_Rarely"/>
    <n v="1389"/>
    <x v="1"/>
    <n v="28"/>
    <s v="Medium"/>
    <s v="Life Sciences"/>
    <s v="Medium"/>
    <s v="Male"/>
    <n v="46"/>
    <s v="Excellent"/>
    <s v="Medium"/>
    <s v="Laboratory Technician"/>
    <s v="High"/>
    <s v="Married"/>
    <n v="3407"/>
    <n v="25348"/>
    <s v="Low"/>
    <n v="1"/>
    <x v="1"/>
    <n v="17"/>
    <s v="High"/>
    <s v="Excellent"/>
    <n v="2"/>
    <n v="10"/>
    <n v="3"/>
    <n v="2"/>
    <n v="10"/>
    <n v="9"/>
    <n v="6"/>
    <n v="8"/>
  </r>
  <r>
    <n v="1132"/>
    <n v="34"/>
    <s v="26-35"/>
    <x v="1"/>
    <s v="Travel_Frequently"/>
    <n v="1389"/>
    <x v="1"/>
    <n v="10"/>
    <s v="High"/>
    <s v="Technical Degree"/>
    <s v="Excellent"/>
    <s v="Male"/>
    <n v="92"/>
    <s v="Medium"/>
    <s v="Medium"/>
    <s v="Healthcare Representative"/>
    <s v="High"/>
    <s v="Married"/>
    <n v="5063"/>
    <n v="15332"/>
    <s v="Medium"/>
    <n v="1"/>
    <x v="1"/>
    <n v="14"/>
    <s v="High"/>
    <s v="Medium"/>
    <n v="1"/>
    <n v="8"/>
    <n v="3"/>
    <n v="2"/>
    <n v="8"/>
    <n v="2"/>
    <n v="7"/>
    <n v="7"/>
  </r>
  <r>
    <n v="1133"/>
    <n v="40"/>
    <s v="36-45"/>
    <x v="1"/>
    <s v="Travel_Rarely"/>
    <n v="1389"/>
    <x v="0"/>
    <n v="14"/>
    <s v="Good"/>
    <s v="Life Sciences"/>
    <s v="Excellent"/>
    <s v="Female"/>
    <n v="84"/>
    <s v="High"/>
    <s v="Medium"/>
    <s v="Sales Executive"/>
    <s v="Low"/>
    <s v="Married"/>
    <n v="4639"/>
    <n v="11262"/>
    <s v="Low"/>
    <n v="1"/>
    <x v="1"/>
    <n v="15"/>
    <s v="High"/>
    <s v="High"/>
    <n v="1"/>
    <n v="5"/>
    <n v="2"/>
    <n v="3"/>
    <n v="5"/>
    <n v="4"/>
    <n v="1"/>
    <n v="2"/>
  </r>
  <r>
    <n v="1134"/>
    <n v="43"/>
    <s v="36-45"/>
    <x v="1"/>
    <s v="Travel_Rarely"/>
    <n v="1389"/>
    <x v="1"/>
    <n v="27"/>
    <s v="Medium"/>
    <s v="Technical Degree"/>
    <s v="Excellent"/>
    <s v="Male"/>
    <n v="87"/>
    <s v="Excellent"/>
    <s v="Low"/>
    <s v="Laboratory Technician"/>
    <s v="Medium"/>
    <s v="Divorced"/>
    <n v="4876"/>
    <n v="5855"/>
    <s v="Low"/>
    <n v="5"/>
    <x v="1"/>
    <n v="12"/>
    <s v="High"/>
    <s v="High"/>
    <n v="1"/>
    <n v="8"/>
    <n v="0"/>
    <n v="3"/>
    <n v="6"/>
    <n v="4"/>
    <n v="0"/>
    <n v="2"/>
  </r>
  <r>
    <n v="1135"/>
    <n v="35"/>
    <s v="26-35"/>
    <x v="1"/>
    <s v="Travel_Rarely"/>
    <n v="1389"/>
    <x v="1"/>
    <n v="7"/>
    <s v="Good"/>
    <s v="Life Sciences"/>
    <s v="High"/>
    <s v="Male"/>
    <n v="63"/>
    <s v="Medium"/>
    <s v="Low"/>
    <s v="Laboratory Technician"/>
    <s v="Excellent"/>
    <s v="Married"/>
    <n v="2690"/>
    <n v="7713"/>
    <s v="Low"/>
    <n v="1"/>
    <x v="1"/>
    <n v="18"/>
    <s v="High"/>
    <s v="Excellent"/>
    <n v="1"/>
    <n v="1"/>
    <n v="5"/>
    <n v="2"/>
    <n v="1"/>
    <n v="0"/>
    <n v="0"/>
    <n v="1"/>
  </r>
  <r>
    <n v="1136"/>
    <n v="46"/>
    <s v="46-55"/>
    <x v="1"/>
    <s v="Travel_Rarely"/>
    <n v="1389"/>
    <x v="0"/>
    <n v="1"/>
    <s v="High"/>
    <s v="Life Sciences"/>
    <s v="Excellent"/>
    <s v="Male"/>
    <n v="56"/>
    <s v="Excellent"/>
    <s v="Excellent"/>
    <s v="Manager"/>
    <s v="Low"/>
    <s v="Single"/>
    <n v="17567"/>
    <n v="3156"/>
    <s v="High"/>
    <n v="1"/>
    <x v="1"/>
    <n v="15"/>
    <s v="High"/>
    <s v="Medium"/>
    <n v="0"/>
    <n v="27"/>
    <n v="5"/>
    <n v="1"/>
    <n v="26"/>
    <n v="0"/>
    <n v="0"/>
    <n v="12"/>
  </r>
  <r>
    <n v="1137"/>
    <n v="28"/>
    <s v="26-35"/>
    <x v="0"/>
    <s v="Travel_Rarely"/>
    <n v="1389"/>
    <x v="1"/>
    <n v="24"/>
    <s v="Medium"/>
    <s v="Medical"/>
    <s v="High"/>
    <s v="Male"/>
    <n v="51"/>
    <s v="High"/>
    <s v="Low"/>
    <s v="Laboratory Technician"/>
    <s v="Medium"/>
    <s v="Married"/>
    <n v="2408"/>
    <n v="7324"/>
    <s v="Low"/>
    <n v="1"/>
    <x v="0"/>
    <n v="17"/>
    <s v="High"/>
    <s v="High"/>
    <n v="3"/>
    <n v="1"/>
    <n v="3"/>
    <n v="3"/>
    <n v="1"/>
    <n v="1"/>
    <n v="0"/>
    <n v="0"/>
  </r>
  <r>
    <n v="1138"/>
    <n v="22"/>
    <s v="18-25"/>
    <x v="1"/>
    <s v="Non-Travel"/>
    <n v="1389"/>
    <x v="1"/>
    <n v="26"/>
    <s v="Good"/>
    <s v="Other"/>
    <s v="Medium"/>
    <s v="Female"/>
    <n v="85"/>
    <s v="Medium"/>
    <s v="Low"/>
    <s v="Research Scientist"/>
    <s v="High"/>
    <s v="Married"/>
    <n v="2814"/>
    <n v="10293"/>
    <s v="Low"/>
    <n v="1"/>
    <x v="0"/>
    <n v="14"/>
    <s v="High"/>
    <s v="Medium"/>
    <n v="0"/>
    <n v="4"/>
    <n v="2"/>
    <n v="2"/>
    <n v="4"/>
    <n v="2"/>
    <n v="1"/>
    <n v="3"/>
  </r>
  <r>
    <n v="1139"/>
    <n v="50"/>
    <s v="46-55"/>
    <x v="1"/>
    <s v="Travel_Frequently"/>
    <n v="1389"/>
    <x v="1"/>
    <n v="20"/>
    <s v="Excellent"/>
    <s v="Medical"/>
    <s v="Medium"/>
    <s v="Male"/>
    <n v="41"/>
    <s v="High"/>
    <s v="Excellent"/>
    <s v="Healthcare Representative"/>
    <s v="High"/>
    <s v="Married"/>
    <n v="11245"/>
    <n v="20689"/>
    <s v="High"/>
    <n v="2"/>
    <x v="0"/>
    <n v="15"/>
    <s v="High"/>
    <s v="High"/>
    <n v="1"/>
    <n v="32"/>
    <n v="3"/>
    <n v="3"/>
    <n v="30"/>
    <n v="8"/>
    <n v="12"/>
    <n v="13"/>
  </r>
  <r>
    <n v="1140"/>
    <n v="32"/>
    <s v="26-35"/>
    <x v="1"/>
    <s v="Travel_Rarely"/>
    <n v="1389"/>
    <x v="1"/>
    <n v="5"/>
    <s v="High"/>
    <s v="Other"/>
    <s v="Medium"/>
    <s v="Female"/>
    <n v="35"/>
    <s v="Excellent"/>
    <s v="Low"/>
    <s v="Research Scientist"/>
    <s v="Excellent"/>
    <s v="Married"/>
    <n v="3312"/>
    <n v="18783"/>
    <s v="Low"/>
    <n v="3"/>
    <x v="1"/>
    <n v="17"/>
    <s v="High"/>
    <s v="Excellent"/>
    <n v="2"/>
    <n v="6"/>
    <n v="3"/>
    <n v="3"/>
    <n v="3"/>
    <n v="2"/>
    <n v="0"/>
    <n v="2"/>
  </r>
  <r>
    <n v="1141"/>
    <n v="44"/>
    <s v="36-45"/>
    <x v="1"/>
    <s v="Travel_Rarely"/>
    <n v="1389"/>
    <x v="1"/>
    <n v="7"/>
    <s v="Medium"/>
    <s v="Medical"/>
    <s v="Medium"/>
    <s v="Female"/>
    <n v="31"/>
    <s v="High"/>
    <e v="#N/A"/>
    <s v="Research Director"/>
    <s v="Excellent"/>
    <s v="Divorced"/>
    <n v="19049"/>
    <n v="3549"/>
    <s v="High"/>
    <n v="0"/>
    <x v="0"/>
    <n v="14"/>
    <s v="High"/>
    <s v="Excellent"/>
    <n v="1"/>
    <n v="23"/>
    <n v="4"/>
    <n v="2"/>
    <n v="22"/>
    <n v="7"/>
    <n v="1"/>
    <n v="10"/>
  </r>
  <r>
    <n v="1142"/>
    <n v="30"/>
    <s v="26-35"/>
    <x v="1"/>
    <s v="Travel_Rarely"/>
    <n v="1389"/>
    <x v="1"/>
    <n v="7"/>
    <s v="Medium"/>
    <s v="Medical"/>
    <s v="Medium"/>
    <s v="Male"/>
    <n v="48"/>
    <s v="Medium"/>
    <s v="Low"/>
    <s v="Research Scientist"/>
    <s v="Medium"/>
    <s v="Married"/>
    <n v="2141"/>
    <n v="5348"/>
    <s v="Low"/>
    <n v="1"/>
    <x v="1"/>
    <n v="12"/>
    <s v="High"/>
    <s v="Medium"/>
    <n v="1"/>
    <n v="6"/>
    <n v="3"/>
    <n v="2"/>
    <n v="6"/>
    <n v="4"/>
    <n v="1"/>
    <n v="1"/>
  </r>
  <r>
    <n v="1143"/>
    <n v="45"/>
    <s v="36-45"/>
    <x v="1"/>
    <s v="Travel_Rarely"/>
    <n v="1389"/>
    <x v="1"/>
    <n v="5"/>
    <s v="Excellent"/>
    <s v="Medical"/>
    <s v="High"/>
    <s v="Female"/>
    <n v="50"/>
    <s v="Low"/>
    <s v="Medium"/>
    <s v="Laboratory Technician"/>
    <s v="Low"/>
    <s v="Single"/>
    <n v="5769"/>
    <n v="23447"/>
    <s v="Medium"/>
    <n v="1"/>
    <x v="0"/>
    <n v="14"/>
    <s v="High"/>
    <s v="Low"/>
    <n v="0"/>
    <n v="10"/>
    <n v="3"/>
    <n v="3"/>
    <n v="10"/>
    <n v="7"/>
    <n v="1"/>
    <n v="4"/>
  </r>
  <r>
    <n v="1144"/>
    <n v="45"/>
    <s v="36-45"/>
    <x v="1"/>
    <s v="Non-Travel"/>
    <n v="1389"/>
    <x v="0"/>
    <n v="26"/>
    <s v="Medium"/>
    <s v="Marketing"/>
    <s v="Low"/>
    <s v="Male"/>
    <n v="52"/>
    <s v="Medium"/>
    <s v="Medium"/>
    <s v="Sales Executive"/>
    <s v="Low"/>
    <s v="Married"/>
    <n v="4385"/>
    <n v="24162"/>
    <s v="Low"/>
    <n v="1"/>
    <x v="1"/>
    <n v="15"/>
    <s v="High"/>
    <s v="Low"/>
    <n v="1"/>
    <n v="10"/>
    <n v="2"/>
    <n v="3"/>
    <n v="10"/>
    <n v="7"/>
    <n v="4"/>
    <n v="5"/>
  </r>
  <r>
    <n v="1145"/>
    <n v="31"/>
    <s v="26-35"/>
    <x v="1"/>
    <s v="Travel_Frequently"/>
    <n v="1389"/>
    <x v="0"/>
    <n v="2"/>
    <s v="High"/>
    <s v="Other"/>
    <s v="Excellent"/>
    <s v="Male"/>
    <n v="54"/>
    <s v="High"/>
    <s v="Medium"/>
    <s v="Sales Executive"/>
    <s v="Low"/>
    <s v="Single"/>
    <n v="5332"/>
    <n v="21602"/>
    <s v="Medium"/>
    <n v="7"/>
    <x v="1"/>
    <n v="13"/>
    <s v="High"/>
    <s v="Excellent"/>
    <n v="0"/>
    <n v="10"/>
    <n v="3"/>
    <n v="3"/>
    <n v="5"/>
    <n v="2"/>
    <n v="0"/>
    <n v="3"/>
  </r>
  <r>
    <n v="1146"/>
    <n v="36"/>
    <s v="36-45"/>
    <x v="1"/>
    <s v="Travel_Rarely"/>
    <n v="1389"/>
    <x v="1"/>
    <n v="12"/>
    <s v="High"/>
    <s v="Life Sciences"/>
    <s v="High"/>
    <s v="Female"/>
    <n v="76"/>
    <s v="High"/>
    <s v="Medium"/>
    <s v="Manufacturing Director"/>
    <s v="High"/>
    <s v="Married"/>
    <n v="4663"/>
    <n v="12421"/>
    <s v="Low"/>
    <n v="9"/>
    <x v="0"/>
    <n v="12"/>
    <s v="High"/>
    <s v="Medium"/>
    <n v="2"/>
    <n v="7"/>
    <n v="2"/>
    <n v="3"/>
    <n v="3"/>
    <n v="2"/>
    <n v="1"/>
    <n v="1"/>
  </r>
  <r>
    <n v="1147"/>
    <n v="34"/>
    <s v="26-35"/>
    <x v="1"/>
    <s v="Travel_Frequently"/>
    <n v="1389"/>
    <x v="1"/>
    <n v="10"/>
    <s v="High"/>
    <s v="Life Sciences"/>
    <s v="High"/>
    <s v="Male"/>
    <n v="42"/>
    <s v="Excellent"/>
    <s v="Medium"/>
    <s v="Manufacturing Director"/>
    <s v="Excellent"/>
    <s v="Divorced"/>
    <n v="4724"/>
    <n v="17000"/>
    <s v="Low"/>
    <n v="1"/>
    <x v="1"/>
    <n v="13"/>
    <s v="High"/>
    <s v="Low"/>
    <n v="1"/>
    <n v="9"/>
    <n v="3"/>
    <n v="3"/>
    <n v="9"/>
    <n v="7"/>
    <n v="7"/>
    <n v="2"/>
  </r>
  <r>
    <n v="1148"/>
    <n v="49"/>
    <s v="46-55"/>
    <x v="1"/>
    <s v="Travel_Rarely"/>
    <n v="1389"/>
    <x v="1"/>
    <n v="25"/>
    <s v="High"/>
    <s v="Life Sciences"/>
    <s v="High"/>
    <s v="Female"/>
    <n v="84"/>
    <s v="High"/>
    <s v="Low"/>
    <s v="Laboratory Technician"/>
    <s v="Low"/>
    <s v="Married"/>
    <n v="3211"/>
    <n v="22102"/>
    <s v="Low"/>
    <n v="1"/>
    <x v="1"/>
    <n v="14"/>
    <s v="High"/>
    <s v="Excellent"/>
    <n v="1"/>
    <n v="10"/>
    <n v="3"/>
    <n v="2"/>
    <n v="9"/>
    <n v="6"/>
    <n v="1"/>
    <n v="4"/>
  </r>
  <r>
    <n v="1149"/>
    <n v="39"/>
    <s v="36-45"/>
    <x v="1"/>
    <s v="Travel_Rarely"/>
    <n v="1389"/>
    <x v="1"/>
    <n v="10"/>
    <s v="Excellent"/>
    <s v="Medical"/>
    <s v="Medium"/>
    <s v="Male"/>
    <n v="76"/>
    <s v="High"/>
    <s v="Medium"/>
    <s v="Manufacturing Director"/>
    <s v="Low"/>
    <s v="Married"/>
    <n v="5377"/>
    <n v="3835"/>
    <s v="Medium"/>
    <n v="2"/>
    <x v="1"/>
    <n v="13"/>
    <s v="High"/>
    <s v="Excellent"/>
    <n v="3"/>
    <n v="10"/>
    <n v="3"/>
    <n v="3"/>
    <n v="7"/>
    <n v="7"/>
    <n v="7"/>
    <n v="7"/>
  </r>
  <r>
    <n v="1150"/>
    <n v="27"/>
    <s v="26-35"/>
    <x v="1"/>
    <s v="Travel_Rarely"/>
    <n v="1389"/>
    <x v="1"/>
    <n v="19"/>
    <s v="Medium"/>
    <s v="Other"/>
    <s v="Excellent"/>
    <s v="Male"/>
    <n v="67"/>
    <s v="Medium"/>
    <s v="Low"/>
    <s v="Laboratory Technician"/>
    <s v="Low"/>
    <s v="Divorced"/>
    <n v="4066"/>
    <n v="16290"/>
    <s v="Low"/>
    <n v="1"/>
    <x v="1"/>
    <n v="11"/>
    <s v="High"/>
    <s v="Low"/>
    <n v="2"/>
    <n v="7"/>
    <n v="3"/>
    <n v="3"/>
    <n v="7"/>
    <n v="7"/>
    <n v="0"/>
    <n v="7"/>
  </r>
  <r>
    <n v="1151"/>
    <n v="35"/>
    <s v="26-35"/>
    <x v="1"/>
    <s v="Travel_Rarely"/>
    <n v="1389"/>
    <x v="1"/>
    <n v="18"/>
    <s v="Excellent"/>
    <s v="Life Sciences"/>
    <s v="Medium"/>
    <s v="Male"/>
    <n v="48"/>
    <s v="Excellent"/>
    <s v="Medium"/>
    <s v="Research Scientist"/>
    <s v="Low"/>
    <s v="Married"/>
    <n v="5208"/>
    <n v="26312"/>
    <s v="Medium"/>
    <n v="1"/>
    <x v="1"/>
    <n v="11"/>
    <s v="High"/>
    <s v="Excellent"/>
    <n v="0"/>
    <n v="16"/>
    <n v="2"/>
    <n v="3"/>
    <n v="16"/>
    <n v="15"/>
    <n v="1"/>
    <n v="10"/>
  </r>
  <r>
    <n v="1152"/>
    <n v="28"/>
    <s v="26-35"/>
    <x v="1"/>
    <s v="Travel_Rarely"/>
    <n v="1389"/>
    <x v="1"/>
    <n v="27"/>
    <s v="Medium"/>
    <s v="Medical"/>
    <s v="Medium"/>
    <s v="Female"/>
    <n v="39"/>
    <s v="Low"/>
    <s v="Medium"/>
    <s v="Manufacturing Director"/>
    <s v="Low"/>
    <s v="Divorced"/>
    <n v="4877"/>
    <n v="20460"/>
    <s v="Low"/>
    <n v="0"/>
    <x v="1"/>
    <n v="21"/>
    <s v="Excellent"/>
    <s v="Medium"/>
    <n v="1"/>
    <n v="6"/>
    <n v="5"/>
    <n v="2"/>
    <n v="5"/>
    <n v="3"/>
    <n v="0"/>
    <n v="0"/>
  </r>
  <r>
    <n v="1153"/>
    <n v="21"/>
    <s v="18-25"/>
    <x v="1"/>
    <s v="Travel_Rarely"/>
    <n v="1389"/>
    <x v="1"/>
    <n v="5"/>
    <s v="Low"/>
    <s v="Medical"/>
    <s v="High"/>
    <s v="Male"/>
    <n v="97"/>
    <s v="High"/>
    <s v="Low"/>
    <s v="Research Scientist"/>
    <s v="Excellent"/>
    <s v="Single"/>
    <n v="3117"/>
    <n v="26009"/>
    <s v="Low"/>
    <n v="1"/>
    <x v="1"/>
    <n v="18"/>
    <s v="High"/>
    <s v="High"/>
    <n v="0"/>
    <n v="3"/>
    <n v="2"/>
    <n v="3"/>
    <n v="2"/>
    <n v="2"/>
    <n v="2"/>
    <n v="2"/>
  </r>
  <r>
    <n v="1154"/>
    <n v="18"/>
    <s v="18-25"/>
    <x v="0"/>
    <s v="Travel_Frequently"/>
    <n v="1389"/>
    <x v="0"/>
    <n v="3"/>
    <s v="Good"/>
    <s v="Medical"/>
    <s v="Medium"/>
    <s v="Female"/>
    <n v="70"/>
    <s v="High"/>
    <s v="Low"/>
    <s v="Sales Representative"/>
    <s v="Excellent"/>
    <s v="Single"/>
    <n v="1569"/>
    <n v="18420"/>
    <s v="Low"/>
    <n v="1"/>
    <x v="0"/>
    <n v="12"/>
    <s v="High"/>
    <s v="High"/>
    <n v="0"/>
    <n v="0"/>
    <n v="2"/>
    <n v="4"/>
    <n v="0"/>
    <n v="0"/>
    <n v="0"/>
    <n v="0"/>
  </r>
  <r>
    <n v="1155"/>
    <n v="47"/>
    <s v="46-55"/>
    <x v="1"/>
    <s v="Travel_Rarely"/>
    <n v="1389"/>
    <x v="2"/>
    <n v="26"/>
    <s v="High"/>
    <s v="Life Sciences"/>
    <s v="Excellent"/>
    <s v="Female"/>
    <n v="98"/>
    <s v="High"/>
    <e v="#N/A"/>
    <s v="Manager"/>
    <s v="High"/>
    <s v="Married"/>
    <n v="19658"/>
    <n v="5220"/>
    <s v="High"/>
    <n v="3"/>
    <x v="1"/>
    <n v="11"/>
    <s v="High"/>
    <s v="High"/>
    <n v="1"/>
    <n v="27"/>
    <n v="2"/>
    <n v="3"/>
    <n v="5"/>
    <n v="2"/>
    <n v="1"/>
    <n v="0"/>
  </r>
  <r>
    <n v="1156"/>
    <n v="39"/>
    <s v="36-45"/>
    <x v="1"/>
    <s v="Travel_Rarely"/>
    <n v="1389"/>
    <x v="1"/>
    <n v="3"/>
    <s v="Good"/>
    <s v="Medical"/>
    <s v="High"/>
    <s v="Male"/>
    <n v="76"/>
    <s v="Medium"/>
    <s v="Medium"/>
    <s v="Laboratory Technician"/>
    <s v="High"/>
    <s v="Divorced"/>
    <n v="3069"/>
    <n v="10302"/>
    <s v="Low"/>
    <n v="0"/>
    <x v="1"/>
    <n v="15"/>
    <s v="High"/>
    <s v="Excellent"/>
    <n v="1"/>
    <n v="11"/>
    <n v="3"/>
    <n v="3"/>
    <n v="10"/>
    <n v="8"/>
    <n v="0"/>
    <n v="7"/>
  </r>
  <r>
    <n v="1157"/>
    <n v="40"/>
    <s v="36-45"/>
    <x v="1"/>
    <s v="Travel_Rarely"/>
    <n v="1389"/>
    <x v="1"/>
    <n v="15"/>
    <s v="Medium"/>
    <s v="Life Sciences"/>
    <s v="Low"/>
    <s v="Female"/>
    <n v="80"/>
    <s v="Medium"/>
    <s v="High"/>
    <s v="Manufacturing Director"/>
    <s v="High"/>
    <s v="Married"/>
    <n v="10435"/>
    <n v="25800"/>
    <s v="High"/>
    <n v="1"/>
    <x v="1"/>
    <n v="13"/>
    <s v="High"/>
    <s v="Excellent"/>
    <n v="2"/>
    <n v="18"/>
    <n v="2"/>
    <n v="3"/>
    <n v="18"/>
    <n v="15"/>
    <n v="14"/>
    <n v="12"/>
  </r>
  <r>
    <n v="1158"/>
    <n v="35"/>
    <s v="26-35"/>
    <x v="1"/>
    <s v="Non-Travel"/>
    <n v="1389"/>
    <x v="1"/>
    <n v="8"/>
    <s v="High"/>
    <s v="Life Sciences"/>
    <s v="High"/>
    <s v="Female"/>
    <n v="52"/>
    <s v="High"/>
    <s v="Medium"/>
    <s v="Healthcare Representative"/>
    <s v="High"/>
    <s v="Married"/>
    <n v="4148"/>
    <n v="12250"/>
    <s v="Low"/>
    <n v="1"/>
    <x v="1"/>
    <n v="12"/>
    <s v="High"/>
    <s v="Excellent"/>
    <n v="1"/>
    <n v="15"/>
    <n v="5"/>
    <n v="3"/>
    <n v="14"/>
    <n v="11"/>
    <n v="2"/>
    <n v="9"/>
  </r>
  <r>
    <n v="1159"/>
    <n v="37"/>
    <s v="36-45"/>
    <x v="1"/>
    <s v="Travel_Rarely"/>
    <n v="1389"/>
    <x v="1"/>
    <n v="19"/>
    <s v="Medium"/>
    <s v="Life Sciences"/>
    <s v="High"/>
    <s v="Male"/>
    <n v="85"/>
    <s v="High"/>
    <s v="Medium"/>
    <s v="Manufacturing Director"/>
    <s v="High"/>
    <s v="Married"/>
    <n v="5768"/>
    <n v="26493"/>
    <s v="Medium"/>
    <n v="3"/>
    <x v="1"/>
    <n v="17"/>
    <s v="High"/>
    <s v="Low"/>
    <n v="3"/>
    <n v="9"/>
    <n v="2"/>
    <n v="2"/>
    <n v="4"/>
    <n v="3"/>
    <n v="0"/>
    <n v="2"/>
  </r>
  <r>
    <n v="1160"/>
    <n v="39"/>
    <s v="36-45"/>
    <x v="1"/>
    <s v="Travel_Frequently"/>
    <n v="1389"/>
    <x v="1"/>
    <n v="4"/>
    <s v="Medium"/>
    <s v="Medical"/>
    <s v="Low"/>
    <s v="Female"/>
    <n v="81"/>
    <s v="High"/>
    <s v="Medium"/>
    <s v="Manufacturing Director"/>
    <s v="High"/>
    <s v="Single"/>
    <n v="5042"/>
    <n v="3140"/>
    <s v="Medium"/>
    <n v="0"/>
    <x v="1"/>
    <n v="13"/>
    <s v="High"/>
    <s v="Excellent"/>
    <n v="0"/>
    <n v="10"/>
    <n v="2"/>
    <n v="1"/>
    <n v="9"/>
    <n v="2"/>
    <n v="3"/>
    <n v="8"/>
  </r>
  <r>
    <n v="1161"/>
    <n v="45"/>
    <s v="36-45"/>
    <x v="1"/>
    <s v="Travel_Rarely"/>
    <n v="1389"/>
    <x v="1"/>
    <n v="2"/>
    <s v="Good"/>
    <s v="Other"/>
    <s v="Excellent"/>
    <s v="Female"/>
    <n v="59"/>
    <s v="Medium"/>
    <s v="Medium"/>
    <s v="Manufacturing Director"/>
    <s v="Excellent"/>
    <s v="Divorced"/>
    <n v="5770"/>
    <n v="5388"/>
    <s v="Medium"/>
    <n v="1"/>
    <x v="1"/>
    <n v="19"/>
    <s v="High"/>
    <s v="Low"/>
    <n v="2"/>
    <n v="10"/>
    <n v="3"/>
    <n v="3"/>
    <n v="10"/>
    <n v="7"/>
    <n v="3"/>
    <n v="9"/>
  </r>
  <r>
    <n v="1162"/>
    <n v="38"/>
    <s v="36-45"/>
    <x v="1"/>
    <s v="Travel_Rarely"/>
    <n v="1389"/>
    <x v="1"/>
    <n v="2"/>
    <s v="Good"/>
    <s v="Medical"/>
    <s v="Excellent"/>
    <s v="Female"/>
    <n v="54"/>
    <s v="Medium"/>
    <s v="High"/>
    <s v="Manufacturing Director"/>
    <s v="High"/>
    <s v="Married"/>
    <n v="7756"/>
    <n v="14199"/>
    <s v="Medium"/>
    <n v="3"/>
    <x v="0"/>
    <n v="19"/>
    <s v="High"/>
    <s v="Excellent"/>
    <n v="1"/>
    <n v="10"/>
    <n v="6"/>
    <n v="4"/>
    <n v="5"/>
    <n v="4"/>
    <n v="0"/>
    <n v="2"/>
  </r>
  <r>
    <n v="1163"/>
    <n v="35"/>
    <s v="26-35"/>
    <x v="0"/>
    <s v="Travel_Rarely"/>
    <n v="1389"/>
    <x v="0"/>
    <n v="10"/>
    <s v="Medium"/>
    <s v="Medical"/>
    <s v="Excellent"/>
    <s v="Male"/>
    <n v="55"/>
    <s v="Medium"/>
    <s v="High"/>
    <s v="Sales Executive"/>
    <s v="Low"/>
    <s v="Married"/>
    <n v="10306"/>
    <n v="21530"/>
    <s v="High"/>
    <n v="9"/>
    <x v="1"/>
    <n v="17"/>
    <s v="High"/>
    <s v="High"/>
    <n v="0"/>
    <n v="15"/>
    <n v="3"/>
    <n v="3"/>
    <n v="13"/>
    <n v="12"/>
    <n v="6"/>
    <n v="0"/>
  </r>
  <r>
    <n v="1164"/>
    <n v="37"/>
    <s v="36-45"/>
    <x v="1"/>
    <s v="Travel_Rarely"/>
    <n v="1389"/>
    <x v="1"/>
    <n v="10"/>
    <s v="Medium"/>
    <s v="Medical"/>
    <s v="Medium"/>
    <s v="Female"/>
    <n v="71"/>
    <s v="High"/>
    <s v="Low"/>
    <s v="Research Scientist"/>
    <s v="Medium"/>
    <s v="Married"/>
    <n v="3936"/>
    <n v="9953"/>
    <s v="Low"/>
    <n v="1"/>
    <x v="1"/>
    <n v="11"/>
    <s v="High"/>
    <s v="Low"/>
    <n v="1"/>
    <n v="8"/>
    <n v="2"/>
    <n v="1"/>
    <n v="8"/>
    <n v="4"/>
    <n v="7"/>
    <n v="7"/>
  </r>
  <r>
    <n v="1165"/>
    <n v="40"/>
    <s v="36-45"/>
    <x v="1"/>
    <s v="Travel_Rarely"/>
    <n v="1389"/>
    <x v="1"/>
    <n v="16"/>
    <s v="Medium"/>
    <s v="Life Sciences"/>
    <s v="High"/>
    <s v="Female"/>
    <n v="84"/>
    <s v="High"/>
    <s v="High"/>
    <s v="Manufacturing Director"/>
    <s v="Excellent"/>
    <s v="Single"/>
    <n v="7945"/>
    <n v="19948"/>
    <s v="Medium"/>
    <n v="6"/>
    <x v="0"/>
    <n v="15"/>
    <s v="High"/>
    <s v="Excellent"/>
    <n v="0"/>
    <n v="18"/>
    <n v="2"/>
    <n v="2"/>
    <n v="4"/>
    <n v="2"/>
    <n v="3"/>
    <n v="3"/>
  </r>
  <r>
    <n v="1166"/>
    <n v="44"/>
    <s v="36-45"/>
    <x v="1"/>
    <s v="Travel_Frequently"/>
    <n v="1389"/>
    <x v="2"/>
    <n v="1"/>
    <s v="Excellent"/>
    <s v="Human Resources"/>
    <s v="Low"/>
    <s v="Male"/>
    <n v="37"/>
    <s v="High"/>
    <s v="Medium"/>
    <s v="Human Resources"/>
    <s v="Excellent"/>
    <s v="Married"/>
    <n v="5743"/>
    <n v="10503"/>
    <s v="Medium"/>
    <n v="4"/>
    <x v="0"/>
    <n v="11"/>
    <s v="High"/>
    <s v="High"/>
    <n v="0"/>
    <n v="14"/>
    <n v="3"/>
    <n v="3"/>
    <n v="10"/>
    <n v="7"/>
    <n v="0"/>
    <n v="2"/>
  </r>
  <r>
    <n v="1167"/>
    <n v="48"/>
    <s v="46-55"/>
    <x v="1"/>
    <s v="Travel_Frequently"/>
    <n v="1389"/>
    <x v="1"/>
    <n v="4"/>
    <s v="Excellent"/>
    <s v="Medical"/>
    <s v="High"/>
    <s v="Male"/>
    <n v="89"/>
    <s v="Medium"/>
    <s v="Excellent"/>
    <s v="Manager"/>
    <s v="Excellent"/>
    <s v="Married"/>
    <n v="15202"/>
    <n v="5602"/>
    <s v="High"/>
    <n v="2"/>
    <x v="1"/>
    <n v="25"/>
    <s v="Excellent"/>
    <s v="Medium"/>
    <n v="1"/>
    <n v="23"/>
    <n v="3"/>
    <n v="3"/>
    <n v="2"/>
    <n v="2"/>
    <n v="2"/>
    <n v="2"/>
  </r>
  <r>
    <n v="1168"/>
    <n v="35"/>
    <s v="26-35"/>
    <x v="0"/>
    <s v="Travel_Rarely"/>
    <n v="1389"/>
    <x v="0"/>
    <n v="15"/>
    <s v="Good"/>
    <s v="Medical"/>
    <s v="Low"/>
    <s v="Male"/>
    <n v="59"/>
    <s v="Low"/>
    <s v="Medium"/>
    <s v="Sales Executive"/>
    <s v="Excellent"/>
    <s v="Divorced"/>
    <n v="5440"/>
    <n v="22098"/>
    <s v="Medium"/>
    <n v="6"/>
    <x v="0"/>
    <n v="14"/>
    <s v="High"/>
    <s v="Excellent"/>
    <n v="2"/>
    <n v="7"/>
    <n v="2"/>
    <n v="2"/>
    <n v="2"/>
    <n v="2"/>
    <n v="2"/>
    <n v="2"/>
  </r>
  <r>
    <n v="1169"/>
    <n v="24"/>
    <s v="18-25"/>
    <x v="1"/>
    <s v="Travel_Frequently"/>
    <n v="1389"/>
    <x v="1"/>
    <n v="2"/>
    <s v="Low"/>
    <s v="Technical Degree"/>
    <s v="Low"/>
    <s v="Female"/>
    <n v="32"/>
    <s v="High"/>
    <s v="Low"/>
    <s v="Research Scientist"/>
    <s v="Excellent"/>
    <s v="Single"/>
    <n v="3760"/>
    <n v="17218"/>
    <s v="Low"/>
    <n v="1"/>
    <x v="0"/>
    <n v="13"/>
    <s v="High"/>
    <s v="High"/>
    <n v="0"/>
    <n v="6"/>
    <n v="2"/>
    <n v="3"/>
    <n v="6"/>
    <n v="3"/>
    <n v="1"/>
    <n v="3"/>
  </r>
  <r>
    <n v="1170"/>
    <n v="27"/>
    <s v="26-35"/>
    <x v="1"/>
    <s v="Travel_Rarely"/>
    <n v="1389"/>
    <x v="1"/>
    <n v="8"/>
    <s v="Medium"/>
    <s v="Medical"/>
    <s v="Medium"/>
    <s v="Female"/>
    <n v="86"/>
    <s v="Excellent"/>
    <s v="Low"/>
    <s v="Research Scientist"/>
    <s v="High"/>
    <s v="Married"/>
    <n v="3517"/>
    <n v="22490"/>
    <s v="Low"/>
    <n v="7"/>
    <x v="1"/>
    <n v="17"/>
    <s v="High"/>
    <s v="Low"/>
    <n v="0"/>
    <n v="5"/>
    <n v="0"/>
    <n v="3"/>
    <n v="3"/>
    <n v="2"/>
    <n v="0"/>
    <n v="2"/>
  </r>
  <r>
    <n v="1171"/>
    <n v="27"/>
    <s v="26-35"/>
    <x v="1"/>
    <s v="Travel_Frequently"/>
    <n v="1389"/>
    <x v="1"/>
    <n v="2"/>
    <s v="Medium"/>
    <s v="Medical"/>
    <s v="Excellent"/>
    <s v="Male"/>
    <n v="87"/>
    <s v="High"/>
    <s v="Low"/>
    <s v="Research Scientist"/>
    <s v="Excellent"/>
    <s v="Single"/>
    <n v="2580"/>
    <n v="6297"/>
    <s v="Low"/>
    <n v="2"/>
    <x v="1"/>
    <n v="13"/>
    <s v="High"/>
    <s v="High"/>
    <n v="0"/>
    <n v="6"/>
    <n v="0"/>
    <n v="2"/>
    <n v="4"/>
    <n v="2"/>
    <n v="1"/>
    <n v="2"/>
  </r>
  <r>
    <n v="1172"/>
    <n v="40"/>
    <s v="36-45"/>
    <x v="0"/>
    <s v="Travel_Rarely"/>
    <n v="1389"/>
    <x v="1"/>
    <n v="7"/>
    <s v="Medium"/>
    <s v="Life Sciences"/>
    <s v="Low"/>
    <s v="Male"/>
    <n v="73"/>
    <s v="High"/>
    <s v="Low"/>
    <s v="Laboratory Technician"/>
    <s v="Low"/>
    <s v="Single"/>
    <n v="2166"/>
    <n v="3339"/>
    <s v="Low"/>
    <n v="3"/>
    <x v="0"/>
    <n v="14"/>
    <s v="High"/>
    <s v="Medium"/>
    <n v="0"/>
    <n v="10"/>
    <n v="3"/>
    <n v="1"/>
    <n v="4"/>
    <n v="2"/>
    <n v="0"/>
    <n v="3"/>
  </r>
  <r>
    <n v="1173"/>
    <n v="29"/>
    <s v="26-35"/>
    <x v="1"/>
    <s v="Travel_Rarely"/>
    <n v="1389"/>
    <x v="0"/>
    <n v="10"/>
    <s v="Medium"/>
    <s v="Medical"/>
    <s v="High"/>
    <s v="Male"/>
    <n v="42"/>
    <s v="Medium"/>
    <s v="Medium"/>
    <s v="Sales Executive"/>
    <s v="High"/>
    <s v="Single"/>
    <n v="5869"/>
    <n v="23413"/>
    <s v="Medium"/>
    <n v="9"/>
    <x v="1"/>
    <n v="11"/>
    <s v="High"/>
    <s v="High"/>
    <n v="0"/>
    <n v="8"/>
    <n v="2"/>
    <n v="3"/>
    <n v="5"/>
    <n v="2"/>
    <n v="1"/>
    <n v="4"/>
  </r>
  <r>
    <n v="1174"/>
    <n v="36"/>
    <s v="36-45"/>
    <x v="1"/>
    <s v="Travel_Rarely"/>
    <n v="1389"/>
    <x v="1"/>
    <n v="5"/>
    <s v="High"/>
    <s v="Life Sciences"/>
    <s v="Medium"/>
    <s v="Female"/>
    <n v="42"/>
    <s v="High"/>
    <s v="High"/>
    <s v="Healthcare Representative"/>
    <s v="Low"/>
    <s v="Married"/>
    <n v="8008"/>
    <n v="22792"/>
    <s v="Medium"/>
    <n v="4"/>
    <x v="1"/>
    <n v="12"/>
    <s v="High"/>
    <s v="High"/>
    <n v="2"/>
    <n v="9"/>
    <n v="6"/>
    <n v="3"/>
    <n v="3"/>
    <n v="2"/>
    <n v="0"/>
    <n v="2"/>
  </r>
  <r>
    <n v="1175"/>
    <n v="25"/>
    <s v="18-25"/>
    <x v="1"/>
    <s v="Travel_Frequently"/>
    <n v="1389"/>
    <x v="1"/>
    <n v="2"/>
    <s v="Low"/>
    <s v="Life Sciences"/>
    <s v="Excellent"/>
    <s v="Male"/>
    <n v="77"/>
    <s v="Excellent"/>
    <s v="Medium"/>
    <s v="Manufacturing Director"/>
    <s v="High"/>
    <s v="Divorced"/>
    <n v="5206"/>
    <n v="4973"/>
    <s v="Medium"/>
    <n v="1"/>
    <x v="1"/>
    <n v="17"/>
    <s v="High"/>
    <s v="High"/>
    <n v="2"/>
    <n v="7"/>
    <n v="6"/>
    <n v="3"/>
    <n v="7"/>
    <n v="7"/>
    <n v="0"/>
    <n v="7"/>
  </r>
  <r>
    <n v="1176"/>
    <n v="39"/>
    <s v="36-45"/>
    <x v="1"/>
    <s v="Travel_Rarely"/>
    <n v="1389"/>
    <x v="1"/>
    <n v="12"/>
    <s v="Medium"/>
    <s v="Medical"/>
    <s v="Excellent"/>
    <s v="Male"/>
    <n v="66"/>
    <s v="High"/>
    <s v="Medium"/>
    <s v="Manufacturing Director"/>
    <s v="Medium"/>
    <s v="Married"/>
    <n v="5295"/>
    <n v="7693"/>
    <s v="Medium"/>
    <n v="4"/>
    <x v="1"/>
    <n v="21"/>
    <s v="Excellent"/>
    <s v="High"/>
    <n v="0"/>
    <n v="7"/>
    <n v="3"/>
    <n v="3"/>
    <n v="5"/>
    <n v="4"/>
    <n v="1"/>
    <n v="0"/>
  </r>
  <r>
    <n v="1177"/>
    <n v="49"/>
    <s v="46-55"/>
    <x v="1"/>
    <s v="Travel_Rarely"/>
    <n v="1389"/>
    <x v="1"/>
    <n v="22"/>
    <s v="High"/>
    <s v="Other"/>
    <s v="Low"/>
    <s v="Female"/>
    <n v="72"/>
    <s v="High"/>
    <s v="Excellent"/>
    <s v="Research Director"/>
    <s v="Medium"/>
    <s v="Married"/>
    <n v="16413"/>
    <n v="3498"/>
    <s v="High"/>
    <n v="3"/>
    <x v="1"/>
    <n v="16"/>
    <s v="High"/>
    <s v="Medium"/>
    <n v="2"/>
    <n v="27"/>
    <n v="2"/>
    <n v="3"/>
    <n v="4"/>
    <n v="2"/>
    <n v="1"/>
    <n v="2"/>
  </r>
  <r>
    <n v="1178"/>
    <n v="50"/>
    <s v="46-55"/>
    <x v="1"/>
    <s v="Travel_Rarely"/>
    <n v="1389"/>
    <x v="1"/>
    <n v="17"/>
    <s v="Excellent"/>
    <s v="Life Sciences"/>
    <s v="Excellent"/>
    <s v="Female"/>
    <n v="50"/>
    <s v="Medium"/>
    <s v="High"/>
    <s v="Research Director"/>
    <s v="Low"/>
    <s v="Divorced"/>
    <n v="13269"/>
    <n v="21981"/>
    <s v="High"/>
    <n v="5"/>
    <x v="1"/>
    <n v="15"/>
    <s v="High"/>
    <s v="High"/>
    <n v="3"/>
    <n v="19"/>
    <n v="3"/>
    <n v="3"/>
    <n v="14"/>
    <n v="11"/>
    <n v="1"/>
    <n v="11"/>
  </r>
  <r>
    <n v="1179"/>
    <n v="20"/>
    <s v="18-25"/>
    <x v="1"/>
    <s v="Travel_Rarely"/>
    <n v="1389"/>
    <x v="0"/>
    <n v="2"/>
    <s v="Medium"/>
    <s v="Medical"/>
    <s v="High"/>
    <s v="Female"/>
    <n v="31"/>
    <s v="High"/>
    <s v="Low"/>
    <s v="Sales Representative"/>
    <s v="High"/>
    <s v="Single"/>
    <n v="2783"/>
    <n v="13251"/>
    <s v="Low"/>
    <n v="1"/>
    <x v="1"/>
    <n v="19"/>
    <s v="High"/>
    <s v="Low"/>
    <n v="0"/>
    <n v="2"/>
    <n v="3"/>
    <n v="3"/>
    <n v="2"/>
    <n v="2"/>
    <n v="2"/>
    <n v="2"/>
  </r>
  <r>
    <n v="1180"/>
    <n v="34"/>
    <s v="26-35"/>
    <x v="1"/>
    <s v="Travel_Rarely"/>
    <n v="1389"/>
    <x v="1"/>
    <n v="3"/>
    <s v="Medium"/>
    <s v="Life Sciences"/>
    <s v="Excellent"/>
    <s v="Female"/>
    <n v="66"/>
    <s v="High"/>
    <s v="Medium"/>
    <s v="Research Scientist"/>
    <s v="Medium"/>
    <s v="Divorced"/>
    <n v="5433"/>
    <n v="19332"/>
    <s v="Medium"/>
    <n v="1"/>
    <x v="1"/>
    <n v="12"/>
    <s v="High"/>
    <s v="High"/>
    <n v="1"/>
    <n v="11"/>
    <n v="2"/>
    <n v="3"/>
    <n v="11"/>
    <n v="8"/>
    <n v="7"/>
    <n v="9"/>
  </r>
  <r>
    <n v="1181"/>
    <n v="36"/>
    <s v="36-45"/>
    <x v="1"/>
    <s v="Travel_Rarely"/>
    <n v="1389"/>
    <x v="1"/>
    <n v="7"/>
    <s v="Medium"/>
    <s v="Life Sciences"/>
    <s v="Low"/>
    <s v="Male"/>
    <n v="77"/>
    <s v="High"/>
    <s v="Low"/>
    <s v="Laboratory Technician"/>
    <s v="Medium"/>
    <s v="Single"/>
    <n v="2013"/>
    <n v="10950"/>
    <s v="Low"/>
    <n v="2"/>
    <x v="1"/>
    <n v="11"/>
    <s v="High"/>
    <s v="High"/>
    <n v="0"/>
    <n v="15"/>
    <n v="4"/>
    <n v="3"/>
    <n v="4"/>
    <n v="3"/>
    <n v="1"/>
    <n v="3"/>
  </r>
  <r>
    <n v="1182"/>
    <n v="49"/>
    <s v="46-55"/>
    <x v="1"/>
    <s v="Travel_Rarely"/>
    <n v="1389"/>
    <x v="1"/>
    <n v="6"/>
    <s v="Low"/>
    <s v="Life Sciences"/>
    <s v="High"/>
    <s v="Female"/>
    <n v="41"/>
    <s v="Medium"/>
    <s v="Excellent"/>
    <s v="Healthcare Representative"/>
    <s v="High"/>
    <s v="Married"/>
    <n v="13966"/>
    <n v="11652"/>
    <s v="High"/>
    <n v="2"/>
    <x v="0"/>
    <n v="19"/>
    <s v="High"/>
    <s v="Medium"/>
    <n v="1"/>
    <n v="30"/>
    <n v="3"/>
    <n v="3"/>
    <n v="15"/>
    <n v="11"/>
    <n v="2"/>
    <n v="12"/>
  </r>
  <r>
    <n v="1183"/>
    <n v="36"/>
    <s v="36-45"/>
    <x v="1"/>
    <s v="Non-Travel"/>
    <n v="1389"/>
    <x v="1"/>
    <n v="1"/>
    <s v="High"/>
    <s v="Medical"/>
    <s v="Excellent"/>
    <s v="Female"/>
    <n v="33"/>
    <s v="Medium"/>
    <s v="Medium"/>
    <s v="Manufacturing Director"/>
    <s v="High"/>
    <s v="Married"/>
    <n v="4374"/>
    <n v="15411"/>
    <s v="Low"/>
    <n v="0"/>
    <x v="1"/>
    <n v="15"/>
    <s v="High"/>
    <s v="High"/>
    <n v="0"/>
    <n v="4"/>
    <n v="6"/>
    <n v="3"/>
    <n v="3"/>
    <n v="2"/>
    <n v="1"/>
    <n v="2"/>
  </r>
  <r>
    <n v="1184"/>
    <n v="36"/>
    <s v="36-45"/>
    <x v="1"/>
    <s v="Travel_Rarely"/>
    <n v="1389"/>
    <x v="1"/>
    <n v="3"/>
    <s v="Good"/>
    <s v="Life Sciences"/>
    <s v="Excellent"/>
    <s v="Male"/>
    <n v="79"/>
    <s v="Excellent"/>
    <s v="Medium"/>
    <s v="Healthcare Representative"/>
    <s v="Low"/>
    <s v="Divorced"/>
    <n v="6842"/>
    <n v="26308"/>
    <s v="Medium"/>
    <n v="6"/>
    <x v="1"/>
    <n v="20"/>
    <s v="Excellent"/>
    <s v="Low"/>
    <n v="1"/>
    <n v="13"/>
    <n v="3"/>
    <n v="3"/>
    <n v="5"/>
    <n v="4"/>
    <n v="0"/>
    <n v="4"/>
  </r>
  <r>
    <n v="1185"/>
    <n v="54"/>
    <s v="46-55"/>
    <x v="1"/>
    <s v="Travel_Rarely"/>
    <n v="1389"/>
    <x v="1"/>
    <n v="22"/>
    <s v="Excellent"/>
    <s v="Medical"/>
    <s v="Medium"/>
    <s v="Female"/>
    <n v="91"/>
    <s v="High"/>
    <s v="Excellent"/>
    <s v="Manager"/>
    <s v="High"/>
    <s v="Married"/>
    <n v="17426"/>
    <n v="18685"/>
    <s v="High"/>
    <n v="3"/>
    <x v="1"/>
    <n v="25"/>
    <s v="Excellent"/>
    <s v="High"/>
    <n v="1"/>
    <n v="36"/>
    <n v="6"/>
    <n v="3"/>
    <n v="10"/>
    <n v="8"/>
    <n v="4"/>
    <n v="7"/>
  </r>
  <r>
    <n v="1186"/>
    <n v="43"/>
    <s v="36-45"/>
    <x v="1"/>
    <s v="Travel_Rarely"/>
    <n v="1389"/>
    <x v="1"/>
    <n v="15"/>
    <s v="Good"/>
    <s v="Life Sciences"/>
    <s v="High"/>
    <s v="Male"/>
    <n v="65"/>
    <s v="Medium"/>
    <s v="Excellent"/>
    <s v="Research Director"/>
    <s v="High"/>
    <s v="Married"/>
    <n v="17603"/>
    <n v="3525"/>
    <s v="High"/>
    <n v="1"/>
    <x v="1"/>
    <n v="24"/>
    <s v="Excellent"/>
    <s v="Low"/>
    <n v="1"/>
    <n v="14"/>
    <n v="3"/>
    <n v="3"/>
    <n v="14"/>
    <n v="10"/>
    <n v="6"/>
    <n v="11"/>
  </r>
  <r>
    <n v="1187"/>
    <n v="35"/>
    <s v="26-35"/>
    <x v="0"/>
    <s v="Travel_Frequently"/>
    <n v="1389"/>
    <x v="0"/>
    <n v="12"/>
    <s v="High"/>
    <s v="Other"/>
    <s v="Excellent"/>
    <s v="Male"/>
    <n v="36"/>
    <s v="High"/>
    <s v="Medium"/>
    <s v="Sales Executive"/>
    <s v="Excellent"/>
    <s v="Single"/>
    <n v="4581"/>
    <n v="10414"/>
    <s v="Low"/>
    <n v="3"/>
    <x v="0"/>
    <n v="24"/>
    <s v="Excellent"/>
    <s v="Low"/>
    <n v="0"/>
    <n v="13"/>
    <n v="2"/>
    <n v="4"/>
    <n v="11"/>
    <n v="9"/>
    <n v="6"/>
    <n v="7"/>
  </r>
  <r>
    <n v="1188"/>
    <n v="38"/>
    <s v="36-45"/>
    <x v="1"/>
    <s v="Travel_Frequently"/>
    <n v="1389"/>
    <x v="1"/>
    <n v="1"/>
    <s v="Medium"/>
    <s v="Life Sciences"/>
    <s v="Excellent"/>
    <s v="Male"/>
    <n v="90"/>
    <s v="High"/>
    <s v="Medium"/>
    <s v="Research Scientist"/>
    <s v="Excellent"/>
    <s v="Married"/>
    <n v="4735"/>
    <n v="9867"/>
    <s v="Low"/>
    <n v="7"/>
    <x v="1"/>
    <n v="15"/>
    <s v="High"/>
    <s v="Excellent"/>
    <n v="2"/>
    <n v="19"/>
    <n v="4"/>
    <n v="4"/>
    <n v="13"/>
    <n v="11"/>
    <n v="2"/>
    <n v="9"/>
  </r>
  <r>
    <n v="1189"/>
    <n v="29"/>
    <s v="26-35"/>
    <x v="1"/>
    <s v="Travel_Rarely"/>
    <n v="1389"/>
    <x v="0"/>
    <n v="5"/>
    <s v="Medium"/>
    <s v="Medical"/>
    <s v="Low"/>
    <s v="Male"/>
    <n v="43"/>
    <s v="Medium"/>
    <s v="Medium"/>
    <s v="Sales Executive"/>
    <s v="Medium"/>
    <s v="Divorced"/>
    <n v="4187"/>
    <n v="3356"/>
    <s v="Low"/>
    <n v="1"/>
    <x v="0"/>
    <n v="13"/>
    <s v="High"/>
    <s v="Medium"/>
    <n v="1"/>
    <n v="10"/>
    <n v="3"/>
    <n v="2"/>
    <n v="10"/>
    <n v="0"/>
    <n v="0"/>
    <n v="9"/>
  </r>
  <r>
    <n v="1190"/>
    <n v="33"/>
    <s v="26-35"/>
    <x v="1"/>
    <s v="Travel_Rarely"/>
    <n v="1389"/>
    <x v="0"/>
    <n v="2"/>
    <s v="High"/>
    <s v="Medical"/>
    <s v="Excellent"/>
    <s v="Male"/>
    <n v="93"/>
    <s v="High"/>
    <s v="Medium"/>
    <s v="Sales Executive"/>
    <s v="Excellent"/>
    <s v="Divorced"/>
    <n v="5505"/>
    <n v="3921"/>
    <s v="Medium"/>
    <n v="1"/>
    <x v="1"/>
    <n v="14"/>
    <s v="High"/>
    <s v="High"/>
    <n v="2"/>
    <n v="6"/>
    <n v="5"/>
    <n v="3"/>
    <n v="6"/>
    <n v="2"/>
    <n v="0"/>
    <n v="4"/>
  </r>
  <r>
    <n v="1191"/>
    <n v="32"/>
    <s v="26-35"/>
    <x v="1"/>
    <s v="Travel_Rarely"/>
    <n v="1389"/>
    <x v="1"/>
    <n v="2"/>
    <s v="Medium"/>
    <s v="Medical"/>
    <s v="Excellent"/>
    <s v="Male"/>
    <n v="45"/>
    <s v="High"/>
    <s v="Medium"/>
    <s v="Research Scientist"/>
    <s v="Medium"/>
    <s v="Divorced"/>
    <n v="5470"/>
    <n v="25518"/>
    <s v="Medium"/>
    <n v="0"/>
    <x v="1"/>
    <n v="13"/>
    <s v="High"/>
    <s v="High"/>
    <n v="2"/>
    <n v="10"/>
    <n v="4"/>
    <n v="2"/>
    <n v="9"/>
    <n v="5"/>
    <n v="1"/>
    <n v="6"/>
  </r>
  <r>
    <n v="1192"/>
    <n v="31"/>
    <s v="26-35"/>
    <x v="1"/>
    <s v="Travel_Rarely"/>
    <n v="1389"/>
    <x v="0"/>
    <n v="5"/>
    <s v="High"/>
    <s v="Life Sciences"/>
    <s v="Low"/>
    <s v="Female"/>
    <n v="67"/>
    <s v="High"/>
    <s v="Medium"/>
    <s v="Sales Executive"/>
    <s v="Excellent"/>
    <s v="Married"/>
    <n v="5476"/>
    <n v="22589"/>
    <s v="Medium"/>
    <n v="1"/>
    <x v="1"/>
    <n v="11"/>
    <s v="High"/>
    <s v="Low"/>
    <n v="2"/>
    <n v="10"/>
    <n v="2"/>
    <n v="3"/>
    <n v="10"/>
    <n v="0"/>
    <n v="0"/>
    <n v="2"/>
  </r>
  <r>
    <n v="1193"/>
    <n v="49"/>
    <s v="46-55"/>
    <x v="1"/>
    <s v="Travel_Rarely"/>
    <n v="1389"/>
    <x v="1"/>
    <n v="16"/>
    <s v="Medium"/>
    <s v="Medical"/>
    <s v="Excellent"/>
    <s v="Female"/>
    <n v="74"/>
    <s v="High"/>
    <s v="Low"/>
    <s v="Laboratory Technician"/>
    <s v="Low"/>
    <s v="Divorced"/>
    <n v="2587"/>
    <n v="24941"/>
    <s v="Low"/>
    <n v="4"/>
    <x v="0"/>
    <n v="16"/>
    <s v="High"/>
    <s v="Medium"/>
    <n v="1"/>
    <n v="17"/>
    <n v="2"/>
    <n v="2"/>
    <n v="2"/>
    <n v="2"/>
    <n v="2"/>
    <n v="2"/>
  </r>
  <r>
    <n v="1194"/>
    <n v="38"/>
    <s v="36-45"/>
    <x v="1"/>
    <s v="Travel_Frequently"/>
    <n v="1389"/>
    <x v="1"/>
    <n v="2"/>
    <s v="Medium"/>
    <s v="Medical"/>
    <s v="Excellent"/>
    <s v="Female"/>
    <n v="42"/>
    <s v="Medium"/>
    <s v="Low"/>
    <s v="Laboratory Technician"/>
    <s v="Medium"/>
    <s v="Single"/>
    <n v="2440"/>
    <n v="23826"/>
    <s v="Low"/>
    <n v="1"/>
    <x v="1"/>
    <n v="22"/>
    <s v="Excellent"/>
    <s v="Medium"/>
    <n v="0"/>
    <n v="4"/>
    <n v="3"/>
    <n v="3"/>
    <n v="4"/>
    <n v="3"/>
    <n v="3"/>
    <n v="3"/>
  </r>
  <r>
    <n v="1195"/>
    <n v="47"/>
    <s v="46-55"/>
    <x v="1"/>
    <s v="Travel_Rarely"/>
    <n v="1389"/>
    <x v="0"/>
    <n v="2"/>
    <s v="High"/>
    <s v="Life Sciences"/>
    <s v="Medium"/>
    <s v="Female"/>
    <n v="47"/>
    <s v="Excellent"/>
    <s v="Excellent"/>
    <s v="Manager"/>
    <s v="Medium"/>
    <s v="Divorced"/>
    <n v="15972"/>
    <n v="21086"/>
    <s v="High"/>
    <n v="6"/>
    <x v="1"/>
    <n v="14"/>
    <s v="High"/>
    <s v="High"/>
    <n v="3"/>
    <n v="29"/>
    <n v="2"/>
    <n v="3"/>
    <n v="3"/>
    <n v="2"/>
    <n v="1"/>
    <n v="2"/>
  </r>
  <r>
    <n v="1196"/>
    <n v="49"/>
    <s v="46-55"/>
    <x v="1"/>
    <s v="Travel_Rarely"/>
    <n v="1389"/>
    <x v="1"/>
    <n v="1"/>
    <s v="Medium"/>
    <s v="Life Sciences"/>
    <s v="High"/>
    <s v="Male"/>
    <n v="36"/>
    <s v="High"/>
    <s v="Excellent"/>
    <s v="Manager"/>
    <s v="High"/>
    <s v="Single"/>
    <n v="15379"/>
    <n v="22384"/>
    <s v="High"/>
    <n v="4"/>
    <x v="1"/>
    <n v="14"/>
    <s v="High"/>
    <s v="Low"/>
    <n v="0"/>
    <n v="23"/>
    <n v="2"/>
    <n v="3"/>
    <n v="8"/>
    <n v="7"/>
    <n v="0"/>
    <n v="0"/>
  </r>
  <r>
    <n v="1197"/>
    <n v="41"/>
    <s v="36-45"/>
    <x v="1"/>
    <s v="Travel_Rarely"/>
    <n v="1389"/>
    <x v="0"/>
    <n v="23"/>
    <s v="Good"/>
    <s v="Life Sciences"/>
    <s v="Excellent"/>
    <s v="Male"/>
    <n v="80"/>
    <s v="High"/>
    <s v="High"/>
    <s v="Sales Executive"/>
    <s v="High"/>
    <s v="Single"/>
    <n v="7082"/>
    <n v="11591"/>
    <s v="Medium"/>
    <n v="3"/>
    <x v="0"/>
    <n v="16"/>
    <s v="High"/>
    <s v="Excellent"/>
    <n v="0"/>
    <n v="21"/>
    <n v="2"/>
    <n v="3"/>
    <n v="2"/>
    <n v="0"/>
    <n v="0"/>
    <n v="2"/>
  </r>
  <r>
    <n v="1198"/>
    <n v="20"/>
    <s v="18-25"/>
    <x v="1"/>
    <s v="Travel_Rarely"/>
    <n v="1389"/>
    <x v="0"/>
    <n v="9"/>
    <s v="Low"/>
    <s v="Life Sciences"/>
    <s v="Excellent"/>
    <s v="Male"/>
    <n v="54"/>
    <s v="High"/>
    <s v="Low"/>
    <s v="Sales Representative"/>
    <s v="Low"/>
    <s v="Single"/>
    <n v="2728"/>
    <n v="21082"/>
    <s v="Low"/>
    <n v="1"/>
    <x v="1"/>
    <n v="11"/>
    <s v="High"/>
    <s v="Low"/>
    <n v="0"/>
    <n v="2"/>
    <n v="3"/>
    <n v="3"/>
    <n v="2"/>
    <n v="2"/>
    <n v="0"/>
    <n v="2"/>
  </r>
  <r>
    <n v="1199"/>
    <n v="33"/>
    <s v="26-35"/>
    <x v="1"/>
    <s v="Non-Travel"/>
    <n v="1389"/>
    <x v="0"/>
    <n v="16"/>
    <s v="Medium"/>
    <s v="Life Sciences"/>
    <s v="High"/>
    <s v="Female"/>
    <n v="36"/>
    <s v="High"/>
    <s v="Medium"/>
    <s v="Sales Executive"/>
    <s v="Excellent"/>
    <s v="Divorced"/>
    <n v="5368"/>
    <n v="16130"/>
    <s v="Medium"/>
    <n v="1"/>
    <x v="0"/>
    <n v="25"/>
    <s v="Excellent"/>
    <s v="High"/>
    <n v="1"/>
    <n v="7"/>
    <n v="2"/>
    <n v="3"/>
    <n v="6"/>
    <n v="5"/>
    <n v="1"/>
    <n v="2"/>
  </r>
  <r>
    <n v="1200"/>
    <n v="36"/>
    <s v="36-45"/>
    <x v="1"/>
    <s v="Travel_Rarely"/>
    <n v="1389"/>
    <x v="1"/>
    <n v="26"/>
    <s v="High"/>
    <s v="Life Sciences"/>
    <s v="Low"/>
    <s v="Male"/>
    <n v="80"/>
    <s v="High"/>
    <s v="Medium"/>
    <s v="Healthcare Representative"/>
    <s v="High"/>
    <s v="Married"/>
    <n v="5347"/>
    <n v="7419"/>
    <s v="Medium"/>
    <n v="6"/>
    <x v="1"/>
    <n v="14"/>
    <s v="High"/>
    <s v="Medium"/>
    <n v="2"/>
    <n v="10"/>
    <n v="2"/>
    <n v="2"/>
    <n v="3"/>
    <n v="2"/>
    <n v="0"/>
    <n v="2"/>
  </r>
  <r>
    <n v="1201"/>
    <n v="44"/>
    <s v="36-45"/>
    <x v="1"/>
    <s v="Travel_Rarely"/>
    <n v="1389"/>
    <x v="2"/>
    <n v="1"/>
    <s v="Medium"/>
    <s v="Life Sciences"/>
    <s v="High"/>
    <s v="Female"/>
    <n v="44"/>
    <s v="High"/>
    <s v="Low"/>
    <s v="Human Resources"/>
    <s v="Excellent"/>
    <s v="Divorced"/>
    <n v="3195"/>
    <n v="4167"/>
    <s v="Low"/>
    <n v="4"/>
    <x v="0"/>
    <n v="18"/>
    <s v="High"/>
    <s v="Low"/>
    <n v="3"/>
    <n v="8"/>
    <n v="2"/>
    <n v="3"/>
    <n v="2"/>
    <n v="2"/>
    <n v="2"/>
    <n v="2"/>
  </r>
  <r>
    <n v="1202"/>
    <n v="23"/>
    <s v="18-25"/>
    <x v="0"/>
    <s v="Travel_Rarely"/>
    <n v="1389"/>
    <x v="1"/>
    <n v="8"/>
    <s v="Low"/>
    <s v="Medical"/>
    <s v="Excellent"/>
    <s v="Male"/>
    <n v="93"/>
    <s v="Medium"/>
    <s v="Low"/>
    <s v="Laboratory Technician"/>
    <s v="High"/>
    <s v="Single"/>
    <n v="3989"/>
    <n v="20586"/>
    <s v="Low"/>
    <n v="1"/>
    <x v="0"/>
    <n v="11"/>
    <s v="High"/>
    <s v="Low"/>
    <n v="0"/>
    <n v="5"/>
    <n v="2"/>
    <n v="3"/>
    <n v="5"/>
    <n v="4"/>
    <n v="1"/>
    <n v="2"/>
  </r>
  <r>
    <n v="1203"/>
    <n v="38"/>
    <s v="36-45"/>
    <x v="1"/>
    <s v="Travel_Rarely"/>
    <n v="1389"/>
    <x v="1"/>
    <n v="4"/>
    <s v="Good"/>
    <s v="Medical"/>
    <s v="Excellent"/>
    <s v="Female"/>
    <n v="87"/>
    <s v="High"/>
    <s v="Low"/>
    <s v="Laboratory Technician"/>
    <s v="High"/>
    <s v="Married"/>
    <n v="3306"/>
    <n v="26176"/>
    <s v="Low"/>
    <n v="7"/>
    <x v="1"/>
    <n v="19"/>
    <s v="High"/>
    <s v="Excellent"/>
    <n v="1"/>
    <n v="7"/>
    <n v="5"/>
    <n v="2"/>
    <n v="0"/>
    <n v="0"/>
    <n v="0"/>
    <n v="0"/>
  </r>
  <r>
    <n v="1204"/>
    <n v="53"/>
    <s v="46-55"/>
    <x v="1"/>
    <s v="Travel_Rarely"/>
    <n v="1389"/>
    <x v="1"/>
    <n v="24"/>
    <s v="High"/>
    <s v="Medical"/>
    <s v="Medium"/>
    <s v="Male"/>
    <n v="48"/>
    <s v="Excellent"/>
    <s v="High"/>
    <s v="Healthcare Representative"/>
    <s v="Excellent"/>
    <s v="Married"/>
    <n v="7005"/>
    <n v="3458"/>
    <s v="Medium"/>
    <n v="3"/>
    <x v="1"/>
    <n v="15"/>
    <s v="High"/>
    <s v="High"/>
    <n v="0"/>
    <n v="11"/>
    <n v="2"/>
    <n v="3"/>
    <n v="4"/>
    <n v="3"/>
    <n v="1"/>
    <n v="2"/>
  </r>
  <r>
    <n v="1205"/>
    <n v="48"/>
    <s v="46-55"/>
    <x v="0"/>
    <s v="Travel_Frequently"/>
    <n v="1389"/>
    <x v="0"/>
    <n v="7"/>
    <s v="Good"/>
    <s v="Medical"/>
    <s v="Excellent"/>
    <s v="Female"/>
    <n v="95"/>
    <s v="High"/>
    <s v="Low"/>
    <s v="Sales Representative"/>
    <s v="High"/>
    <s v="Married"/>
    <n v="2655"/>
    <n v="11740"/>
    <s v="Low"/>
    <n v="2"/>
    <x v="0"/>
    <n v="11"/>
    <s v="High"/>
    <s v="High"/>
    <n v="2"/>
    <n v="19"/>
    <n v="3"/>
    <n v="3"/>
    <n v="9"/>
    <n v="7"/>
    <n v="7"/>
    <n v="7"/>
  </r>
  <r>
    <n v="1206"/>
    <n v="32"/>
    <s v="26-35"/>
    <x v="0"/>
    <s v="Travel_Rarely"/>
    <n v="1389"/>
    <x v="1"/>
    <n v="2"/>
    <s v="High"/>
    <s v="Life Sciences"/>
    <s v="Excellent"/>
    <s v="Male"/>
    <n v="95"/>
    <s v="High"/>
    <s v="Low"/>
    <s v="Laboratory Technician"/>
    <s v="Medium"/>
    <s v="Single"/>
    <n v="1393"/>
    <n v="24852"/>
    <s v="Low"/>
    <n v="1"/>
    <x v="1"/>
    <n v="12"/>
    <s v="High"/>
    <s v="Low"/>
    <n v="0"/>
    <n v="1"/>
    <n v="2"/>
    <n v="3"/>
    <n v="1"/>
    <n v="0"/>
    <n v="0"/>
    <n v="0"/>
  </r>
  <r>
    <n v="1207"/>
    <n v="26"/>
    <s v="26-35"/>
    <x v="1"/>
    <s v="Non-Travel"/>
    <n v="1389"/>
    <x v="1"/>
    <n v="7"/>
    <s v="Medium"/>
    <s v="Medical"/>
    <s v="Excellent"/>
    <s v="Male"/>
    <n v="76"/>
    <s v="High"/>
    <s v="Low"/>
    <s v="Laboratory Technician"/>
    <s v="Excellent"/>
    <s v="Single"/>
    <n v="2570"/>
    <n v="11925"/>
    <s v="Low"/>
    <n v="1"/>
    <x v="1"/>
    <n v="20"/>
    <s v="Excellent"/>
    <s v="High"/>
    <n v="0"/>
    <n v="7"/>
    <n v="5"/>
    <n v="3"/>
    <n v="7"/>
    <n v="7"/>
    <n v="5"/>
    <n v="7"/>
  </r>
  <r>
    <n v="1208"/>
    <n v="55"/>
    <s v="46-55"/>
    <x v="1"/>
    <s v="Travel_Rarely"/>
    <n v="1389"/>
    <x v="1"/>
    <n v="22"/>
    <s v="Medium"/>
    <s v="Technical Degree"/>
    <s v="Low"/>
    <s v="Male"/>
    <n v="94"/>
    <s v="Medium"/>
    <s v="Low"/>
    <s v="Research Scientist"/>
    <s v="Medium"/>
    <s v="Divorced"/>
    <n v="3537"/>
    <n v="23737"/>
    <s v="Low"/>
    <n v="5"/>
    <x v="1"/>
    <n v="12"/>
    <s v="High"/>
    <s v="Excellent"/>
    <n v="1"/>
    <n v="8"/>
    <n v="1"/>
    <n v="3"/>
    <n v="4"/>
    <n v="2"/>
    <n v="1"/>
    <n v="2"/>
  </r>
  <r>
    <n v="1209"/>
    <n v="34"/>
    <s v="26-35"/>
    <x v="1"/>
    <s v="Travel_Rarely"/>
    <n v="1389"/>
    <x v="1"/>
    <n v="5"/>
    <s v="Good"/>
    <s v="Medical"/>
    <s v="Medium"/>
    <s v="Male"/>
    <n v="57"/>
    <s v="Medium"/>
    <s v="Medium"/>
    <s v="Laboratory Technician"/>
    <s v="Excellent"/>
    <s v="Married"/>
    <n v="3986"/>
    <n v="11912"/>
    <s v="Low"/>
    <n v="1"/>
    <x v="1"/>
    <n v="14"/>
    <s v="High"/>
    <s v="High"/>
    <n v="1"/>
    <n v="15"/>
    <n v="3"/>
    <n v="4"/>
    <n v="15"/>
    <n v="10"/>
    <n v="4"/>
    <n v="13"/>
  </r>
  <r>
    <n v="1210"/>
    <n v="60"/>
    <s v="55+"/>
    <x v="1"/>
    <s v="Travel_Rarely"/>
    <n v="1389"/>
    <x v="1"/>
    <n v="1"/>
    <s v="High"/>
    <s v="Medical"/>
    <s v="High"/>
    <s v="Male"/>
    <n v="92"/>
    <s v="Low"/>
    <s v="High"/>
    <s v="Healthcare Representative"/>
    <s v="Excellent"/>
    <s v="Divorced"/>
    <n v="10883"/>
    <n v="20467"/>
    <s v="High"/>
    <n v="3"/>
    <x v="1"/>
    <n v="20"/>
    <s v="Excellent"/>
    <s v="High"/>
    <n v="1"/>
    <n v="19"/>
    <n v="2"/>
    <n v="4"/>
    <n v="1"/>
    <n v="0"/>
    <n v="0"/>
    <n v="0"/>
  </r>
  <r>
    <n v="1211"/>
    <n v="33"/>
    <s v="26-35"/>
    <x v="1"/>
    <s v="Travel_Rarely"/>
    <n v="1389"/>
    <x v="1"/>
    <n v="21"/>
    <s v="Medium"/>
    <s v="Medical"/>
    <s v="Medium"/>
    <s v="Male"/>
    <n v="79"/>
    <s v="Excellent"/>
    <s v="Low"/>
    <s v="Laboratory Technician"/>
    <s v="Medium"/>
    <s v="Married"/>
    <n v="2028"/>
    <n v="13637"/>
    <s v="Low"/>
    <n v="1"/>
    <x v="1"/>
    <n v="18"/>
    <s v="High"/>
    <s v="Excellent"/>
    <n v="3"/>
    <n v="14"/>
    <n v="6"/>
    <n v="3"/>
    <n v="14"/>
    <n v="11"/>
    <n v="2"/>
    <n v="13"/>
  </r>
  <r>
    <n v="1212"/>
    <n v="37"/>
    <s v="36-45"/>
    <x v="1"/>
    <s v="Travel_Frequently"/>
    <n v="1389"/>
    <x v="0"/>
    <n v="1"/>
    <s v="High"/>
    <s v="Medical"/>
    <s v="High"/>
    <s v="Male"/>
    <n v="31"/>
    <s v="Low"/>
    <s v="Medium"/>
    <s v="Sales Executive"/>
    <s v="Excellent"/>
    <s v="Divorced"/>
    <n v="9525"/>
    <n v="7677"/>
    <s v="Medium"/>
    <n v="1"/>
    <x v="1"/>
    <n v="14"/>
    <s v="High"/>
    <s v="High"/>
    <n v="2"/>
    <n v="6"/>
    <n v="2"/>
    <n v="2"/>
    <n v="6"/>
    <n v="3"/>
    <n v="1"/>
    <n v="3"/>
  </r>
  <r>
    <n v="1213"/>
    <n v="34"/>
    <s v="26-35"/>
    <x v="1"/>
    <s v="Travel_Rarely"/>
    <n v="1389"/>
    <x v="1"/>
    <n v="19"/>
    <s v="Medium"/>
    <s v="Life Sciences"/>
    <s v="Medium"/>
    <s v="Female"/>
    <n v="35"/>
    <s v="Medium"/>
    <s v="Low"/>
    <s v="Research Scientist"/>
    <s v="Excellent"/>
    <s v="Married"/>
    <n v="2929"/>
    <n v="20338"/>
    <s v="Low"/>
    <n v="1"/>
    <x v="1"/>
    <n v="12"/>
    <s v="High"/>
    <s v="Medium"/>
    <n v="0"/>
    <n v="10"/>
    <n v="3"/>
    <n v="3"/>
    <n v="10"/>
    <n v="9"/>
    <n v="8"/>
    <n v="7"/>
  </r>
  <r>
    <n v="1214"/>
    <n v="23"/>
    <s v="18-25"/>
    <x v="0"/>
    <s v="Travel_Rarely"/>
    <n v="1389"/>
    <x v="0"/>
    <n v="7"/>
    <s v="Medium"/>
    <s v="Life Sciences"/>
    <s v="High"/>
    <s v="Male"/>
    <n v="99"/>
    <s v="High"/>
    <s v="Low"/>
    <s v="Sales Representative"/>
    <s v="Excellent"/>
    <s v="Divorced"/>
    <n v="2275"/>
    <n v="25103"/>
    <s v="Low"/>
    <n v="1"/>
    <x v="0"/>
    <n v="21"/>
    <s v="Excellent"/>
    <s v="Medium"/>
    <n v="1"/>
    <n v="3"/>
    <n v="2"/>
    <n v="3"/>
    <n v="3"/>
    <n v="2"/>
    <n v="0"/>
    <n v="2"/>
  </r>
  <r>
    <n v="1215"/>
    <n v="44"/>
    <s v="36-45"/>
    <x v="1"/>
    <s v="Travel_Rarely"/>
    <n v="1389"/>
    <x v="1"/>
    <n v="2"/>
    <s v="Medium"/>
    <s v="Life Sciences"/>
    <s v="High"/>
    <s v="Female"/>
    <n v="96"/>
    <s v="Excellent"/>
    <s v="High"/>
    <s v="Healthcare Representative"/>
    <s v="Excellent"/>
    <s v="Married"/>
    <n v="7879"/>
    <n v="14810"/>
    <s v="Medium"/>
    <n v="1"/>
    <x v="0"/>
    <n v="19"/>
    <s v="High"/>
    <s v="Medium"/>
    <n v="1"/>
    <n v="9"/>
    <n v="2"/>
    <n v="3"/>
    <n v="8"/>
    <n v="7"/>
    <n v="6"/>
    <n v="7"/>
  </r>
  <r>
    <n v="1216"/>
    <n v="35"/>
    <s v="26-35"/>
    <x v="1"/>
    <s v="Travel_Frequently"/>
    <n v="1389"/>
    <x v="1"/>
    <n v="2"/>
    <s v="High"/>
    <s v="Medical"/>
    <s v="Low"/>
    <s v="Male"/>
    <n v="79"/>
    <s v="Medium"/>
    <s v="Low"/>
    <s v="Research Scientist"/>
    <s v="Excellent"/>
    <s v="Single"/>
    <n v="4930"/>
    <n v="13970"/>
    <s v="Low"/>
    <n v="0"/>
    <x v="0"/>
    <n v="14"/>
    <s v="High"/>
    <s v="High"/>
    <n v="0"/>
    <n v="6"/>
    <n v="2"/>
    <n v="4"/>
    <n v="5"/>
    <n v="4"/>
    <n v="1"/>
    <n v="4"/>
  </r>
  <r>
    <n v="1217"/>
    <n v="43"/>
    <s v="36-45"/>
    <x v="1"/>
    <s v="Travel_Rarely"/>
    <n v="1389"/>
    <x v="0"/>
    <n v="2"/>
    <s v="Medium"/>
    <s v="Medical"/>
    <s v="Excellent"/>
    <s v="Male"/>
    <n v="73"/>
    <s v="High"/>
    <s v="Medium"/>
    <s v="Sales Executive"/>
    <s v="Excellent"/>
    <s v="Married"/>
    <n v="7847"/>
    <n v="6069"/>
    <s v="Medium"/>
    <n v="1"/>
    <x v="0"/>
    <n v="17"/>
    <s v="High"/>
    <s v="Low"/>
    <n v="1"/>
    <n v="10"/>
    <n v="3"/>
    <n v="3"/>
    <n v="10"/>
    <n v="9"/>
    <n v="8"/>
    <n v="8"/>
  </r>
  <r>
    <n v="1218"/>
    <n v="24"/>
    <s v="18-25"/>
    <x v="1"/>
    <s v="Travel_Rarely"/>
    <n v="1389"/>
    <x v="1"/>
    <n v="9"/>
    <s v="Medium"/>
    <s v="Medical"/>
    <s v="High"/>
    <s v="Male"/>
    <n v="62"/>
    <s v="Excellent"/>
    <s v="Low"/>
    <s v="Research Scientist"/>
    <s v="High"/>
    <s v="Married"/>
    <n v="4401"/>
    <n v="17616"/>
    <s v="Low"/>
    <n v="1"/>
    <x v="1"/>
    <n v="16"/>
    <s v="High"/>
    <s v="Excellent"/>
    <n v="1"/>
    <n v="5"/>
    <n v="1"/>
    <n v="3"/>
    <n v="5"/>
    <n v="3"/>
    <n v="0"/>
    <n v="4"/>
  </r>
  <r>
    <n v="1219"/>
    <n v="41"/>
    <s v="36-45"/>
    <x v="1"/>
    <s v="Travel_Rarely"/>
    <n v="1389"/>
    <x v="0"/>
    <n v="6"/>
    <s v="Medium"/>
    <s v="Marketing"/>
    <s v="Excellent"/>
    <s v="Male"/>
    <n v="35"/>
    <s v="High"/>
    <s v="High"/>
    <s v="Sales Executive"/>
    <s v="High"/>
    <s v="Single"/>
    <n v="9241"/>
    <n v="15869"/>
    <s v="Medium"/>
    <n v="1"/>
    <x v="1"/>
    <n v="12"/>
    <s v="High"/>
    <s v="Medium"/>
    <n v="0"/>
    <n v="10"/>
    <n v="3"/>
    <n v="3"/>
    <n v="10"/>
    <n v="8"/>
    <n v="8"/>
    <n v="7"/>
  </r>
  <r>
    <n v="1220"/>
    <n v="29"/>
    <s v="26-35"/>
    <x v="1"/>
    <s v="Travel_Rarely"/>
    <n v="1389"/>
    <x v="1"/>
    <n v="9"/>
    <s v="High"/>
    <s v="Medical"/>
    <s v="Excellent"/>
    <s v="Female"/>
    <n v="43"/>
    <s v="High"/>
    <s v="Low"/>
    <s v="Laboratory Technician"/>
    <s v="High"/>
    <s v="Married"/>
    <n v="2974"/>
    <n v="25412"/>
    <s v="Low"/>
    <n v="9"/>
    <x v="1"/>
    <n v="17"/>
    <s v="High"/>
    <s v="High"/>
    <n v="1"/>
    <n v="9"/>
    <n v="2"/>
    <n v="3"/>
    <n v="5"/>
    <n v="3"/>
    <n v="1"/>
    <n v="2"/>
  </r>
  <r>
    <n v="1221"/>
    <n v="36"/>
    <s v="36-45"/>
    <x v="1"/>
    <s v="Travel_Rarely"/>
    <n v="1389"/>
    <x v="0"/>
    <n v="2"/>
    <s v="High"/>
    <s v="Life Sciences"/>
    <s v="High"/>
    <s v="Female"/>
    <n v="51"/>
    <s v="High"/>
    <s v="Medium"/>
    <s v="Sales Representative"/>
    <s v="Excellent"/>
    <s v="Single"/>
    <n v="4502"/>
    <n v="7439"/>
    <s v="Low"/>
    <n v="3"/>
    <x v="1"/>
    <n v="15"/>
    <s v="High"/>
    <s v="High"/>
    <n v="0"/>
    <n v="17"/>
    <n v="2"/>
    <n v="2"/>
    <n v="13"/>
    <n v="7"/>
    <n v="6"/>
    <n v="7"/>
  </r>
  <r>
    <n v="1222"/>
    <n v="45"/>
    <s v="36-45"/>
    <x v="1"/>
    <s v="Non-Travel"/>
    <n v="1389"/>
    <x v="1"/>
    <n v="1"/>
    <s v="Low"/>
    <s v="Life Sciences"/>
    <s v="High"/>
    <s v="Male"/>
    <n v="74"/>
    <s v="Medium"/>
    <s v="High"/>
    <s v="Healthcare Representative"/>
    <s v="High"/>
    <s v="Married"/>
    <n v="10748"/>
    <n v="3395"/>
    <s v="High"/>
    <n v="3"/>
    <x v="1"/>
    <n v="23"/>
    <s v="Excellent"/>
    <s v="Excellent"/>
    <n v="1"/>
    <n v="25"/>
    <n v="3"/>
    <n v="2"/>
    <n v="23"/>
    <n v="15"/>
    <n v="14"/>
    <n v="4"/>
  </r>
  <r>
    <n v="1223"/>
    <n v="24"/>
    <s v="18-25"/>
    <x v="0"/>
    <s v="Travel_Rarely"/>
    <n v="1389"/>
    <x v="2"/>
    <n v="22"/>
    <s v="Low"/>
    <s v="Human Resources"/>
    <s v="Excellent"/>
    <s v="Male"/>
    <n v="58"/>
    <s v="Low"/>
    <s v="Low"/>
    <s v="Human Resources"/>
    <s v="High"/>
    <s v="Married"/>
    <n v="1555"/>
    <n v="11585"/>
    <s v="Low"/>
    <n v="1"/>
    <x v="1"/>
    <n v="11"/>
    <s v="High"/>
    <s v="High"/>
    <n v="1"/>
    <n v="1"/>
    <n v="2"/>
    <n v="3"/>
    <n v="1"/>
    <n v="0"/>
    <n v="0"/>
    <n v="0"/>
  </r>
  <r>
    <n v="1224"/>
    <n v="47"/>
    <s v="46-55"/>
    <x v="0"/>
    <s v="Travel_Frequently"/>
    <n v="1389"/>
    <x v="0"/>
    <n v="9"/>
    <s v="Medium"/>
    <s v="Life Sciences"/>
    <s v="High"/>
    <s v="Male"/>
    <n v="82"/>
    <s v="Low"/>
    <s v="Excellent"/>
    <s v="Sales Executive"/>
    <s v="High"/>
    <s v="Married"/>
    <n v="12936"/>
    <n v="24164"/>
    <s v="High"/>
    <n v="7"/>
    <x v="1"/>
    <n v="11"/>
    <s v="High"/>
    <s v="High"/>
    <n v="0"/>
    <n v="25"/>
    <n v="3"/>
    <n v="1"/>
    <n v="23"/>
    <n v="5"/>
    <n v="14"/>
    <n v="10"/>
  </r>
  <r>
    <n v="1225"/>
    <n v="26"/>
    <s v="26-35"/>
    <x v="1"/>
    <s v="Travel_Rarely"/>
    <n v="1389"/>
    <x v="1"/>
    <n v="17"/>
    <s v="High"/>
    <s v="Medical"/>
    <s v="Excellent"/>
    <s v="Male"/>
    <n v="62"/>
    <s v="Low"/>
    <s v="Low"/>
    <s v="Laboratory Technician"/>
    <s v="High"/>
    <s v="Married"/>
    <n v="2305"/>
    <n v="6217"/>
    <s v="Low"/>
    <n v="1"/>
    <x v="1"/>
    <n v="15"/>
    <s v="High"/>
    <s v="High"/>
    <n v="3"/>
    <n v="3"/>
    <n v="3"/>
    <n v="4"/>
    <n v="3"/>
    <n v="2"/>
    <n v="0"/>
    <n v="2"/>
  </r>
  <r>
    <n v="1226"/>
    <n v="45"/>
    <s v="36-45"/>
    <x v="1"/>
    <s v="Travel_Rarely"/>
    <n v="1389"/>
    <x v="1"/>
    <n v="28"/>
    <s v="Good"/>
    <s v="Technical Degree"/>
    <s v="Excellent"/>
    <s v="Female"/>
    <n v="48"/>
    <s v="Medium"/>
    <s v="Excellent"/>
    <s v="Research Director"/>
    <s v="Medium"/>
    <s v="Single"/>
    <n v="16704"/>
    <n v="17119"/>
    <s v="High"/>
    <n v="1"/>
    <x v="1"/>
    <n v="11"/>
    <s v="High"/>
    <s v="High"/>
    <n v="0"/>
    <n v="21"/>
    <n v="2"/>
    <n v="3"/>
    <n v="21"/>
    <n v="6"/>
    <n v="8"/>
    <n v="6"/>
  </r>
  <r>
    <n v="1227"/>
    <n v="32"/>
    <s v="26-35"/>
    <x v="1"/>
    <s v="Travel_Frequently"/>
    <n v="1389"/>
    <x v="1"/>
    <n v="10"/>
    <s v="Medium"/>
    <s v="Life Sciences"/>
    <s v="Low"/>
    <s v="Male"/>
    <n v="56"/>
    <s v="High"/>
    <s v="Low"/>
    <s v="Research Scientist"/>
    <s v="High"/>
    <s v="Married"/>
    <n v="3433"/>
    <n v="17360"/>
    <s v="Low"/>
    <n v="6"/>
    <x v="1"/>
    <n v="13"/>
    <s v="High"/>
    <s v="Low"/>
    <n v="1"/>
    <n v="10"/>
    <n v="3"/>
    <n v="2"/>
    <n v="5"/>
    <n v="2"/>
    <n v="1"/>
    <n v="3"/>
  </r>
  <r>
    <n v="1228"/>
    <n v="31"/>
    <s v="26-35"/>
    <x v="1"/>
    <s v="Travel_Rarely"/>
    <n v="1389"/>
    <x v="1"/>
    <n v="2"/>
    <s v="High"/>
    <s v="Life Sciences"/>
    <s v="Medium"/>
    <s v="Male"/>
    <n v="69"/>
    <s v="High"/>
    <s v="Low"/>
    <s v="Laboratory Technician"/>
    <s v="High"/>
    <s v="Married"/>
    <n v="3477"/>
    <n v="18103"/>
    <s v="Low"/>
    <n v="1"/>
    <x v="1"/>
    <n v="14"/>
    <s v="High"/>
    <s v="Excellent"/>
    <n v="1"/>
    <n v="6"/>
    <n v="2"/>
    <n v="4"/>
    <n v="5"/>
    <n v="2"/>
    <n v="0"/>
    <n v="3"/>
  </r>
  <r>
    <n v="1229"/>
    <n v="41"/>
    <s v="36-45"/>
    <x v="1"/>
    <s v="Non-Travel"/>
    <n v="1389"/>
    <x v="2"/>
    <n v="4"/>
    <s v="Medium"/>
    <s v="Human Resources"/>
    <s v="High"/>
    <s v="Male"/>
    <n v="60"/>
    <s v="Low"/>
    <s v="Medium"/>
    <s v="Human Resources"/>
    <s v="Medium"/>
    <s v="Married"/>
    <n v="6430"/>
    <n v="20794"/>
    <s v="Medium"/>
    <n v="6"/>
    <x v="1"/>
    <n v="19"/>
    <s v="High"/>
    <s v="Medium"/>
    <n v="1"/>
    <n v="10"/>
    <n v="4"/>
    <n v="3"/>
    <n v="3"/>
    <n v="2"/>
    <n v="1"/>
    <n v="2"/>
  </r>
  <r>
    <n v="1230"/>
    <n v="40"/>
    <s v="36-45"/>
    <x v="1"/>
    <s v="Travel_Rarely"/>
    <n v="1389"/>
    <x v="1"/>
    <n v="8"/>
    <s v="Good"/>
    <s v="Life Sciences"/>
    <s v="Medium"/>
    <s v="Female"/>
    <n v="92"/>
    <s v="High"/>
    <s v="Medium"/>
    <s v="Manufacturing Director"/>
    <s v="Low"/>
    <s v="Married"/>
    <n v="6516"/>
    <n v="5041"/>
    <s v="Medium"/>
    <n v="2"/>
    <x v="0"/>
    <n v="16"/>
    <s v="High"/>
    <s v="Medium"/>
    <n v="1"/>
    <n v="18"/>
    <n v="3"/>
    <n v="3"/>
    <n v="1"/>
    <n v="0"/>
    <n v="0"/>
    <n v="0"/>
  </r>
  <r>
    <n v="1231"/>
    <n v="24"/>
    <s v="18-25"/>
    <x v="1"/>
    <s v="Travel_Rarely"/>
    <n v="1389"/>
    <x v="1"/>
    <n v="29"/>
    <s v="Low"/>
    <s v="Medical"/>
    <s v="Medium"/>
    <s v="Male"/>
    <n v="91"/>
    <s v="High"/>
    <s v="Low"/>
    <s v="Laboratory Technician"/>
    <s v="Low"/>
    <s v="Divorced"/>
    <n v="3907"/>
    <n v="3622"/>
    <s v="Low"/>
    <n v="1"/>
    <x v="1"/>
    <n v="13"/>
    <s v="High"/>
    <s v="Medium"/>
    <n v="3"/>
    <n v="6"/>
    <n v="2"/>
    <n v="4"/>
    <n v="6"/>
    <n v="2"/>
    <n v="1"/>
    <n v="2"/>
  </r>
  <r>
    <n v="1232"/>
    <n v="46"/>
    <s v="46-55"/>
    <x v="1"/>
    <s v="Travel_Rarely"/>
    <n v="1389"/>
    <x v="1"/>
    <n v="13"/>
    <s v="High"/>
    <s v="Life Sciences"/>
    <s v="High"/>
    <s v="Male"/>
    <n v="34"/>
    <s v="High"/>
    <s v="Medium"/>
    <s v="Healthcare Representative"/>
    <s v="Medium"/>
    <s v="Single"/>
    <n v="5562"/>
    <n v="9697"/>
    <s v="Medium"/>
    <n v="6"/>
    <x v="1"/>
    <n v="14"/>
    <s v="High"/>
    <s v="Excellent"/>
    <n v="0"/>
    <n v="19"/>
    <n v="3"/>
    <n v="3"/>
    <n v="10"/>
    <n v="7"/>
    <n v="0"/>
    <n v="9"/>
  </r>
  <r>
    <n v="1233"/>
    <n v="35"/>
    <s v="26-35"/>
    <x v="1"/>
    <s v="Travel_Rarely"/>
    <n v="1389"/>
    <x v="1"/>
    <n v="27"/>
    <s v="High"/>
    <s v="Life Sciences"/>
    <s v="Excellent"/>
    <s v="Male"/>
    <n v="49"/>
    <s v="High"/>
    <s v="Medium"/>
    <s v="Manufacturing Director"/>
    <s v="High"/>
    <s v="Married"/>
    <n v="6883"/>
    <n v="5151"/>
    <s v="Medium"/>
    <n v="2"/>
    <x v="1"/>
    <n v="16"/>
    <s v="High"/>
    <s v="Medium"/>
    <n v="1"/>
    <n v="17"/>
    <n v="3"/>
    <n v="3"/>
    <n v="7"/>
    <n v="7"/>
    <n v="0"/>
    <n v="7"/>
  </r>
  <r>
    <n v="1234"/>
    <n v="30"/>
    <s v="26-35"/>
    <x v="1"/>
    <s v="Travel_Rarely"/>
    <n v="1389"/>
    <x v="1"/>
    <n v="16"/>
    <s v="Low"/>
    <s v="Life Sciences"/>
    <s v="Medium"/>
    <s v="Male"/>
    <n v="33"/>
    <s v="High"/>
    <s v="Low"/>
    <s v="Research Scientist"/>
    <s v="Excellent"/>
    <s v="Married"/>
    <n v="2862"/>
    <n v="3811"/>
    <s v="Low"/>
    <n v="1"/>
    <x v="1"/>
    <n v="12"/>
    <s v="High"/>
    <s v="Medium"/>
    <n v="1"/>
    <n v="10"/>
    <n v="2"/>
    <n v="2"/>
    <n v="10"/>
    <n v="0"/>
    <n v="0"/>
    <n v="8"/>
  </r>
  <r>
    <n v="1235"/>
    <n v="47"/>
    <s v="46-55"/>
    <x v="1"/>
    <s v="Non-Travel"/>
    <n v="1389"/>
    <x v="0"/>
    <n v="2"/>
    <s v="High"/>
    <s v="Marketing"/>
    <s v="High"/>
    <s v="Male"/>
    <n v="87"/>
    <s v="High"/>
    <s v="Medium"/>
    <s v="Sales Executive"/>
    <s v="Medium"/>
    <s v="Married"/>
    <n v="4978"/>
    <n v="3536"/>
    <s v="Low"/>
    <n v="7"/>
    <x v="1"/>
    <n v="11"/>
    <s v="High"/>
    <s v="Excellent"/>
    <n v="1"/>
    <n v="4"/>
    <n v="3"/>
    <n v="1"/>
    <n v="1"/>
    <n v="0"/>
    <n v="0"/>
    <n v="0"/>
  </r>
  <r>
    <n v="1236"/>
    <n v="46"/>
    <s v="46-55"/>
    <x v="1"/>
    <s v="Travel_Rarely"/>
    <n v="1389"/>
    <x v="0"/>
    <n v="2"/>
    <s v="Medium"/>
    <s v="Life Sciences"/>
    <s v="High"/>
    <s v="Male"/>
    <n v="74"/>
    <s v="High"/>
    <s v="High"/>
    <s v="Sales Executive"/>
    <s v="Excellent"/>
    <s v="Divorced"/>
    <n v="10368"/>
    <n v="5596"/>
    <s v="High"/>
    <n v="4"/>
    <x v="0"/>
    <n v="12"/>
    <s v="High"/>
    <s v="Medium"/>
    <n v="1"/>
    <n v="13"/>
    <n v="5"/>
    <n v="2"/>
    <n v="10"/>
    <n v="6"/>
    <n v="0"/>
    <n v="3"/>
  </r>
  <r>
    <n v="1237"/>
    <n v="36"/>
    <s v="36-45"/>
    <x v="0"/>
    <s v="Travel_Rarely"/>
    <n v="1389"/>
    <x v="0"/>
    <n v="13"/>
    <s v="Excellent"/>
    <s v="Marketing"/>
    <s v="Medium"/>
    <s v="Male"/>
    <n v="96"/>
    <s v="Medium"/>
    <s v="Medium"/>
    <s v="Sales Executive"/>
    <s v="Low"/>
    <s v="Divorced"/>
    <n v="6134"/>
    <n v="8658"/>
    <s v="Medium"/>
    <n v="5"/>
    <x v="0"/>
    <n v="13"/>
    <s v="High"/>
    <s v="Medium"/>
    <n v="3"/>
    <n v="16"/>
    <n v="3"/>
    <n v="3"/>
    <n v="2"/>
    <n v="2"/>
    <n v="2"/>
    <n v="2"/>
  </r>
  <r>
    <n v="1238"/>
    <n v="32"/>
    <s v="26-35"/>
    <x v="0"/>
    <s v="Travel_Rarely"/>
    <n v="1389"/>
    <x v="0"/>
    <n v="1"/>
    <s v="Good"/>
    <s v="Life Sciences"/>
    <s v="Low"/>
    <s v="Male"/>
    <n v="34"/>
    <s v="Low"/>
    <s v="Medium"/>
    <s v="Sales Executive"/>
    <s v="Medium"/>
    <s v="Single"/>
    <n v="6735"/>
    <n v="12147"/>
    <s v="Medium"/>
    <n v="6"/>
    <x v="1"/>
    <n v="15"/>
    <s v="High"/>
    <s v="Medium"/>
    <n v="0"/>
    <n v="10"/>
    <n v="2"/>
    <n v="3"/>
    <n v="0"/>
    <n v="0"/>
    <n v="0"/>
    <n v="0"/>
  </r>
  <r>
    <n v="1239"/>
    <n v="23"/>
    <s v="18-25"/>
    <x v="1"/>
    <s v="Travel_Rarely"/>
    <n v="1389"/>
    <x v="1"/>
    <n v="4"/>
    <s v="Low"/>
    <s v="Medical"/>
    <s v="High"/>
    <s v="Female"/>
    <n v="51"/>
    <s v="High"/>
    <s v="Low"/>
    <s v="Laboratory Technician"/>
    <s v="Medium"/>
    <s v="Single"/>
    <n v="3295"/>
    <n v="12862"/>
    <s v="Low"/>
    <n v="1"/>
    <x v="1"/>
    <n v="13"/>
    <s v="High"/>
    <s v="High"/>
    <n v="0"/>
    <n v="3"/>
    <n v="3"/>
    <n v="1"/>
    <n v="3"/>
    <n v="2"/>
    <n v="1"/>
    <n v="2"/>
  </r>
  <r>
    <n v="1240"/>
    <n v="31"/>
    <s v="26-35"/>
    <x v="1"/>
    <s v="Travel_Frequently"/>
    <n v="1389"/>
    <x v="1"/>
    <n v="24"/>
    <s v="Low"/>
    <s v="Technical Degree"/>
    <s v="Excellent"/>
    <s v="Female"/>
    <n v="30"/>
    <s v="High"/>
    <s v="Medium"/>
    <s v="Manufacturing Director"/>
    <s v="Excellent"/>
    <s v="Single"/>
    <n v="5238"/>
    <n v="6670"/>
    <s v="Medium"/>
    <n v="2"/>
    <x v="1"/>
    <n v="20"/>
    <s v="Excellent"/>
    <s v="Excellent"/>
    <n v="0"/>
    <n v="9"/>
    <n v="3"/>
    <n v="2"/>
    <n v="5"/>
    <n v="4"/>
    <n v="1"/>
    <n v="4"/>
  </r>
  <r>
    <n v="1241"/>
    <n v="39"/>
    <s v="36-45"/>
    <x v="1"/>
    <s v="Non-Travel"/>
    <n v="1389"/>
    <x v="1"/>
    <n v="1"/>
    <s v="Medium"/>
    <s v="Life Sciences"/>
    <s v="Excellent"/>
    <s v="Male"/>
    <n v="77"/>
    <s v="High"/>
    <s v="Medium"/>
    <s v="Laboratory Technician"/>
    <s v="Excellent"/>
    <s v="Married"/>
    <n v="6472"/>
    <n v="8989"/>
    <s v="Medium"/>
    <n v="1"/>
    <x v="0"/>
    <n v="15"/>
    <s v="High"/>
    <s v="Excellent"/>
    <n v="1"/>
    <n v="9"/>
    <n v="2"/>
    <n v="3"/>
    <n v="9"/>
    <n v="8"/>
    <n v="5"/>
    <n v="8"/>
  </r>
  <r>
    <n v="1242"/>
    <n v="32"/>
    <s v="26-35"/>
    <x v="1"/>
    <s v="Travel_Rarely"/>
    <n v="1389"/>
    <x v="0"/>
    <n v="19"/>
    <s v="Medium"/>
    <s v="Life Sciences"/>
    <s v="Excellent"/>
    <s v="Male"/>
    <n v="80"/>
    <s v="Low"/>
    <s v="High"/>
    <s v="Sales Executive"/>
    <s v="High"/>
    <s v="Married"/>
    <n v="9610"/>
    <n v="3840"/>
    <s v="Medium"/>
    <n v="3"/>
    <x v="1"/>
    <n v="13"/>
    <s v="High"/>
    <s v="High"/>
    <n v="1"/>
    <n v="10"/>
    <n v="2"/>
    <n v="1"/>
    <n v="4"/>
    <n v="3"/>
    <n v="0"/>
    <n v="2"/>
  </r>
  <r>
    <n v="1243"/>
    <n v="40"/>
    <s v="36-45"/>
    <x v="1"/>
    <s v="Travel_Rarely"/>
    <n v="1389"/>
    <x v="0"/>
    <n v="7"/>
    <s v="High"/>
    <s v="Medical"/>
    <s v="Medium"/>
    <s v="Male"/>
    <n v="88"/>
    <s v="High"/>
    <e v="#N/A"/>
    <s v="Manager"/>
    <s v="Medium"/>
    <s v="Single"/>
    <n v="19833"/>
    <n v="4349"/>
    <s v="High"/>
    <n v="1"/>
    <x v="1"/>
    <n v="14"/>
    <s v="High"/>
    <s v="Medium"/>
    <n v="0"/>
    <n v="21"/>
    <n v="3"/>
    <n v="2"/>
    <n v="21"/>
    <n v="8"/>
    <n v="12"/>
    <n v="8"/>
  </r>
  <r>
    <n v="1244"/>
    <n v="45"/>
    <s v="36-45"/>
    <x v="1"/>
    <s v="Travel_Rarely"/>
    <n v="1389"/>
    <x v="2"/>
    <n v="4"/>
    <s v="Medium"/>
    <s v="Life Sciences"/>
    <s v="High"/>
    <s v="Female"/>
    <n v="56"/>
    <s v="Low"/>
    <s v="High"/>
    <s v="Human Resources"/>
    <s v="High"/>
    <s v="Married"/>
    <n v="9756"/>
    <n v="6595"/>
    <s v="Medium"/>
    <n v="4"/>
    <x v="1"/>
    <n v="21"/>
    <s v="Excellent"/>
    <s v="High"/>
    <n v="2"/>
    <n v="9"/>
    <n v="2"/>
    <n v="4"/>
    <n v="5"/>
    <n v="0"/>
    <n v="0"/>
    <n v="3"/>
  </r>
  <r>
    <n v="1245"/>
    <n v="30"/>
    <s v="26-35"/>
    <x v="1"/>
    <s v="Travel_Frequently"/>
    <n v="1389"/>
    <x v="1"/>
    <n v="2"/>
    <s v="High"/>
    <s v="Technical Degree"/>
    <s v="Excellent"/>
    <s v="Female"/>
    <n v="78"/>
    <s v="Medium"/>
    <s v="Low"/>
    <s v="Research Scientist"/>
    <s v="Low"/>
    <s v="Single"/>
    <n v="4968"/>
    <n v="26427"/>
    <s v="Low"/>
    <n v="0"/>
    <x v="1"/>
    <n v="16"/>
    <s v="High"/>
    <s v="Excellent"/>
    <n v="0"/>
    <n v="10"/>
    <n v="2"/>
    <n v="3"/>
    <n v="9"/>
    <n v="7"/>
    <n v="0"/>
    <n v="7"/>
  </r>
  <r>
    <n v="1246"/>
    <n v="24"/>
    <s v="18-25"/>
    <x v="1"/>
    <s v="Travel_Frequently"/>
    <n v="1389"/>
    <x v="2"/>
    <n v="10"/>
    <s v="Medium"/>
    <s v="Medical"/>
    <s v="Low"/>
    <s v="Male"/>
    <n v="59"/>
    <s v="High"/>
    <s v="Low"/>
    <s v="Human Resources"/>
    <s v="Excellent"/>
    <s v="Married"/>
    <n v="2145"/>
    <n v="2097"/>
    <s v="Low"/>
    <n v="0"/>
    <x v="1"/>
    <n v="14"/>
    <s v="High"/>
    <s v="Excellent"/>
    <n v="1"/>
    <n v="3"/>
    <n v="2"/>
    <n v="3"/>
    <n v="2"/>
    <n v="2"/>
    <n v="2"/>
    <n v="1"/>
  </r>
  <r>
    <n v="1247"/>
    <n v="30"/>
    <s v="26-35"/>
    <x v="0"/>
    <s v="Travel_Frequently"/>
    <n v="1389"/>
    <x v="2"/>
    <n v="8"/>
    <s v="Medium"/>
    <s v="Human Resources"/>
    <s v="High"/>
    <s v="Female"/>
    <n v="66"/>
    <s v="Medium"/>
    <s v="Low"/>
    <s v="Human Resources"/>
    <s v="Excellent"/>
    <s v="Divorced"/>
    <n v="2180"/>
    <n v="9732"/>
    <s v="Low"/>
    <n v="6"/>
    <x v="1"/>
    <n v="11"/>
    <s v="High"/>
    <s v="High"/>
    <n v="1"/>
    <n v="6"/>
    <n v="0"/>
    <n v="2"/>
    <n v="4"/>
    <n v="2"/>
    <n v="1"/>
    <n v="2"/>
  </r>
  <r>
    <n v="1248"/>
    <n v="31"/>
    <s v="26-35"/>
    <x v="1"/>
    <s v="Travel_Rarely"/>
    <n v="1389"/>
    <x v="0"/>
    <n v="5"/>
    <s v="Medium"/>
    <s v="Technical Degree"/>
    <s v="Low"/>
    <s v="Male"/>
    <n v="51"/>
    <s v="High"/>
    <s v="Medium"/>
    <s v="Sales Executive"/>
    <s v="High"/>
    <s v="Married"/>
    <n v="8346"/>
    <n v="20943"/>
    <s v="Medium"/>
    <n v="1"/>
    <x v="1"/>
    <n v="19"/>
    <s v="High"/>
    <s v="High"/>
    <n v="1"/>
    <n v="6"/>
    <n v="3"/>
    <n v="3"/>
    <n v="5"/>
    <n v="2"/>
    <n v="0"/>
    <n v="2"/>
  </r>
  <r>
    <n v="1249"/>
    <n v="27"/>
    <s v="26-35"/>
    <x v="1"/>
    <s v="Travel_Rarely"/>
    <n v="1389"/>
    <x v="1"/>
    <n v="8"/>
    <s v="Medium"/>
    <s v="Medical"/>
    <s v="High"/>
    <s v="Female"/>
    <n v="67"/>
    <s v="High"/>
    <s v="Low"/>
    <s v="Research Scientist"/>
    <s v="Excellent"/>
    <s v="Single"/>
    <n v="3445"/>
    <n v="6152"/>
    <s v="Low"/>
    <n v="1"/>
    <x v="1"/>
    <n v="11"/>
    <s v="High"/>
    <s v="High"/>
    <n v="0"/>
    <n v="6"/>
    <n v="5"/>
    <n v="2"/>
    <n v="6"/>
    <n v="2"/>
    <n v="1"/>
    <n v="4"/>
  </r>
  <r>
    <n v="1250"/>
    <n v="29"/>
    <s v="26-35"/>
    <x v="0"/>
    <s v="Travel_Rarely"/>
    <n v="1389"/>
    <x v="0"/>
    <n v="9"/>
    <s v="Medium"/>
    <s v="Marketing"/>
    <s v="Medium"/>
    <s v="Female"/>
    <n v="52"/>
    <s v="Low"/>
    <s v="Low"/>
    <s v="Sales Representative"/>
    <s v="Medium"/>
    <s v="Single"/>
    <n v="2760"/>
    <n v="14630"/>
    <s v="Low"/>
    <n v="1"/>
    <x v="1"/>
    <n v="13"/>
    <s v="High"/>
    <s v="High"/>
    <n v="0"/>
    <n v="2"/>
    <n v="3"/>
    <n v="3"/>
    <n v="2"/>
    <n v="2"/>
    <n v="2"/>
    <n v="2"/>
  </r>
  <r>
    <n v="1251"/>
    <n v="29"/>
    <s v="26-35"/>
    <x v="1"/>
    <s v="Travel_Frequently"/>
    <n v="1389"/>
    <x v="1"/>
    <n v="1"/>
    <s v="Medium"/>
    <s v="Life Sciences"/>
    <s v="Excellent"/>
    <s v="Male"/>
    <n v="70"/>
    <s v="Excellent"/>
    <s v="Medium"/>
    <s v="Healthcare Representative"/>
    <s v="High"/>
    <s v="Single"/>
    <n v="6294"/>
    <n v="23060"/>
    <s v="Medium"/>
    <n v="8"/>
    <x v="0"/>
    <n v="12"/>
    <s v="High"/>
    <s v="Excellent"/>
    <n v="0"/>
    <n v="10"/>
    <n v="5"/>
    <n v="4"/>
    <n v="3"/>
    <n v="2"/>
    <n v="0"/>
    <n v="2"/>
  </r>
  <r>
    <n v="1252"/>
    <n v="30"/>
    <s v="26-35"/>
    <x v="1"/>
    <s v="Travel_Rarely"/>
    <n v="1389"/>
    <x v="0"/>
    <n v="15"/>
    <s v="Good"/>
    <s v="Marketing"/>
    <s v="High"/>
    <s v="Male"/>
    <n v="94"/>
    <s v="Medium"/>
    <s v="High"/>
    <s v="Sales Executive"/>
    <s v="Low"/>
    <s v="Divorced"/>
    <n v="7140"/>
    <n v="3088"/>
    <s v="Medium"/>
    <n v="2"/>
    <x v="1"/>
    <n v="11"/>
    <s v="High"/>
    <s v="Low"/>
    <n v="1"/>
    <n v="12"/>
    <n v="2"/>
    <n v="3"/>
    <n v="7"/>
    <n v="7"/>
    <n v="1"/>
    <n v="7"/>
  </r>
  <r>
    <n v="1253"/>
    <n v="34"/>
    <s v="26-35"/>
    <x v="1"/>
    <s v="Travel_Rarely"/>
    <n v="1389"/>
    <x v="1"/>
    <n v="2"/>
    <s v="High"/>
    <s v="Medical"/>
    <s v="Excellent"/>
    <s v="Male"/>
    <n v="97"/>
    <s v="Excellent"/>
    <s v="Low"/>
    <s v="Research Scientist"/>
    <s v="Excellent"/>
    <s v="Married"/>
    <n v="2932"/>
    <n v="5586"/>
    <s v="Low"/>
    <n v="0"/>
    <x v="0"/>
    <n v="14"/>
    <s v="High"/>
    <s v="Low"/>
    <n v="3"/>
    <n v="6"/>
    <n v="3"/>
    <n v="3"/>
    <n v="5"/>
    <n v="0"/>
    <n v="1"/>
    <n v="2"/>
  </r>
  <r>
    <n v="1254"/>
    <n v="33"/>
    <s v="26-35"/>
    <x v="1"/>
    <s v="Non-Travel"/>
    <n v="1389"/>
    <x v="0"/>
    <n v="2"/>
    <s v="Medium"/>
    <s v="Marketing"/>
    <s v="Excellent"/>
    <s v="Female"/>
    <n v="62"/>
    <s v="High"/>
    <s v="Medium"/>
    <s v="Sales Executive"/>
    <s v="Medium"/>
    <s v="Single"/>
    <n v="5147"/>
    <n v="10697"/>
    <s v="Medium"/>
    <n v="8"/>
    <x v="1"/>
    <n v="15"/>
    <s v="High"/>
    <s v="Excellent"/>
    <n v="0"/>
    <n v="13"/>
    <n v="2"/>
    <n v="2"/>
    <n v="11"/>
    <n v="7"/>
    <n v="1"/>
    <n v="7"/>
  </r>
  <r>
    <n v="1255"/>
    <n v="49"/>
    <s v="46-55"/>
    <x v="1"/>
    <s v="Travel_Rarely"/>
    <n v="1389"/>
    <x v="0"/>
    <n v="11"/>
    <s v="High"/>
    <s v="Marketing"/>
    <s v="Excellent"/>
    <s v="Female"/>
    <n v="80"/>
    <s v="High"/>
    <s v="Medium"/>
    <s v="Sales Executive"/>
    <s v="Excellent"/>
    <s v="Single"/>
    <n v="4507"/>
    <n v="8191"/>
    <s v="Low"/>
    <n v="3"/>
    <x v="1"/>
    <n v="12"/>
    <s v="High"/>
    <s v="High"/>
    <n v="0"/>
    <n v="8"/>
    <n v="1"/>
    <n v="4"/>
    <n v="5"/>
    <n v="1"/>
    <n v="0"/>
    <n v="4"/>
  </r>
  <r>
    <n v="1256"/>
    <n v="33"/>
    <s v="26-35"/>
    <x v="0"/>
    <s v="Travel_Rarely"/>
    <n v="1389"/>
    <x v="0"/>
    <n v="16"/>
    <s v="Medium"/>
    <s v="Life Sciences"/>
    <s v="Low"/>
    <s v="Female"/>
    <n v="74"/>
    <s v="High"/>
    <s v="High"/>
    <s v="Sales Executive"/>
    <s v="Low"/>
    <s v="Single"/>
    <n v="8564"/>
    <n v="10092"/>
    <s v="Medium"/>
    <n v="2"/>
    <x v="0"/>
    <n v="20"/>
    <s v="Excellent"/>
    <s v="High"/>
    <n v="0"/>
    <n v="11"/>
    <n v="2"/>
    <n v="2"/>
    <n v="0"/>
    <n v="0"/>
    <n v="0"/>
    <n v="0"/>
  </r>
  <r>
    <n v="1257"/>
    <n v="38"/>
    <s v="36-45"/>
    <x v="1"/>
    <s v="Travel_Frequently"/>
    <n v="1389"/>
    <x v="1"/>
    <n v="2"/>
    <s v="Good"/>
    <s v="Medical"/>
    <s v="High"/>
    <s v="Female"/>
    <n v="75"/>
    <s v="Medium"/>
    <s v="Low"/>
    <s v="Laboratory Technician"/>
    <s v="Medium"/>
    <s v="Married"/>
    <n v="2468"/>
    <n v="15963"/>
    <s v="Low"/>
    <n v="4"/>
    <x v="1"/>
    <n v="14"/>
    <s v="High"/>
    <s v="Medium"/>
    <n v="1"/>
    <n v="9"/>
    <n v="4"/>
    <n v="2"/>
    <n v="6"/>
    <n v="1"/>
    <n v="0"/>
    <n v="5"/>
  </r>
  <r>
    <n v="1258"/>
    <n v="31"/>
    <s v="26-35"/>
    <x v="0"/>
    <s v="Travel_Rarely"/>
    <n v="1389"/>
    <x v="0"/>
    <n v="16"/>
    <s v="High"/>
    <s v="Marketing"/>
    <s v="Low"/>
    <s v="Male"/>
    <n v="70"/>
    <s v="High"/>
    <s v="High"/>
    <s v="Sales Executive"/>
    <s v="High"/>
    <s v="Married"/>
    <n v="8161"/>
    <n v="19002"/>
    <s v="Medium"/>
    <n v="2"/>
    <x v="1"/>
    <n v="13"/>
    <s v="High"/>
    <s v="Low"/>
    <n v="3"/>
    <n v="10"/>
    <n v="2"/>
    <n v="3"/>
    <n v="1"/>
    <n v="0"/>
    <n v="0"/>
    <n v="0"/>
  </r>
  <r>
    <n v="1259"/>
    <n v="29"/>
    <s v="26-35"/>
    <x v="1"/>
    <s v="Travel_Rarely"/>
    <n v="1389"/>
    <x v="1"/>
    <n v="4"/>
    <s v="Medium"/>
    <s v="Technical Degree"/>
    <s v="Excellent"/>
    <s v="Female"/>
    <n v="91"/>
    <s v="Medium"/>
    <s v="Low"/>
    <s v="Research Scientist"/>
    <s v="Low"/>
    <s v="Divorced"/>
    <n v="2109"/>
    <n v="10007"/>
    <s v="Low"/>
    <n v="1"/>
    <x v="1"/>
    <n v="13"/>
    <s v="High"/>
    <s v="High"/>
    <n v="1"/>
    <n v="1"/>
    <n v="2"/>
    <n v="3"/>
    <n v="1"/>
    <n v="0"/>
    <n v="0"/>
    <n v="0"/>
  </r>
  <r>
    <n v="1260"/>
    <n v="30"/>
    <s v="26-35"/>
    <x v="1"/>
    <s v="Travel_Rarely"/>
    <n v="1389"/>
    <x v="1"/>
    <n v="16"/>
    <s v="Medium"/>
    <s v="Life Sciences"/>
    <s v="High"/>
    <s v="Male"/>
    <n v="58"/>
    <s v="Excellent"/>
    <s v="Medium"/>
    <s v="Healthcare Representative"/>
    <s v="High"/>
    <s v="Married"/>
    <n v="5294"/>
    <n v="9128"/>
    <s v="Medium"/>
    <n v="3"/>
    <x v="1"/>
    <n v="16"/>
    <s v="High"/>
    <s v="High"/>
    <n v="1"/>
    <n v="10"/>
    <n v="3"/>
    <n v="3"/>
    <n v="7"/>
    <n v="0"/>
    <n v="1"/>
    <n v="7"/>
  </r>
  <r>
    <n v="1261"/>
    <n v="32"/>
    <s v="26-35"/>
    <x v="1"/>
    <s v="Non-Travel"/>
    <n v="1389"/>
    <x v="1"/>
    <n v="5"/>
    <s v="High"/>
    <s v="Technical Degree"/>
    <s v="Medium"/>
    <s v="Male"/>
    <n v="65"/>
    <s v="High"/>
    <s v="Low"/>
    <s v="Research Scientist"/>
    <s v="Medium"/>
    <s v="Single"/>
    <n v="2718"/>
    <n v="17674"/>
    <s v="Low"/>
    <n v="2"/>
    <x v="1"/>
    <n v="14"/>
    <s v="High"/>
    <s v="Medium"/>
    <n v="0"/>
    <n v="12"/>
    <n v="3"/>
    <n v="3"/>
    <n v="7"/>
    <n v="7"/>
    <n v="0"/>
    <n v="7"/>
  </r>
  <r>
    <n v="1262"/>
    <n v="38"/>
    <s v="36-45"/>
    <x v="1"/>
    <s v="Travel_Rarely"/>
    <n v="1389"/>
    <x v="1"/>
    <n v="18"/>
    <s v="Medium"/>
    <s v="Medical"/>
    <s v="Medium"/>
    <s v="Male"/>
    <n v="60"/>
    <s v="Low"/>
    <s v="Medium"/>
    <s v="Healthcare Representative"/>
    <s v="Excellent"/>
    <s v="Married"/>
    <n v="5811"/>
    <n v="24539"/>
    <s v="Medium"/>
    <n v="3"/>
    <x v="0"/>
    <n v="16"/>
    <s v="High"/>
    <s v="High"/>
    <n v="1"/>
    <n v="15"/>
    <n v="2"/>
    <n v="3"/>
    <n v="1"/>
    <n v="0"/>
    <n v="1"/>
    <n v="0"/>
  </r>
  <r>
    <n v="1263"/>
    <n v="43"/>
    <s v="36-45"/>
    <x v="0"/>
    <s v="Travel_Frequently"/>
    <n v="1389"/>
    <x v="1"/>
    <n v="17"/>
    <s v="Medium"/>
    <s v="Technical Degree"/>
    <s v="High"/>
    <s v="Male"/>
    <n v="38"/>
    <s v="Medium"/>
    <s v="Low"/>
    <s v="Research Scientist"/>
    <s v="High"/>
    <s v="Married"/>
    <n v="2437"/>
    <n v="15587"/>
    <s v="Low"/>
    <n v="9"/>
    <x v="0"/>
    <n v="16"/>
    <s v="High"/>
    <s v="Excellent"/>
    <n v="1"/>
    <n v="6"/>
    <n v="4"/>
    <n v="3"/>
    <n v="1"/>
    <n v="0"/>
    <n v="0"/>
    <n v="0"/>
  </r>
  <r>
    <n v="1264"/>
    <n v="42"/>
    <s v="36-45"/>
    <x v="1"/>
    <s v="Travel_Rarely"/>
    <n v="1389"/>
    <x v="1"/>
    <n v="12"/>
    <s v="Medium"/>
    <s v="Medical"/>
    <s v="Medium"/>
    <s v="Male"/>
    <n v="57"/>
    <s v="High"/>
    <s v="Low"/>
    <s v="Laboratory Technician"/>
    <s v="Medium"/>
    <s v="Divorced"/>
    <n v="2766"/>
    <n v="8952"/>
    <s v="Low"/>
    <n v="8"/>
    <x v="1"/>
    <n v="22"/>
    <s v="Excellent"/>
    <s v="Medium"/>
    <n v="3"/>
    <n v="7"/>
    <n v="6"/>
    <n v="2"/>
    <n v="5"/>
    <n v="3"/>
    <n v="0"/>
    <n v="4"/>
  </r>
  <r>
    <n v="1265"/>
    <n v="55"/>
    <s v="46-55"/>
    <x v="1"/>
    <s v="Travel_Rarely"/>
    <n v="1389"/>
    <x v="1"/>
    <n v="2"/>
    <s v="Medium"/>
    <s v="Medical"/>
    <s v="High"/>
    <s v="Male"/>
    <n v="60"/>
    <s v="Medium"/>
    <e v="#N/A"/>
    <s v="Research Director"/>
    <s v="Low"/>
    <s v="Married"/>
    <n v="19038"/>
    <n v="19805"/>
    <s v="High"/>
    <n v="8"/>
    <x v="1"/>
    <n v="12"/>
    <s v="High"/>
    <s v="Medium"/>
    <n v="3"/>
    <n v="34"/>
    <n v="2"/>
    <n v="3"/>
    <n v="1"/>
    <n v="0"/>
    <n v="0"/>
    <n v="0"/>
  </r>
  <r>
    <n v="1266"/>
    <n v="33"/>
    <s v="26-35"/>
    <x v="1"/>
    <s v="Non-Travel"/>
    <n v="1389"/>
    <x v="1"/>
    <n v="4"/>
    <s v="Medium"/>
    <s v="Technical Degree"/>
    <s v="Excellent"/>
    <s v="Male"/>
    <n v="90"/>
    <s v="High"/>
    <s v="Medium"/>
    <s v="Research Scientist"/>
    <s v="Medium"/>
    <s v="Divorced"/>
    <n v="3055"/>
    <n v="6194"/>
    <s v="Low"/>
    <n v="5"/>
    <x v="1"/>
    <n v="15"/>
    <s v="High"/>
    <s v="Excellent"/>
    <n v="2"/>
    <n v="11"/>
    <n v="2"/>
    <n v="2"/>
    <n v="9"/>
    <n v="8"/>
    <n v="1"/>
    <n v="7"/>
  </r>
  <r>
    <n v="1267"/>
    <n v="41"/>
    <s v="36-45"/>
    <x v="1"/>
    <s v="Travel_Rarely"/>
    <n v="1389"/>
    <x v="1"/>
    <n v="9"/>
    <s v="High"/>
    <s v="Life Sciences"/>
    <s v="High"/>
    <s v="Male"/>
    <n v="94"/>
    <s v="High"/>
    <s v="Low"/>
    <s v="Laboratory Technician"/>
    <s v="Low"/>
    <s v="Divorced"/>
    <n v="2289"/>
    <n v="20520"/>
    <s v="Low"/>
    <n v="1"/>
    <x v="1"/>
    <n v="20"/>
    <s v="Excellent"/>
    <s v="Medium"/>
    <n v="2"/>
    <n v="5"/>
    <n v="2"/>
    <n v="3"/>
    <n v="5"/>
    <n v="3"/>
    <n v="0"/>
    <n v="4"/>
  </r>
  <r>
    <n v="1268"/>
    <n v="34"/>
    <s v="26-35"/>
    <x v="1"/>
    <s v="Non-Travel"/>
    <n v="1389"/>
    <x v="0"/>
    <n v="10"/>
    <s v="Medium"/>
    <s v="Life Sciences"/>
    <s v="Excellent"/>
    <s v="Male"/>
    <n v="87"/>
    <s v="High"/>
    <s v="Medium"/>
    <s v="Sales Executive"/>
    <s v="High"/>
    <s v="Divorced"/>
    <n v="4001"/>
    <n v="12313"/>
    <s v="Low"/>
    <n v="1"/>
    <x v="0"/>
    <n v="14"/>
    <s v="High"/>
    <s v="High"/>
    <n v="1"/>
    <n v="15"/>
    <n v="3"/>
    <n v="3"/>
    <n v="15"/>
    <n v="14"/>
    <n v="0"/>
    <n v="7"/>
  </r>
  <r>
    <n v="1269"/>
    <n v="53"/>
    <s v="46-55"/>
    <x v="1"/>
    <s v="Non-Travel"/>
    <n v="1389"/>
    <x v="1"/>
    <n v="1"/>
    <s v="High"/>
    <s v="Medical"/>
    <s v="Low"/>
    <s v="Female"/>
    <n v="60"/>
    <s v="Medium"/>
    <s v="Excellent"/>
    <s v="Manufacturing Director"/>
    <s v="High"/>
    <s v="Married"/>
    <n v="12965"/>
    <n v="22308"/>
    <s v="High"/>
    <n v="4"/>
    <x v="0"/>
    <n v="20"/>
    <s v="Excellent"/>
    <s v="Excellent"/>
    <n v="3"/>
    <n v="27"/>
    <n v="2"/>
    <n v="2"/>
    <n v="3"/>
    <n v="2"/>
    <n v="0"/>
    <n v="2"/>
  </r>
  <r>
    <n v="1270"/>
    <n v="43"/>
    <s v="36-45"/>
    <x v="1"/>
    <s v="Travel_Rarely"/>
    <n v="1389"/>
    <x v="2"/>
    <n v="2"/>
    <s v="Medium"/>
    <s v="Life Sciences"/>
    <s v="Medium"/>
    <s v="Male"/>
    <n v="97"/>
    <s v="High"/>
    <s v="Low"/>
    <s v="Human Resources"/>
    <s v="Excellent"/>
    <s v="Single"/>
    <n v="3539"/>
    <n v="5033"/>
    <s v="Low"/>
    <n v="0"/>
    <x v="1"/>
    <n v="13"/>
    <s v="High"/>
    <s v="Medium"/>
    <n v="0"/>
    <n v="10"/>
    <n v="5"/>
    <n v="3"/>
    <n v="9"/>
    <n v="7"/>
    <n v="1"/>
    <n v="8"/>
  </r>
  <r>
    <n v="1271"/>
    <n v="34"/>
    <s v="26-35"/>
    <x v="1"/>
    <s v="Travel_Rarely"/>
    <n v="1389"/>
    <x v="0"/>
    <n v="3"/>
    <s v="Good"/>
    <s v="Life Sciences"/>
    <s v="Excellent"/>
    <s v="Female"/>
    <n v="32"/>
    <s v="Low"/>
    <s v="Medium"/>
    <s v="Sales Executive"/>
    <s v="Excellent"/>
    <s v="Single"/>
    <n v="6029"/>
    <n v="25353"/>
    <s v="Medium"/>
    <n v="5"/>
    <x v="1"/>
    <n v="12"/>
    <s v="High"/>
    <s v="Low"/>
    <n v="0"/>
    <n v="6"/>
    <n v="3"/>
    <n v="3"/>
    <n v="2"/>
    <n v="2"/>
    <n v="2"/>
    <n v="2"/>
  </r>
  <r>
    <n v="1272"/>
    <n v="21"/>
    <s v="18-25"/>
    <x v="0"/>
    <s v="Travel_Rarely"/>
    <n v="1389"/>
    <x v="0"/>
    <n v="7"/>
    <s v="Low"/>
    <s v="Marketing"/>
    <s v="Medium"/>
    <s v="Male"/>
    <n v="31"/>
    <s v="High"/>
    <s v="Low"/>
    <s v="Sales Representative"/>
    <s v="Medium"/>
    <s v="Single"/>
    <n v="2679"/>
    <n v="4567"/>
    <s v="Low"/>
    <n v="1"/>
    <x v="1"/>
    <n v="13"/>
    <s v="High"/>
    <s v="Medium"/>
    <n v="0"/>
    <n v="1"/>
    <n v="3"/>
    <n v="3"/>
    <n v="1"/>
    <n v="0"/>
    <n v="1"/>
    <n v="0"/>
  </r>
  <r>
    <n v="1273"/>
    <n v="38"/>
    <s v="36-45"/>
    <x v="1"/>
    <s v="Travel_Rarely"/>
    <n v="1389"/>
    <x v="1"/>
    <n v="6"/>
    <s v="Good"/>
    <s v="Other"/>
    <s v="Excellent"/>
    <s v="Female"/>
    <n v="40"/>
    <s v="Medium"/>
    <s v="Low"/>
    <s v="Laboratory Technician"/>
    <s v="High"/>
    <s v="Married"/>
    <n v="3702"/>
    <n v="16376"/>
    <s v="Low"/>
    <n v="1"/>
    <x v="1"/>
    <n v="11"/>
    <s v="High"/>
    <s v="Medium"/>
    <n v="1"/>
    <n v="5"/>
    <n v="3"/>
    <n v="3"/>
    <n v="5"/>
    <n v="4"/>
    <n v="0"/>
    <n v="4"/>
  </r>
  <r>
    <n v="1274"/>
    <n v="22"/>
    <s v="18-25"/>
    <x v="0"/>
    <s v="Travel_Rarely"/>
    <n v="1389"/>
    <x v="1"/>
    <n v="8"/>
    <s v="Low"/>
    <s v="Medical"/>
    <s v="High"/>
    <s v="Female"/>
    <n v="79"/>
    <s v="High"/>
    <s v="Low"/>
    <s v="Laboratory Technician"/>
    <s v="Low"/>
    <s v="Married"/>
    <n v="2398"/>
    <n v="15999"/>
    <s v="Low"/>
    <n v="1"/>
    <x v="0"/>
    <n v="17"/>
    <s v="High"/>
    <s v="High"/>
    <n v="0"/>
    <n v="1"/>
    <n v="6"/>
    <n v="3"/>
    <n v="1"/>
    <n v="0"/>
    <n v="0"/>
    <n v="0"/>
  </r>
  <r>
    <n v="1275"/>
    <n v="31"/>
    <s v="26-35"/>
    <x v="1"/>
    <s v="Travel_Rarely"/>
    <n v="1389"/>
    <x v="0"/>
    <n v="29"/>
    <s v="High"/>
    <s v="Marketing"/>
    <s v="Low"/>
    <s v="Female"/>
    <n v="91"/>
    <s v="Medium"/>
    <s v="Medium"/>
    <s v="Sales Executive"/>
    <s v="Excellent"/>
    <s v="Married"/>
    <n v="5468"/>
    <n v="13402"/>
    <s v="Medium"/>
    <n v="1"/>
    <x v="1"/>
    <n v="14"/>
    <s v="High"/>
    <s v="Low"/>
    <n v="2"/>
    <n v="13"/>
    <n v="3"/>
    <n v="3"/>
    <n v="12"/>
    <n v="7"/>
    <n v="5"/>
    <n v="7"/>
  </r>
  <r>
    <n v="1276"/>
    <n v="51"/>
    <s v="46-55"/>
    <x v="1"/>
    <s v="Travel_Rarely"/>
    <n v="1389"/>
    <x v="1"/>
    <n v="3"/>
    <s v="Medium"/>
    <s v="Technical Degree"/>
    <s v="Low"/>
    <s v="Female"/>
    <n v="53"/>
    <s v="High"/>
    <s v="High"/>
    <s v="Manager"/>
    <s v="High"/>
    <s v="Married"/>
    <n v="13116"/>
    <n v="22984"/>
    <s v="High"/>
    <n v="2"/>
    <x v="1"/>
    <n v="11"/>
    <s v="High"/>
    <s v="Excellent"/>
    <n v="0"/>
    <n v="15"/>
    <n v="2"/>
    <n v="3"/>
    <n v="2"/>
    <n v="2"/>
    <n v="2"/>
    <n v="2"/>
  </r>
  <r>
    <n v="1277"/>
    <n v="37"/>
    <s v="36-45"/>
    <x v="1"/>
    <s v="Travel_Rarely"/>
    <n v="1389"/>
    <x v="0"/>
    <n v="9"/>
    <s v="Good"/>
    <s v="Marketing"/>
    <s v="Medium"/>
    <s v="Male"/>
    <n v="46"/>
    <s v="Medium"/>
    <s v="Medium"/>
    <s v="Sales Executive"/>
    <s v="Medium"/>
    <s v="Married"/>
    <n v="4189"/>
    <n v="8800"/>
    <s v="Low"/>
    <n v="1"/>
    <x v="1"/>
    <n v="14"/>
    <s v="High"/>
    <s v="Low"/>
    <n v="2"/>
    <n v="5"/>
    <n v="2"/>
    <n v="3"/>
    <n v="5"/>
    <n v="2"/>
    <n v="0"/>
    <n v="3"/>
  </r>
  <r>
    <n v="1278"/>
    <n v="46"/>
    <s v="46-55"/>
    <x v="1"/>
    <s v="Travel_Rarely"/>
    <n v="1389"/>
    <x v="1"/>
    <n v="2"/>
    <s v="High"/>
    <s v="Medical"/>
    <s v="High"/>
    <s v="Male"/>
    <n v="46"/>
    <s v="High"/>
    <e v="#N/A"/>
    <s v="Research Director"/>
    <s v="Excellent"/>
    <s v="Divorced"/>
    <n v="19328"/>
    <n v="14218"/>
    <s v="High"/>
    <n v="7"/>
    <x v="0"/>
    <n v="17"/>
    <s v="High"/>
    <s v="High"/>
    <n v="1"/>
    <n v="24"/>
    <n v="3"/>
    <n v="3"/>
    <n v="2"/>
    <n v="1"/>
    <n v="2"/>
    <n v="2"/>
  </r>
  <r>
    <n v="1279"/>
    <n v="36"/>
    <s v="36-45"/>
    <x v="1"/>
    <s v="Travel_Rarely"/>
    <n v="1389"/>
    <x v="1"/>
    <n v="10"/>
    <s v="Medium"/>
    <s v="Life Sciences"/>
    <s v="Excellent"/>
    <s v="Male"/>
    <n v="90"/>
    <s v="High"/>
    <s v="High"/>
    <s v="Healthcare Representative"/>
    <s v="Low"/>
    <s v="Married"/>
    <n v="8321"/>
    <n v="25949"/>
    <s v="Medium"/>
    <n v="7"/>
    <x v="0"/>
    <n v="13"/>
    <s v="High"/>
    <s v="Excellent"/>
    <n v="1"/>
    <n v="15"/>
    <n v="1"/>
    <n v="3"/>
    <n v="12"/>
    <n v="8"/>
    <n v="5"/>
    <n v="7"/>
  </r>
  <r>
    <n v="1280"/>
    <n v="44"/>
    <s v="36-45"/>
    <x v="0"/>
    <s v="Travel_Frequently"/>
    <n v="1389"/>
    <x v="1"/>
    <n v="1"/>
    <s v="Good"/>
    <s v="Medical"/>
    <s v="High"/>
    <s v="Male"/>
    <n v="99"/>
    <s v="High"/>
    <s v="Low"/>
    <s v="Research Scientist"/>
    <s v="Medium"/>
    <s v="Divorced"/>
    <n v="2342"/>
    <n v="11092"/>
    <s v="Low"/>
    <n v="1"/>
    <x v="0"/>
    <n v="12"/>
    <s v="High"/>
    <s v="High"/>
    <n v="3"/>
    <n v="6"/>
    <n v="2"/>
    <n v="2"/>
    <n v="5"/>
    <n v="3"/>
    <n v="2"/>
    <n v="3"/>
  </r>
  <r>
    <n v="1281"/>
    <n v="37"/>
    <s v="36-45"/>
    <x v="1"/>
    <s v="Travel_Rarely"/>
    <n v="1389"/>
    <x v="2"/>
    <n v="8"/>
    <s v="Good"/>
    <s v="Other"/>
    <s v="High"/>
    <s v="Male"/>
    <n v="89"/>
    <s v="High"/>
    <s v="Medium"/>
    <s v="Human Resources"/>
    <s v="Medium"/>
    <s v="Divorced"/>
    <n v="4071"/>
    <n v="12832"/>
    <s v="Low"/>
    <n v="2"/>
    <x v="1"/>
    <n v="13"/>
    <s v="High"/>
    <s v="High"/>
    <n v="0"/>
    <n v="19"/>
    <n v="4"/>
    <n v="2"/>
    <n v="10"/>
    <n v="0"/>
    <n v="4"/>
    <n v="7"/>
  </r>
  <r>
    <n v="1282"/>
    <n v="35"/>
    <s v="26-35"/>
    <x v="0"/>
    <s v="Travel_Rarely"/>
    <n v="1389"/>
    <x v="0"/>
    <n v="27"/>
    <s v="Medium"/>
    <s v="Life Sciences"/>
    <s v="High"/>
    <s v="Male"/>
    <n v="84"/>
    <s v="High"/>
    <s v="Medium"/>
    <s v="Sales Executive"/>
    <s v="Excellent"/>
    <s v="Single"/>
    <n v="5813"/>
    <n v="13492"/>
    <s v="Medium"/>
    <n v="1"/>
    <x v="0"/>
    <n v="18"/>
    <s v="High"/>
    <s v="Excellent"/>
    <n v="0"/>
    <n v="10"/>
    <n v="2"/>
    <n v="3"/>
    <n v="10"/>
    <n v="7"/>
    <n v="7"/>
    <n v="7"/>
  </r>
  <r>
    <n v="1283"/>
    <n v="33"/>
    <s v="26-35"/>
    <x v="1"/>
    <s v="Travel_Rarely"/>
    <n v="1389"/>
    <x v="1"/>
    <n v="8"/>
    <s v="High"/>
    <s v="Life Sciences"/>
    <s v="Excellent"/>
    <s v="Male"/>
    <n v="90"/>
    <s v="Excellent"/>
    <s v="Low"/>
    <s v="Research Scientist"/>
    <s v="Low"/>
    <s v="Married"/>
    <n v="3143"/>
    <n v="6076"/>
    <s v="Low"/>
    <n v="6"/>
    <x v="1"/>
    <n v="19"/>
    <s v="High"/>
    <s v="Medium"/>
    <n v="1"/>
    <n v="14"/>
    <n v="1"/>
    <n v="3"/>
    <n v="10"/>
    <n v="8"/>
    <n v="7"/>
    <n v="6"/>
  </r>
  <r>
    <n v="1284"/>
    <n v="28"/>
    <s v="26-35"/>
    <x v="1"/>
    <s v="Travel_Rarely"/>
    <n v="1389"/>
    <x v="1"/>
    <n v="1"/>
    <s v="Medium"/>
    <s v="Life Sciences"/>
    <s v="High"/>
    <s v="Male"/>
    <n v="82"/>
    <s v="High"/>
    <s v="Low"/>
    <s v="Research Scientist"/>
    <s v="Excellent"/>
    <s v="Married"/>
    <n v="2044"/>
    <n v="5531"/>
    <s v="Low"/>
    <n v="1"/>
    <x v="1"/>
    <n v="11"/>
    <s v="High"/>
    <s v="High"/>
    <n v="1"/>
    <n v="5"/>
    <n v="6"/>
    <n v="4"/>
    <n v="5"/>
    <n v="3"/>
    <n v="0"/>
    <n v="3"/>
  </r>
  <r>
    <n v="1285"/>
    <n v="39"/>
    <s v="36-45"/>
    <x v="1"/>
    <s v="Travel_Rarely"/>
    <n v="1389"/>
    <x v="1"/>
    <n v="10"/>
    <s v="Low"/>
    <s v="Medical"/>
    <s v="High"/>
    <s v="Male"/>
    <n v="65"/>
    <s v="High"/>
    <s v="High"/>
    <s v="Research Director"/>
    <s v="High"/>
    <s v="Single"/>
    <n v="13464"/>
    <n v="7914"/>
    <s v="High"/>
    <n v="7"/>
    <x v="1"/>
    <n v="21"/>
    <s v="Excellent"/>
    <s v="High"/>
    <n v="0"/>
    <n v="9"/>
    <n v="3"/>
    <n v="3"/>
    <n v="4"/>
    <n v="3"/>
    <n v="2"/>
    <n v="2"/>
  </r>
  <r>
    <n v="1286"/>
    <n v="46"/>
    <s v="46-55"/>
    <x v="1"/>
    <s v="Non-Travel"/>
    <n v="1389"/>
    <x v="0"/>
    <n v="26"/>
    <s v="Good"/>
    <s v="Life Sciences"/>
    <s v="Medium"/>
    <s v="Male"/>
    <n v="98"/>
    <s v="Medium"/>
    <s v="Medium"/>
    <s v="Sales Executive"/>
    <s v="Medium"/>
    <s v="Single"/>
    <n v="7991"/>
    <n v="25166"/>
    <s v="Medium"/>
    <n v="8"/>
    <x v="1"/>
    <n v="15"/>
    <s v="High"/>
    <s v="High"/>
    <n v="0"/>
    <n v="6"/>
    <n v="3"/>
    <n v="3"/>
    <n v="2"/>
    <n v="2"/>
    <n v="2"/>
    <n v="2"/>
  </r>
  <r>
    <n v="1287"/>
    <n v="40"/>
    <s v="36-45"/>
    <x v="1"/>
    <s v="Travel_Rarely"/>
    <n v="1389"/>
    <x v="1"/>
    <n v="2"/>
    <s v="Good"/>
    <s v="Life Sciences"/>
    <s v="High"/>
    <s v="Female"/>
    <n v="99"/>
    <s v="High"/>
    <s v="Low"/>
    <s v="Laboratory Technician"/>
    <s v="Low"/>
    <s v="Married"/>
    <n v="3377"/>
    <n v="25605"/>
    <s v="Low"/>
    <n v="4"/>
    <x v="1"/>
    <n v="17"/>
    <s v="High"/>
    <s v="Excellent"/>
    <n v="1"/>
    <n v="7"/>
    <n v="5"/>
    <n v="2"/>
    <n v="4"/>
    <n v="3"/>
    <n v="0"/>
    <n v="2"/>
  </r>
  <r>
    <n v="1288"/>
    <n v="42"/>
    <s v="36-45"/>
    <x v="1"/>
    <s v="Travel_Rarely"/>
    <n v="1389"/>
    <x v="1"/>
    <n v="13"/>
    <s v="Medium"/>
    <s v="Medical"/>
    <s v="Medium"/>
    <s v="Male"/>
    <n v="95"/>
    <s v="Excellent"/>
    <s v="Medium"/>
    <s v="Healthcare Representative"/>
    <s v="Low"/>
    <s v="Married"/>
    <n v="5538"/>
    <n v="5696"/>
    <s v="Medium"/>
    <n v="5"/>
    <x v="1"/>
    <n v="18"/>
    <s v="High"/>
    <s v="High"/>
    <n v="2"/>
    <n v="10"/>
    <n v="2"/>
    <n v="2"/>
    <n v="0"/>
    <n v="0"/>
    <n v="0"/>
    <n v="0"/>
  </r>
  <r>
    <n v="1289"/>
    <n v="35"/>
    <s v="26-35"/>
    <x v="1"/>
    <s v="Non-Travel"/>
    <n v="1389"/>
    <x v="1"/>
    <n v="2"/>
    <s v="Good"/>
    <s v="Medical"/>
    <s v="Medium"/>
    <s v="Male"/>
    <n v="90"/>
    <s v="High"/>
    <s v="Medium"/>
    <s v="Manufacturing Director"/>
    <s v="Excellent"/>
    <s v="Divorced"/>
    <n v="5762"/>
    <n v="24442"/>
    <s v="Medium"/>
    <n v="2"/>
    <x v="1"/>
    <n v="14"/>
    <s v="High"/>
    <s v="High"/>
    <n v="1"/>
    <n v="15"/>
    <n v="6"/>
    <n v="3"/>
    <n v="7"/>
    <n v="7"/>
    <n v="1"/>
    <n v="7"/>
  </r>
  <r>
    <n v="1290"/>
    <n v="38"/>
    <s v="36-45"/>
    <x v="1"/>
    <s v="Non-Travel"/>
    <n v="1389"/>
    <x v="2"/>
    <n v="2"/>
    <s v="Medium"/>
    <s v="Human Resources"/>
    <s v="Low"/>
    <s v="Male"/>
    <n v="100"/>
    <s v="High"/>
    <s v="Low"/>
    <s v="Human Resources"/>
    <s v="Medium"/>
    <s v="Divorced"/>
    <n v="2592"/>
    <n v="7129"/>
    <s v="Low"/>
    <n v="5"/>
    <x v="1"/>
    <n v="13"/>
    <s v="High"/>
    <s v="Excellent"/>
    <n v="3"/>
    <n v="13"/>
    <n v="3"/>
    <n v="3"/>
    <n v="11"/>
    <n v="10"/>
    <n v="3"/>
    <n v="8"/>
  </r>
  <r>
    <n v="1291"/>
    <n v="34"/>
    <s v="26-35"/>
    <x v="0"/>
    <s v="Travel_Frequently"/>
    <n v="1389"/>
    <x v="1"/>
    <n v="9"/>
    <s v="High"/>
    <s v="Life Sciences"/>
    <s v="Excellent"/>
    <s v="Male"/>
    <n v="93"/>
    <s v="High"/>
    <s v="Medium"/>
    <s v="Laboratory Technician"/>
    <s v="Low"/>
    <s v="Married"/>
    <n v="5346"/>
    <n v="6208"/>
    <s v="Medium"/>
    <n v="4"/>
    <x v="1"/>
    <n v="17"/>
    <s v="High"/>
    <s v="High"/>
    <n v="1"/>
    <n v="11"/>
    <n v="3"/>
    <n v="2"/>
    <n v="7"/>
    <n v="1"/>
    <n v="0"/>
    <n v="7"/>
  </r>
  <r>
    <n v="1292"/>
    <n v="37"/>
    <s v="36-45"/>
    <x v="0"/>
    <s v="Travel_Rarely"/>
    <n v="1389"/>
    <x v="1"/>
    <n v="10"/>
    <s v="High"/>
    <s v="Medical"/>
    <s v="Excellent"/>
    <s v="Male"/>
    <n v="58"/>
    <s v="High"/>
    <s v="Medium"/>
    <s v="Manufacturing Director"/>
    <s v="Low"/>
    <s v="Single"/>
    <n v="4213"/>
    <n v="4992"/>
    <s v="Low"/>
    <n v="1"/>
    <x v="1"/>
    <n v="15"/>
    <s v="High"/>
    <s v="Medium"/>
    <n v="0"/>
    <n v="10"/>
    <n v="4"/>
    <n v="1"/>
    <n v="10"/>
    <n v="3"/>
    <n v="0"/>
    <n v="8"/>
  </r>
  <r>
    <n v="1293"/>
    <n v="39"/>
    <s v="36-45"/>
    <x v="1"/>
    <s v="Travel_Frequently"/>
    <n v="1389"/>
    <x v="0"/>
    <n v="20"/>
    <s v="Medium"/>
    <s v="Life Sciences"/>
    <s v="High"/>
    <s v="Male"/>
    <n v="83"/>
    <s v="High"/>
    <s v="Medium"/>
    <s v="Sales Executive"/>
    <s v="Excellent"/>
    <s v="Divorced"/>
    <n v="4127"/>
    <n v="19188"/>
    <s v="Low"/>
    <n v="2"/>
    <x v="1"/>
    <n v="18"/>
    <s v="High"/>
    <s v="Excellent"/>
    <n v="1"/>
    <n v="7"/>
    <n v="6"/>
    <n v="3"/>
    <n v="2"/>
    <n v="1"/>
    <n v="2"/>
    <n v="2"/>
  </r>
  <r>
    <n v="1294"/>
    <n v="43"/>
    <s v="36-45"/>
    <x v="1"/>
    <s v="Non-Travel"/>
    <n v="1389"/>
    <x v="1"/>
    <n v="9"/>
    <s v="Medium"/>
    <s v="Life Sciences"/>
    <s v="Low"/>
    <s v="Male"/>
    <n v="52"/>
    <s v="High"/>
    <s v="Low"/>
    <s v="Research Scientist"/>
    <s v="High"/>
    <s v="Single"/>
    <n v="2438"/>
    <n v="24978"/>
    <s v="Low"/>
    <n v="4"/>
    <x v="1"/>
    <n v="13"/>
    <s v="High"/>
    <s v="High"/>
    <n v="0"/>
    <n v="7"/>
    <n v="2"/>
    <n v="2"/>
    <n v="3"/>
    <n v="2"/>
    <n v="1"/>
    <n v="2"/>
  </r>
  <r>
    <n v="1295"/>
    <n v="41"/>
    <s v="36-45"/>
    <x v="1"/>
    <s v="Travel_Rarely"/>
    <n v="1389"/>
    <x v="1"/>
    <n v="5"/>
    <s v="Medium"/>
    <s v="Life Sciences"/>
    <s v="Medium"/>
    <s v="Male"/>
    <n v="85"/>
    <s v="Excellent"/>
    <s v="Medium"/>
    <s v="Healthcare Representative"/>
    <s v="Medium"/>
    <s v="Single"/>
    <n v="6870"/>
    <n v="15530"/>
    <s v="Medium"/>
    <n v="3"/>
    <x v="1"/>
    <n v="12"/>
    <s v="High"/>
    <s v="Low"/>
    <n v="0"/>
    <n v="11"/>
    <n v="3"/>
    <n v="1"/>
    <n v="3"/>
    <n v="2"/>
    <n v="1"/>
    <n v="2"/>
  </r>
  <r>
    <n v="1296"/>
    <n v="41"/>
    <s v="36-45"/>
    <x v="1"/>
    <s v="Travel_Rarely"/>
    <n v="1389"/>
    <x v="0"/>
    <n v="4"/>
    <s v="Low"/>
    <s v="Marketing"/>
    <s v="High"/>
    <s v="Female"/>
    <n v="81"/>
    <s v="High"/>
    <s v="High"/>
    <s v="Sales Executive"/>
    <s v="High"/>
    <s v="Divorced"/>
    <n v="10447"/>
    <n v="26458"/>
    <s v="High"/>
    <n v="0"/>
    <x v="0"/>
    <n v="13"/>
    <s v="High"/>
    <s v="Excellent"/>
    <n v="1"/>
    <n v="23"/>
    <n v="3"/>
    <n v="4"/>
    <n v="22"/>
    <n v="14"/>
    <n v="13"/>
    <n v="5"/>
  </r>
  <r>
    <n v="1297"/>
    <n v="30"/>
    <s v="26-35"/>
    <x v="1"/>
    <s v="Travel_Rarely"/>
    <n v="1389"/>
    <x v="1"/>
    <n v="10"/>
    <s v="Medium"/>
    <s v="Medical"/>
    <s v="Low"/>
    <s v="Female"/>
    <n v="64"/>
    <s v="High"/>
    <s v="High"/>
    <s v="Manufacturing Director"/>
    <s v="High"/>
    <s v="Single"/>
    <n v="9667"/>
    <n v="2739"/>
    <s v="Medium"/>
    <n v="9"/>
    <x v="1"/>
    <n v="14"/>
    <s v="High"/>
    <s v="Medium"/>
    <n v="0"/>
    <n v="9"/>
    <n v="3"/>
    <n v="3"/>
    <n v="7"/>
    <n v="7"/>
    <n v="0"/>
    <n v="2"/>
  </r>
  <r>
    <n v="1298"/>
    <n v="26"/>
    <s v="26-35"/>
    <x v="0"/>
    <s v="Travel_Rarely"/>
    <n v="1389"/>
    <x v="2"/>
    <n v="20"/>
    <s v="Good"/>
    <s v="Medical"/>
    <s v="Excellent"/>
    <s v="Female"/>
    <n v="69"/>
    <s v="High"/>
    <s v="Low"/>
    <s v="Human Resources"/>
    <s v="Medium"/>
    <s v="Married"/>
    <n v="2148"/>
    <n v="6889"/>
    <s v="Low"/>
    <n v="0"/>
    <x v="0"/>
    <n v="11"/>
    <s v="High"/>
    <s v="High"/>
    <n v="0"/>
    <n v="6"/>
    <n v="3"/>
    <n v="3"/>
    <n v="5"/>
    <n v="1"/>
    <n v="1"/>
    <n v="4"/>
  </r>
  <r>
    <n v="1299"/>
    <n v="46"/>
    <s v="46-55"/>
    <x v="0"/>
    <s v="Travel_Rarely"/>
    <n v="1389"/>
    <x v="1"/>
    <n v="21"/>
    <s v="Good"/>
    <s v="Medical"/>
    <s v="Excellent"/>
    <s v="Female"/>
    <n v="66"/>
    <s v="High"/>
    <s v="Medium"/>
    <s v="Healthcare Representative"/>
    <s v="Medium"/>
    <s v="Married"/>
    <n v="8926"/>
    <n v="10842"/>
    <s v="Medium"/>
    <n v="4"/>
    <x v="1"/>
    <n v="22"/>
    <s v="Excellent"/>
    <s v="Excellent"/>
    <n v="1"/>
    <n v="13"/>
    <n v="2"/>
    <n v="4"/>
    <n v="9"/>
    <n v="7"/>
    <n v="3"/>
    <n v="7"/>
  </r>
  <r>
    <n v="1300"/>
    <n v="40"/>
    <s v="36-45"/>
    <x v="1"/>
    <s v="Travel_Rarely"/>
    <n v="1389"/>
    <x v="1"/>
    <n v="1"/>
    <s v="Medium"/>
    <s v="Life Sciences"/>
    <s v="High"/>
    <s v="Female"/>
    <n v="52"/>
    <s v="High"/>
    <s v="Medium"/>
    <s v="Healthcare Representative"/>
    <s v="Excellent"/>
    <s v="Divorced"/>
    <n v="6513"/>
    <n v="9060"/>
    <s v="Medium"/>
    <n v="4"/>
    <x v="1"/>
    <n v="17"/>
    <s v="High"/>
    <s v="Excellent"/>
    <n v="1"/>
    <n v="12"/>
    <n v="3"/>
    <n v="3"/>
    <n v="5"/>
    <n v="3"/>
    <n v="0"/>
    <n v="3"/>
  </r>
  <r>
    <n v="1301"/>
    <n v="34"/>
    <s v="26-35"/>
    <x v="1"/>
    <s v="Travel_Rarely"/>
    <n v="1389"/>
    <x v="0"/>
    <n v="8"/>
    <s v="Good"/>
    <s v="Technical Degree"/>
    <s v="Medium"/>
    <s v="Male"/>
    <n v="92"/>
    <s v="Excellent"/>
    <s v="Medium"/>
    <s v="Sales Executive"/>
    <s v="High"/>
    <s v="Married"/>
    <n v="6799"/>
    <n v="22128"/>
    <s v="Medium"/>
    <n v="1"/>
    <x v="1"/>
    <n v="21"/>
    <s v="Excellent"/>
    <s v="High"/>
    <n v="2"/>
    <n v="10"/>
    <n v="5"/>
    <n v="3"/>
    <n v="10"/>
    <n v="8"/>
    <n v="4"/>
    <n v="8"/>
  </r>
  <r>
    <n v="1302"/>
    <n v="58"/>
    <s v="55+"/>
    <x v="1"/>
    <s v="Non-Travel"/>
    <n v="1389"/>
    <x v="0"/>
    <n v="2"/>
    <s v="Medium"/>
    <s v="Medical"/>
    <s v="Medium"/>
    <s v="Male"/>
    <n v="52"/>
    <s v="High"/>
    <s v="Excellent"/>
    <s v="Manager"/>
    <s v="Medium"/>
    <s v="Divorced"/>
    <n v="16291"/>
    <n v="22577"/>
    <s v="High"/>
    <n v="4"/>
    <x v="1"/>
    <n v="22"/>
    <s v="Excellent"/>
    <s v="Excellent"/>
    <n v="1"/>
    <n v="37"/>
    <n v="0"/>
    <n v="2"/>
    <n v="16"/>
    <n v="9"/>
    <n v="14"/>
    <n v="14"/>
  </r>
  <r>
    <n v="1303"/>
    <n v="35"/>
    <s v="26-35"/>
    <x v="1"/>
    <s v="Travel_Rarely"/>
    <n v="1389"/>
    <x v="1"/>
    <n v="23"/>
    <s v="High"/>
    <s v="Medical"/>
    <s v="Medium"/>
    <s v="Male"/>
    <n v="91"/>
    <s v="Low"/>
    <s v="Low"/>
    <s v="Laboratory Technician"/>
    <s v="High"/>
    <s v="Married"/>
    <n v="2705"/>
    <n v="9696"/>
    <s v="Low"/>
    <n v="0"/>
    <x v="1"/>
    <n v="16"/>
    <s v="High"/>
    <s v="Medium"/>
    <n v="1"/>
    <n v="6"/>
    <n v="2"/>
    <n v="4"/>
    <n v="5"/>
    <n v="4"/>
    <n v="0"/>
    <n v="3"/>
  </r>
  <r>
    <n v="1304"/>
    <n v="47"/>
    <s v="46-55"/>
    <x v="1"/>
    <s v="Travel_Rarely"/>
    <n v="1389"/>
    <x v="1"/>
    <n v="4"/>
    <s v="Medium"/>
    <s v="Life Sciences"/>
    <s v="High"/>
    <s v="Female"/>
    <n v="92"/>
    <s v="Medium"/>
    <s v="High"/>
    <s v="Manufacturing Director"/>
    <s v="Medium"/>
    <s v="Divorced"/>
    <n v="10333"/>
    <n v="19271"/>
    <s v="High"/>
    <n v="8"/>
    <x v="0"/>
    <n v="12"/>
    <s v="High"/>
    <s v="High"/>
    <n v="1"/>
    <n v="28"/>
    <n v="4"/>
    <n v="3"/>
    <n v="22"/>
    <n v="11"/>
    <n v="14"/>
    <n v="10"/>
  </r>
  <r>
    <n v="1305"/>
    <n v="40"/>
    <s v="36-45"/>
    <x v="1"/>
    <s v="Travel_Rarely"/>
    <n v="1389"/>
    <x v="1"/>
    <n v="12"/>
    <s v="Medium"/>
    <s v="Life Sciences"/>
    <s v="Medium"/>
    <s v="Female"/>
    <n v="47"/>
    <s v="High"/>
    <s v="Medium"/>
    <s v="Healthcare Representative"/>
    <s v="Low"/>
    <s v="Divorced"/>
    <n v="4448"/>
    <n v="10748"/>
    <s v="Low"/>
    <n v="2"/>
    <x v="1"/>
    <n v="12"/>
    <s v="High"/>
    <s v="Medium"/>
    <n v="1"/>
    <n v="15"/>
    <n v="3"/>
    <n v="3"/>
    <n v="7"/>
    <n v="4"/>
    <n v="7"/>
    <n v="7"/>
  </r>
  <r>
    <n v="1306"/>
    <n v="54"/>
    <s v="46-55"/>
    <x v="1"/>
    <s v="Travel_Rarely"/>
    <n v="1389"/>
    <x v="1"/>
    <n v="7"/>
    <s v="High"/>
    <s v="Medical"/>
    <s v="Excellent"/>
    <s v="Female"/>
    <n v="68"/>
    <s v="High"/>
    <s v="Medium"/>
    <s v="Research Scientist"/>
    <s v="Excellent"/>
    <s v="Married"/>
    <n v="6854"/>
    <n v="15696"/>
    <s v="Medium"/>
    <n v="4"/>
    <x v="1"/>
    <n v="15"/>
    <s v="High"/>
    <s v="Medium"/>
    <n v="1"/>
    <n v="14"/>
    <n v="2"/>
    <n v="2"/>
    <n v="7"/>
    <n v="1"/>
    <n v="1"/>
    <n v="7"/>
  </r>
  <r>
    <n v="1307"/>
    <n v="31"/>
    <s v="26-35"/>
    <x v="1"/>
    <s v="Travel_Frequently"/>
    <n v="1389"/>
    <x v="0"/>
    <n v="7"/>
    <s v="High"/>
    <s v="Marketing"/>
    <s v="Low"/>
    <s v="Female"/>
    <n v="68"/>
    <s v="High"/>
    <s v="High"/>
    <s v="Sales Executive"/>
    <s v="Low"/>
    <s v="Married"/>
    <n v="9637"/>
    <n v="8277"/>
    <s v="Medium"/>
    <n v="2"/>
    <x v="1"/>
    <n v="14"/>
    <s v="High"/>
    <s v="Excellent"/>
    <n v="2"/>
    <n v="9"/>
    <n v="3"/>
    <n v="3"/>
    <n v="3"/>
    <n v="2"/>
    <n v="2"/>
    <n v="2"/>
  </r>
  <r>
    <n v="1308"/>
    <n v="28"/>
    <s v="26-35"/>
    <x v="1"/>
    <s v="Travel_Rarely"/>
    <n v="1389"/>
    <x v="1"/>
    <n v="1"/>
    <s v="Medium"/>
    <s v="Medical"/>
    <s v="High"/>
    <s v="Female"/>
    <n v="67"/>
    <s v="High"/>
    <s v="Low"/>
    <s v="Research Scientist"/>
    <s v="Low"/>
    <s v="Married"/>
    <n v="3591"/>
    <n v="12719"/>
    <s v="Low"/>
    <n v="1"/>
    <x v="1"/>
    <n v="25"/>
    <s v="Excellent"/>
    <s v="High"/>
    <n v="1"/>
    <n v="3"/>
    <n v="3"/>
    <n v="3"/>
    <n v="3"/>
    <n v="2"/>
    <n v="1"/>
    <n v="2"/>
  </r>
  <r>
    <n v="1309"/>
    <n v="38"/>
    <s v="36-45"/>
    <x v="1"/>
    <s v="Travel_Rarely"/>
    <n v="1389"/>
    <x v="0"/>
    <n v="2"/>
    <s v="High"/>
    <s v="Marketing"/>
    <s v="Medium"/>
    <s v="Female"/>
    <n v="77"/>
    <s v="Low"/>
    <s v="Medium"/>
    <s v="Sales Representative"/>
    <s v="Excellent"/>
    <s v="Married"/>
    <n v="5405"/>
    <n v="4244"/>
    <s v="Medium"/>
    <n v="2"/>
    <x v="0"/>
    <n v="20"/>
    <s v="Excellent"/>
    <s v="Low"/>
    <n v="2"/>
    <n v="20"/>
    <n v="4"/>
    <n v="2"/>
    <n v="4"/>
    <n v="2"/>
    <n v="0"/>
    <n v="3"/>
  </r>
  <r>
    <n v="1310"/>
    <n v="26"/>
    <s v="26-35"/>
    <x v="1"/>
    <s v="Travel_Rarely"/>
    <n v="1389"/>
    <x v="0"/>
    <n v="10"/>
    <s v="Medium"/>
    <s v="Medical"/>
    <s v="High"/>
    <s v="Male"/>
    <n v="46"/>
    <s v="High"/>
    <s v="Medium"/>
    <s v="Sales Executive"/>
    <s v="Excellent"/>
    <s v="Single"/>
    <n v="4684"/>
    <n v="9125"/>
    <s v="Low"/>
    <n v="1"/>
    <x v="1"/>
    <n v="13"/>
    <s v="High"/>
    <s v="Low"/>
    <n v="0"/>
    <n v="5"/>
    <n v="4"/>
    <n v="3"/>
    <n v="5"/>
    <n v="3"/>
    <n v="1"/>
    <n v="2"/>
  </r>
  <r>
    <n v="1311"/>
    <n v="58"/>
    <s v="55+"/>
    <x v="1"/>
    <s v="Travel_Frequently"/>
    <n v="1389"/>
    <x v="1"/>
    <n v="15"/>
    <s v="High"/>
    <s v="Life Sciences"/>
    <s v="Low"/>
    <s v="Male"/>
    <n v="87"/>
    <s v="High"/>
    <s v="Excellent"/>
    <s v="Research Director"/>
    <s v="High"/>
    <s v="Married"/>
    <n v="15787"/>
    <n v="21624"/>
    <s v="High"/>
    <n v="2"/>
    <x v="0"/>
    <n v="14"/>
    <s v="High"/>
    <s v="Medium"/>
    <n v="0"/>
    <n v="23"/>
    <n v="3"/>
    <n v="3"/>
    <n v="2"/>
    <n v="2"/>
    <n v="2"/>
    <n v="2"/>
  </r>
  <r>
    <n v="1312"/>
    <n v="18"/>
    <s v="18-25"/>
    <x v="1"/>
    <s v="Non-Travel"/>
    <n v="1389"/>
    <x v="1"/>
    <n v="14"/>
    <s v="Medium"/>
    <s v="Medical"/>
    <s v="Medium"/>
    <s v="Female"/>
    <n v="33"/>
    <s v="High"/>
    <s v="Low"/>
    <s v="Research Scientist"/>
    <s v="High"/>
    <s v="Single"/>
    <n v="1514"/>
    <n v="8018"/>
    <s v="Low"/>
    <n v="1"/>
    <x v="1"/>
    <n v="16"/>
    <s v="High"/>
    <s v="High"/>
    <n v="0"/>
    <n v="0"/>
    <n v="4"/>
    <n v="1"/>
    <n v="0"/>
    <n v="0"/>
    <n v="0"/>
    <n v="0"/>
  </r>
  <r>
    <n v="1313"/>
    <n v="31"/>
    <s v="26-35"/>
    <x v="0"/>
    <s v="Travel_Rarely"/>
    <n v="1389"/>
    <x v="2"/>
    <n v="18"/>
    <s v="Excellent"/>
    <s v="Human Resources"/>
    <s v="Excellent"/>
    <s v="Male"/>
    <n v="89"/>
    <s v="Excellent"/>
    <s v="Low"/>
    <s v="Human Resources"/>
    <s v="Low"/>
    <s v="Married"/>
    <n v="2956"/>
    <n v="21495"/>
    <s v="Low"/>
    <n v="0"/>
    <x v="1"/>
    <n v="17"/>
    <s v="High"/>
    <s v="High"/>
    <n v="0"/>
    <n v="2"/>
    <n v="4"/>
    <n v="3"/>
    <n v="1"/>
    <n v="0"/>
    <n v="0"/>
    <n v="0"/>
  </r>
  <r>
    <n v="1314"/>
    <n v="29"/>
    <s v="26-35"/>
    <x v="0"/>
    <s v="Travel_Rarely"/>
    <n v="1389"/>
    <x v="2"/>
    <n v="13"/>
    <s v="Medium"/>
    <s v="Human Resources"/>
    <s v="Low"/>
    <s v="Male"/>
    <n v="56"/>
    <s v="Medium"/>
    <s v="Low"/>
    <s v="Human Resources"/>
    <s v="Low"/>
    <s v="Divorced"/>
    <n v="2335"/>
    <n v="3157"/>
    <s v="Low"/>
    <n v="4"/>
    <x v="0"/>
    <n v="15"/>
    <s v="High"/>
    <s v="Excellent"/>
    <n v="3"/>
    <n v="4"/>
    <n v="3"/>
    <n v="3"/>
    <n v="2"/>
    <n v="2"/>
    <n v="2"/>
    <n v="0"/>
  </r>
  <r>
    <n v="1315"/>
    <n v="45"/>
    <s v="36-45"/>
    <x v="1"/>
    <s v="Non-Travel"/>
    <n v="1389"/>
    <x v="0"/>
    <n v="2"/>
    <s v="High"/>
    <s v="Life Sciences"/>
    <s v="High"/>
    <s v="Female"/>
    <n v="67"/>
    <s v="High"/>
    <s v="Medium"/>
    <s v="Sales Executive"/>
    <s v="High"/>
    <s v="Married"/>
    <n v="5154"/>
    <n v="19665"/>
    <s v="Medium"/>
    <n v="4"/>
    <x v="1"/>
    <n v="22"/>
    <s v="Excellent"/>
    <s v="Medium"/>
    <n v="2"/>
    <n v="10"/>
    <n v="3"/>
    <n v="4"/>
    <n v="8"/>
    <n v="7"/>
    <n v="5"/>
    <n v="7"/>
  </r>
  <r>
    <n v="1316"/>
    <n v="36"/>
    <s v="36-45"/>
    <x v="1"/>
    <s v="Travel_Rarely"/>
    <n v="1389"/>
    <x v="1"/>
    <n v="2"/>
    <s v="High"/>
    <s v="Other"/>
    <s v="Excellent"/>
    <s v="Female"/>
    <n v="73"/>
    <s v="High"/>
    <s v="Medium"/>
    <s v="Research Scientist"/>
    <s v="Medium"/>
    <s v="Married"/>
    <n v="6962"/>
    <n v="19573"/>
    <s v="Medium"/>
    <n v="4"/>
    <x v="0"/>
    <n v="22"/>
    <s v="Excellent"/>
    <s v="Excellent"/>
    <n v="1"/>
    <n v="15"/>
    <n v="2"/>
    <n v="3"/>
    <n v="1"/>
    <n v="0"/>
    <n v="0"/>
    <n v="0"/>
  </r>
  <r>
    <n v="1317"/>
    <n v="43"/>
    <s v="36-45"/>
    <x v="1"/>
    <s v="Travel_Frequently"/>
    <n v="1389"/>
    <x v="0"/>
    <n v="2"/>
    <s v="High"/>
    <s v="Life Sciences"/>
    <s v="Low"/>
    <s v="Male"/>
    <n v="92"/>
    <s v="High"/>
    <s v="Medium"/>
    <s v="Sales Executive"/>
    <s v="Excellent"/>
    <s v="Married"/>
    <n v="5675"/>
    <n v="19246"/>
    <s v="Medium"/>
    <n v="1"/>
    <x v="1"/>
    <n v="20"/>
    <s v="Excellent"/>
    <s v="High"/>
    <n v="1"/>
    <n v="7"/>
    <n v="5"/>
    <n v="3"/>
    <n v="7"/>
    <n v="7"/>
    <n v="7"/>
    <n v="7"/>
  </r>
  <r>
    <n v="1318"/>
    <n v="27"/>
    <s v="26-35"/>
    <x v="1"/>
    <s v="Travel_Frequently"/>
    <n v="1389"/>
    <x v="1"/>
    <n v="5"/>
    <s v="Good"/>
    <s v="Life Sciences"/>
    <s v="Excellent"/>
    <s v="Female"/>
    <n v="53"/>
    <s v="High"/>
    <s v="Low"/>
    <s v="Laboratory Technician"/>
    <s v="Excellent"/>
    <s v="Single"/>
    <n v="2379"/>
    <n v="19826"/>
    <s v="Low"/>
    <n v="0"/>
    <x v="0"/>
    <n v="14"/>
    <s v="High"/>
    <s v="High"/>
    <n v="0"/>
    <n v="6"/>
    <n v="3"/>
    <n v="2"/>
    <n v="5"/>
    <n v="4"/>
    <n v="0"/>
    <n v="2"/>
  </r>
  <r>
    <n v="1319"/>
    <n v="29"/>
    <s v="26-35"/>
    <x v="1"/>
    <s v="Travel_Frequently"/>
    <n v="1389"/>
    <x v="1"/>
    <n v="20"/>
    <s v="Low"/>
    <s v="Medical"/>
    <s v="Excellent"/>
    <s v="Male"/>
    <n v="40"/>
    <s v="High"/>
    <s v="Low"/>
    <s v="Laboratory Technician"/>
    <s v="Excellent"/>
    <s v="Married"/>
    <n v="3812"/>
    <n v="7003"/>
    <s v="Low"/>
    <n v="1"/>
    <x v="1"/>
    <n v="13"/>
    <s v="High"/>
    <s v="Medium"/>
    <n v="0"/>
    <n v="11"/>
    <n v="3"/>
    <n v="4"/>
    <n v="11"/>
    <n v="8"/>
    <n v="3"/>
    <n v="10"/>
  </r>
  <r>
    <n v="1320"/>
    <n v="32"/>
    <s v="26-35"/>
    <x v="1"/>
    <s v="Travel_Frequently"/>
    <n v="1389"/>
    <x v="0"/>
    <n v="10"/>
    <s v="High"/>
    <s v="Marketing"/>
    <s v="Excellent"/>
    <s v="Male"/>
    <n v="79"/>
    <s v="High"/>
    <s v="Medium"/>
    <s v="Sales Executive"/>
    <s v="Excellent"/>
    <s v="Single"/>
    <n v="4648"/>
    <n v="26075"/>
    <s v="Low"/>
    <n v="8"/>
    <x v="1"/>
    <n v="13"/>
    <s v="High"/>
    <s v="High"/>
    <n v="0"/>
    <n v="4"/>
    <n v="2"/>
    <n v="4"/>
    <n v="0"/>
    <n v="0"/>
    <n v="0"/>
    <n v="0"/>
  </r>
  <r>
    <n v="1321"/>
    <n v="42"/>
    <s v="36-45"/>
    <x v="1"/>
    <s v="Non-Travel"/>
    <n v="1389"/>
    <x v="1"/>
    <n v="10"/>
    <s v="High"/>
    <s v="Technical Degree"/>
    <s v="High"/>
    <s v="Male"/>
    <n v="38"/>
    <s v="High"/>
    <s v="Low"/>
    <s v="Research Scientist"/>
    <s v="High"/>
    <s v="Married"/>
    <n v="2936"/>
    <n v="6161"/>
    <s v="Low"/>
    <n v="3"/>
    <x v="1"/>
    <n v="22"/>
    <s v="Excellent"/>
    <s v="Medium"/>
    <n v="2"/>
    <n v="10"/>
    <n v="1"/>
    <n v="2"/>
    <n v="6"/>
    <n v="3"/>
    <n v="3"/>
    <n v="3"/>
  </r>
  <r>
    <n v="1322"/>
    <n v="47"/>
    <s v="46-55"/>
    <x v="1"/>
    <s v="Travel_Rarely"/>
    <n v="1389"/>
    <x v="1"/>
    <n v="9"/>
    <s v="High"/>
    <s v="Life Sciences"/>
    <s v="Medium"/>
    <s v="Female"/>
    <n v="64"/>
    <s v="High"/>
    <s v="Low"/>
    <s v="Laboratory Technician"/>
    <s v="High"/>
    <s v="Single"/>
    <n v="2105"/>
    <n v="5411"/>
    <s v="Low"/>
    <n v="4"/>
    <x v="1"/>
    <n v="12"/>
    <s v="High"/>
    <s v="High"/>
    <n v="0"/>
    <n v="7"/>
    <n v="2"/>
    <n v="3"/>
    <n v="2"/>
    <n v="2"/>
    <n v="2"/>
    <n v="0"/>
  </r>
  <r>
    <n v="1323"/>
    <n v="46"/>
    <s v="46-55"/>
    <x v="1"/>
    <s v="Travel_Rarely"/>
    <n v="1389"/>
    <x v="1"/>
    <n v="2"/>
    <s v="Good"/>
    <s v="Life Sciences"/>
    <s v="Excellent"/>
    <s v="Male"/>
    <n v="82"/>
    <s v="High"/>
    <s v="High"/>
    <s v="Manufacturing Director"/>
    <s v="Excellent"/>
    <s v="Divorced"/>
    <n v="8578"/>
    <n v="19989"/>
    <s v="Medium"/>
    <n v="3"/>
    <x v="1"/>
    <n v="14"/>
    <s v="High"/>
    <s v="High"/>
    <n v="1"/>
    <n v="12"/>
    <n v="4"/>
    <n v="2"/>
    <n v="9"/>
    <n v="8"/>
    <n v="4"/>
    <n v="7"/>
  </r>
  <r>
    <n v="1324"/>
    <n v="28"/>
    <s v="26-35"/>
    <x v="1"/>
    <s v="Non-Travel"/>
    <n v="1389"/>
    <x v="2"/>
    <n v="1"/>
    <s v="Good"/>
    <s v="Life Sciences"/>
    <s v="High"/>
    <s v="Male"/>
    <n v="43"/>
    <s v="High"/>
    <s v="Low"/>
    <s v="Human Resources"/>
    <s v="Excellent"/>
    <s v="Divorced"/>
    <n v="2706"/>
    <n v="10494"/>
    <s v="Low"/>
    <n v="1"/>
    <x v="1"/>
    <n v="15"/>
    <s v="High"/>
    <s v="Medium"/>
    <n v="1"/>
    <n v="3"/>
    <n v="2"/>
    <n v="3"/>
    <n v="3"/>
    <n v="2"/>
    <n v="2"/>
    <n v="2"/>
  </r>
  <r>
    <n v="1325"/>
    <n v="29"/>
    <s v="26-35"/>
    <x v="1"/>
    <s v="Travel_Rarely"/>
    <n v="1389"/>
    <x v="1"/>
    <n v="29"/>
    <s v="Low"/>
    <s v="Life Sciences"/>
    <s v="Excellent"/>
    <s v="Male"/>
    <n v="93"/>
    <s v="Low"/>
    <s v="Medium"/>
    <s v="Healthcare Representative"/>
    <s v="High"/>
    <s v="Divorced"/>
    <n v="6384"/>
    <n v="21143"/>
    <s v="Medium"/>
    <n v="8"/>
    <x v="1"/>
    <n v="17"/>
    <s v="High"/>
    <s v="Excellent"/>
    <n v="2"/>
    <n v="11"/>
    <n v="3"/>
    <n v="3"/>
    <n v="7"/>
    <n v="0"/>
    <n v="1"/>
    <n v="6"/>
  </r>
  <r>
    <n v="1326"/>
    <n v="42"/>
    <s v="36-45"/>
    <x v="1"/>
    <s v="Travel_Rarely"/>
    <n v="1389"/>
    <x v="1"/>
    <n v="8"/>
    <s v="Medium"/>
    <s v="Life Sciences"/>
    <s v="Excellent"/>
    <s v="Male"/>
    <n v="81"/>
    <s v="High"/>
    <s v="Low"/>
    <s v="Laboratory Technician"/>
    <s v="High"/>
    <s v="Single"/>
    <n v="3968"/>
    <n v="13624"/>
    <s v="Low"/>
    <n v="4"/>
    <x v="1"/>
    <n v="13"/>
    <s v="High"/>
    <s v="Excellent"/>
    <n v="0"/>
    <n v="8"/>
    <n v="3"/>
    <n v="3"/>
    <n v="0"/>
    <n v="0"/>
    <n v="0"/>
    <n v="0"/>
  </r>
  <r>
    <n v="1327"/>
    <n v="32"/>
    <s v="26-35"/>
    <x v="0"/>
    <s v="Travel_Rarely"/>
    <n v="1389"/>
    <x v="0"/>
    <n v="2"/>
    <s v="High"/>
    <s v="Marketing"/>
    <s v="High"/>
    <s v="Male"/>
    <n v="82"/>
    <s v="Medium"/>
    <s v="Medium"/>
    <s v="Sales Executive"/>
    <s v="Medium"/>
    <s v="Single"/>
    <n v="9907"/>
    <n v="26186"/>
    <s v="Medium"/>
    <n v="7"/>
    <x v="0"/>
    <n v="12"/>
    <s v="High"/>
    <s v="High"/>
    <n v="0"/>
    <n v="7"/>
    <n v="3"/>
    <n v="2"/>
    <n v="2"/>
    <n v="2"/>
    <n v="2"/>
    <n v="2"/>
  </r>
  <r>
    <n v="1328"/>
    <n v="46"/>
    <s v="46-55"/>
    <x v="1"/>
    <s v="Travel_Rarely"/>
    <n v="1389"/>
    <x v="0"/>
    <n v="3"/>
    <s v="Medium"/>
    <s v="Technical Degree"/>
    <s v="Low"/>
    <s v="Female"/>
    <n v="45"/>
    <s v="Excellent"/>
    <s v="Excellent"/>
    <s v="Sales Executive"/>
    <s v="Low"/>
    <s v="Divorced"/>
    <n v="13225"/>
    <n v="7739"/>
    <s v="High"/>
    <n v="2"/>
    <x v="1"/>
    <n v="12"/>
    <s v="High"/>
    <s v="Excellent"/>
    <n v="1"/>
    <n v="25"/>
    <n v="5"/>
    <n v="3"/>
    <n v="19"/>
    <n v="17"/>
    <n v="2"/>
    <n v="8"/>
  </r>
  <r>
    <n v="1329"/>
    <n v="27"/>
    <s v="26-35"/>
    <x v="1"/>
    <s v="Travel_Rarely"/>
    <n v="1389"/>
    <x v="0"/>
    <n v="23"/>
    <s v="Low"/>
    <s v="Medical"/>
    <s v="Medium"/>
    <s v="Female"/>
    <n v="36"/>
    <s v="Medium"/>
    <s v="Medium"/>
    <s v="Sales Representative"/>
    <s v="High"/>
    <s v="Married"/>
    <n v="3540"/>
    <n v="7018"/>
    <s v="Low"/>
    <n v="1"/>
    <x v="1"/>
    <n v="21"/>
    <s v="Excellent"/>
    <s v="Excellent"/>
    <n v="1"/>
    <n v="9"/>
    <n v="5"/>
    <n v="3"/>
    <n v="9"/>
    <n v="8"/>
    <n v="5"/>
    <n v="8"/>
  </r>
  <r>
    <n v="1330"/>
    <n v="29"/>
    <s v="26-35"/>
    <x v="1"/>
    <s v="Travel_Rarely"/>
    <n v="1389"/>
    <x v="2"/>
    <n v="6"/>
    <s v="Low"/>
    <s v="Medical"/>
    <s v="Excellent"/>
    <s v="Male"/>
    <n v="87"/>
    <s v="Medium"/>
    <s v="Low"/>
    <s v="Human Resources"/>
    <s v="Medium"/>
    <s v="Married"/>
    <n v="2804"/>
    <n v="15434"/>
    <s v="Low"/>
    <n v="1"/>
    <x v="1"/>
    <n v="11"/>
    <s v="High"/>
    <s v="Excellent"/>
    <n v="0"/>
    <n v="1"/>
    <n v="3"/>
    <n v="3"/>
    <n v="1"/>
    <n v="0"/>
    <n v="0"/>
    <n v="0"/>
  </r>
  <r>
    <n v="1331"/>
    <n v="43"/>
    <s v="36-45"/>
    <x v="1"/>
    <s v="Travel_Rarely"/>
    <n v="1389"/>
    <x v="1"/>
    <n v="6"/>
    <s v="Medium"/>
    <s v="Medical"/>
    <s v="Low"/>
    <s v="Female"/>
    <n v="81"/>
    <s v="Medium"/>
    <e v="#N/A"/>
    <s v="Manager"/>
    <s v="High"/>
    <s v="Married"/>
    <n v="19392"/>
    <n v="22539"/>
    <s v="High"/>
    <n v="7"/>
    <x v="1"/>
    <n v="13"/>
    <s v="High"/>
    <s v="Excellent"/>
    <n v="0"/>
    <n v="21"/>
    <n v="2"/>
    <n v="3"/>
    <n v="16"/>
    <n v="12"/>
    <n v="6"/>
    <n v="14"/>
  </r>
  <r>
    <n v="1332"/>
    <n v="48"/>
    <s v="46-55"/>
    <x v="1"/>
    <s v="Travel_Rarely"/>
    <n v="1389"/>
    <x v="1"/>
    <n v="10"/>
    <s v="Medium"/>
    <s v="Life Sciences"/>
    <s v="Excellent"/>
    <s v="Male"/>
    <n v="91"/>
    <s v="Medium"/>
    <e v="#N/A"/>
    <s v="Research Director"/>
    <s v="Medium"/>
    <s v="Married"/>
    <n v="19665"/>
    <n v="13583"/>
    <s v="High"/>
    <n v="4"/>
    <x v="1"/>
    <n v="12"/>
    <s v="High"/>
    <s v="Excellent"/>
    <n v="0"/>
    <n v="29"/>
    <n v="3"/>
    <n v="3"/>
    <n v="22"/>
    <n v="10"/>
    <n v="12"/>
    <n v="9"/>
  </r>
  <r>
    <n v="1333"/>
    <n v="29"/>
    <s v="26-35"/>
    <x v="0"/>
    <s v="Travel_Frequently"/>
    <n v="1389"/>
    <x v="1"/>
    <n v="24"/>
    <s v="Good"/>
    <s v="Life Sciences"/>
    <s v="Excellent"/>
    <s v="Male"/>
    <n v="73"/>
    <s v="Medium"/>
    <s v="Low"/>
    <s v="Research Scientist"/>
    <s v="Excellent"/>
    <s v="Single"/>
    <n v="2439"/>
    <n v="14753"/>
    <s v="Low"/>
    <n v="1"/>
    <x v="0"/>
    <n v="24"/>
    <s v="Excellent"/>
    <s v="Medium"/>
    <n v="0"/>
    <n v="1"/>
    <n v="3"/>
    <n v="2"/>
    <n v="1"/>
    <n v="0"/>
    <n v="1"/>
    <n v="0"/>
  </r>
  <r>
    <n v="1334"/>
    <n v="46"/>
    <s v="46-55"/>
    <x v="0"/>
    <s v="Travel_Rarely"/>
    <n v="1389"/>
    <x v="0"/>
    <n v="10"/>
    <s v="Medium"/>
    <s v="Life Sciences"/>
    <s v="High"/>
    <s v="Female"/>
    <n v="64"/>
    <s v="High"/>
    <s v="High"/>
    <s v="Sales Executive"/>
    <s v="Medium"/>
    <s v="Married"/>
    <n v="7314"/>
    <n v="14011"/>
    <s v="Medium"/>
    <n v="5"/>
    <x v="1"/>
    <n v="21"/>
    <s v="Excellent"/>
    <s v="High"/>
    <n v="3"/>
    <n v="14"/>
    <n v="2"/>
    <n v="3"/>
    <n v="8"/>
    <n v="7"/>
    <n v="0"/>
    <n v="7"/>
  </r>
  <r>
    <n v="1335"/>
    <n v="27"/>
    <s v="26-35"/>
    <x v="1"/>
    <s v="Travel_Frequently"/>
    <n v="1389"/>
    <x v="1"/>
    <n v="15"/>
    <s v="Medium"/>
    <s v="Life Sciences"/>
    <s v="Excellent"/>
    <s v="Female"/>
    <n v="77"/>
    <s v="Medium"/>
    <s v="Low"/>
    <s v="Research Scientist"/>
    <s v="Low"/>
    <s v="Married"/>
    <n v="4774"/>
    <n v="23844"/>
    <s v="Low"/>
    <n v="0"/>
    <x v="1"/>
    <n v="19"/>
    <s v="High"/>
    <s v="Excellent"/>
    <n v="1"/>
    <n v="8"/>
    <n v="2"/>
    <n v="2"/>
    <n v="7"/>
    <n v="6"/>
    <n v="7"/>
    <n v="3"/>
  </r>
  <r>
    <n v="1336"/>
    <n v="39"/>
    <s v="36-45"/>
    <x v="1"/>
    <s v="Travel_Rarely"/>
    <n v="1389"/>
    <x v="1"/>
    <n v="19"/>
    <s v="High"/>
    <s v="Other"/>
    <s v="Excellent"/>
    <s v="Male"/>
    <n v="41"/>
    <s v="High"/>
    <s v="Medium"/>
    <s v="Research Scientist"/>
    <s v="Excellent"/>
    <s v="Divorced"/>
    <n v="3902"/>
    <n v="5141"/>
    <s v="Low"/>
    <n v="8"/>
    <x v="1"/>
    <n v="14"/>
    <s v="High"/>
    <s v="Medium"/>
    <n v="3"/>
    <n v="7"/>
    <n v="2"/>
    <n v="3"/>
    <n v="2"/>
    <n v="2"/>
    <n v="2"/>
    <n v="2"/>
  </r>
  <r>
    <n v="1337"/>
    <n v="55"/>
    <s v="46-55"/>
    <x v="1"/>
    <s v="Travel_Rarely"/>
    <n v="1389"/>
    <x v="1"/>
    <n v="2"/>
    <s v="High"/>
    <s v="Technical Degree"/>
    <s v="Medium"/>
    <s v="Male"/>
    <n v="98"/>
    <s v="Medium"/>
    <s v="Low"/>
    <s v="Research Scientist"/>
    <s v="Excellent"/>
    <s v="Married"/>
    <n v="2662"/>
    <n v="7975"/>
    <s v="Low"/>
    <n v="8"/>
    <x v="1"/>
    <n v="20"/>
    <s v="Excellent"/>
    <s v="Medium"/>
    <n v="1"/>
    <n v="19"/>
    <n v="2"/>
    <n v="4"/>
    <n v="5"/>
    <n v="2"/>
    <n v="0"/>
    <n v="4"/>
  </r>
  <r>
    <n v="1338"/>
    <n v="28"/>
    <s v="26-35"/>
    <x v="1"/>
    <s v="Travel_Rarely"/>
    <n v="1389"/>
    <x v="0"/>
    <n v="3"/>
    <s v="Medium"/>
    <s v="Medical"/>
    <s v="Medium"/>
    <s v="Female"/>
    <n v="78"/>
    <s v="High"/>
    <s v="Low"/>
    <s v="Sales Representative"/>
    <s v="Medium"/>
    <s v="Married"/>
    <n v="2856"/>
    <n v="3692"/>
    <s v="Low"/>
    <n v="1"/>
    <x v="1"/>
    <n v="19"/>
    <s v="High"/>
    <s v="Excellent"/>
    <n v="1"/>
    <n v="1"/>
    <n v="3"/>
    <n v="3"/>
    <n v="1"/>
    <n v="0"/>
    <n v="0"/>
    <n v="0"/>
  </r>
  <r>
    <n v="1339"/>
    <n v="30"/>
    <s v="26-35"/>
    <x v="0"/>
    <s v="Travel_Rarely"/>
    <n v="1389"/>
    <x v="0"/>
    <n v="9"/>
    <s v="Medium"/>
    <s v="Medical"/>
    <s v="Medium"/>
    <s v="Male"/>
    <n v="89"/>
    <s v="High"/>
    <s v="Low"/>
    <s v="Sales Representative"/>
    <s v="Excellent"/>
    <s v="Single"/>
    <n v="1081"/>
    <n v="16019"/>
    <s v="Low"/>
    <n v="1"/>
    <x v="1"/>
    <n v="13"/>
    <s v="High"/>
    <s v="High"/>
    <n v="0"/>
    <n v="1"/>
    <n v="3"/>
    <n v="2"/>
    <n v="1"/>
    <n v="0"/>
    <n v="0"/>
    <n v="0"/>
  </r>
  <r>
    <n v="1340"/>
    <n v="22"/>
    <s v="18-25"/>
    <x v="0"/>
    <s v="Travel_Rarely"/>
    <n v="1389"/>
    <x v="1"/>
    <n v="7"/>
    <s v="Low"/>
    <s v="Life Sciences"/>
    <s v="Excellent"/>
    <s v="Male"/>
    <n v="75"/>
    <s v="High"/>
    <s v="Low"/>
    <s v="Research Scientist"/>
    <s v="Medium"/>
    <s v="Single"/>
    <n v="2472"/>
    <n v="26092"/>
    <s v="Low"/>
    <n v="1"/>
    <x v="0"/>
    <n v="23"/>
    <s v="Excellent"/>
    <s v="Low"/>
    <n v="0"/>
    <n v="1"/>
    <n v="2"/>
    <n v="3"/>
    <n v="1"/>
    <n v="0"/>
    <n v="0"/>
    <n v="0"/>
  </r>
  <r>
    <n v="1341"/>
    <n v="36"/>
    <s v="36-45"/>
    <x v="1"/>
    <s v="Travel_Rarely"/>
    <n v="1389"/>
    <x v="0"/>
    <n v="10"/>
    <s v="High"/>
    <s v="Technical Degree"/>
    <s v="Medium"/>
    <s v="Female"/>
    <n v="63"/>
    <s v="Medium"/>
    <s v="Medium"/>
    <s v="Sales Executive"/>
    <s v="High"/>
    <s v="Married"/>
    <n v="5673"/>
    <n v="6060"/>
    <s v="Medium"/>
    <n v="1"/>
    <x v="0"/>
    <n v="13"/>
    <s v="High"/>
    <s v="Low"/>
    <n v="1"/>
    <n v="10"/>
    <n v="4"/>
    <n v="3"/>
    <n v="10"/>
    <n v="9"/>
    <n v="1"/>
    <n v="7"/>
  </r>
  <r>
    <n v="1342"/>
    <n v="31"/>
    <s v="26-35"/>
    <x v="1"/>
    <s v="Travel_Rarely"/>
    <n v="1389"/>
    <x v="1"/>
    <n v="20"/>
    <s v="Medium"/>
    <s v="Life Sciences"/>
    <s v="Medium"/>
    <s v="Male"/>
    <n v="89"/>
    <s v="High"/>
    <s v="Medium"/>
    <s v="Laboratory Technician"/>
    <s v="High"/>
    <s v="Divorced"/>
    <n v="4197"/>
    <n v="18624"/>
    <s v="Low"/>
    <n v="1"/>
    <x v="1"/>
    <n v="11"/>
    <s v="High"/>
    <s v="Low"/>
    <n v="1"/>
    <n v="10"/>
    <n v="2"/>
    <n v="3"/>
    <n v="10"/>
    <n v="8"/>
    <n v="0"/>
    <n v="2"/>
  </r>
  <r>
    <n v="1343"/>
    <n v="34"/>
    <s v="26-35"/>
    <x v="1"/>
    <s v="Travel_Rarely"/>
    <n v="1389"/>
    <x v="0"/>
    <n v="4"/>
    <s v="Medium"/>
    <s v="Life Sciences"/>
    <s v="High"/>
    <s v="Male"/>
    <n v="64"/>
    <s v="High"/>
    <s v="High"/>
    <s v="Sales Executive"/>
    <s v="Excellent"/>
    <s v="Married"/>
    <n v="9713"/>
    <n v="24444"/>
    <s v="Medium"/>
    <n v="2"/>
    <x v="0"/>
    <n v="13"/>
    <s v="High"/>
    <s v="Excellent"/>
    <n v="3"/>
    <n v="9"/>
    <n v="3"/>
    <n v="3"/>
    <n v="5"/>
    <n v="3"/>
    <n v="1"/>
    <n v="0"/>
  </r>
  <r>
    <n v="1344"/>
    <n v="29"/>
    <s v="26-35"/>
    <x v="1"/>
    <s v="Travel_Rarely"/>
    <n v="1389"/>
    <x v="1"/>
    <n v="7"/>
    <s v="Medium"/>
    <s v="Life Sciences"/>
    <s v="Excellent"/>
    <s v="Male"/>
    <n v="59"/>
    <s v="High"/>
    <s v="Low"/>
    <s v="Laboratory Technician"/>
    <s v="Low"/>
    <s v="Single"/>
    <n v="2062"/>
    <n v="19384"/>
    <s v="Low"/>
    <n v="3"/>
    <x v="1"/>
    <n v="14"/>
    <s v="High"/>
    <s v="Medium"/>
    <n v="0"/>
    <n v="11"/>
    <n v="2"/>
    <n v="3"/>
    <n v="3"/>
    <n v="2"/>
    <n v="1"/>
    <n v="2"/>
  </r>
  <r>
    <n v="1345"/>
    <n v="37"/>
    <s v="36-45"/>
    <x v="1"/>
    <s v="Travel_Rarely"/>
    <n v="1389"/>
    <x v="1"/>
    <n v="7"/>
    <s v="High"/>
    <s v="Medical"/>
    <s v="Excellent"/>
    <s v="Male"/>
    <n v="78"/>
    <s v="High"/>
    <s v="Medium"/>
    <s v="Research Scientist"/>
    <s v="Low"/>
    <s v="Married"/>
    <n v="4284"/>
    <n v="13588"/>
    <s v="Low"/>
    <n v="5"/>
    <x v="0"/>
    <n v="22"/>
    <s v="Excellent"/>
    <s v="High"/>
    <n v="1"/>
    <n v="16"/>
    <n v="2"/>
    <n v="3"/>
    <n v="5"/>
    <n v="3"/>
    <n v="0"/>
    <n v="4"/>
  </r>
  <r>
    <n v="1346"/>
    <n v="35"/>
    <s v="26-35"/>
    <x v="1"/>
    <s v="Travel_Rarely"/>
    <n v="1389"/>
    <x v="1"/>
    <n v="16"/>
    <s v="Good"/>
    <s v="Other"/>
    <s v="Excellent"/>
    <s v="Female"/>
    <n v="44"/>
    <s v="Medium"/>
    <s v="Medium"/>
    <s v="Manufacturing Director"/>
    <s v="Medium"/>
    <s v="Married"/>
    <n v="4788"/>
    <n v="25388"/>
    <s v="Low"/>
    <n v="0"/>
    <x v="0"/>
    <n v="11"/>
    <s v="High"/>
    <s v="Excellent"/>
    <n v="0"/>
    <n v="4"/>
    <n v="2"/>
    <n v="3"/>
    <n v="3"/>
    <n v="2"/>
    <n v="0"/>
    <n v="2"/>
  </r>
  <r>
    <n v="1347"/>
    <n v="45"/>
    <s v="36-45"/>
    <x v="1"/>
    <s v="Travel_Rarely"/>
    <n v="1389"/>
    <x v="1"/>
    <n v="25"/>
    <s v="Good"/>
    <s v="Life Sciences"/>
    <s v="Medium"/>
    <s v="Female"/>
    <n v="93"/>
    <s v="Medium"/>
    <s v="Medium"/>
    <s v="Manufacturing Director"/>
    <s v="Excellent"/>
    <s v="Married"/>
    <n v="5906"/>
    <n v="23888"/>
    <s v="Medium"/>
    <n v="0"/>
    <x v="1"/>
    <n v="13"/>
    <s v="High"/>
    <s v="Excellent"/>
    <n v="2"/>
    <n v="10"/>
    <n v="2"/>
    <n v="2"/>
    <n v="9"/>
    <n v="8"/>
    <n v="3"/>
    <n v="8"/>
  </r>
  <r>
    <n v="1348"/>
    <n v="36"/>
    <s v="36-45"/>
    <x v="1"/>
    <s v="Travel_Frequently"/>
    <n v="1389"/>
    <x v="2"/>
    <n v="2"/>
    <s v="Low"/>
    <s v="Human Resources"/>
    <s v="Medium"/>
    <s v="Male"/>
    <n v="94"/>
    <s v="Medium"/>
    <s v="Medium"/>
    <s v="Human Resources"/>
    <s v="Excellent"/>
    <s v="Single"/>
    <n v="3886"/>
    <n v="4223"/>
    <s v="Low"/>
    <n v="1"/>
    <x v="1"/>
    <n v="21"/>
    <s v="Excellent"/>
    <s v="Excellent"/>
    <n v="0"/>
    <n v="10"/>
    <n v="2"/>
    <n v="2"/>
    <n v="10"/>
    <n v="1"/>
    <n v="0"/>
    <n v="8"/>
  </r>
  <r>
    <n v="1349"/>
    <n v="40"/>
    <s v="36-45"/>
    <x v="1"/>
    <s v="Travel_Rarely"/>
    <n v="1389"/>
    <x v="1"/>
    <n v="1"/>
    <s v="High"/>
    <s v="Life Sciences"/>
    <s v="Low"/>
    <s v="Male"/>
    <n v="98"/>
    <s v="High"/>
    <s v="Excellent"/>
    <s v="Manager"/>
    <s v="Low"/>
    <s v="Divorced"/>
    <n v="16823"/>
    <n v="18991"/>
    <s v="High"/>
    <n v="2"/>
    <x v="1"/>
    <n v="11"/>
    <s v="High"/>
    <s v="Low"/>
    <n v="1"/>
    <n v="22"/>
    <n v="3"/>
    <n v="3"/>
    <n v="19"/>
    <n v="7"/>
    <n v="11"/>
    <n v="16"/>
  </r>
  <r>
    <n v="1350"/>
    <n v="26"/>
    <s v="26-35"/>
    <x v="1"/>
    <s v="Travel_Rarely"/>
    <n v="1389"/>
    <x v="1"/>
    <n v="1"/>
    <s v="Good"/>
    <s v="Life Sciences"/>
    <s v="Medium"/>
    <s v="Female"/>
    <n v="90"/>
    <s v="Medium"/>
    <s v="Low"/>
    <s v="Research Scientist"/>
    <s v="High"/>
    <s v="Married"/>
    <n v="2933"/>
    <n v="14908"/>
    <s v="Low"/>
    <n v="1"/>
    <x v="0"/>
    <n v="13"/>
    <s v="High"/>
    <s v="High"/>
    <n v="1"/>
    <n v="1"/>
    <n v="3"/>
    <n v="2"/>
    <n v="1"/>
    <n v="0"/>
    <n v="1"/>
    <n v="0"/>
  </r>
  <r>
    <n v="1351"/>
    <n v="27"/>
    <s v="26-35"/>
    <x v="1"/>
    <s v="Travel_Rarely"/>
    <n v="1389"/>
    <x v="0"/>
    <n v="2"/>
    <s v="Good"/>
    <s v="Medical"/>
    <s v="Low"/>
    <s v="Female"/>
    <n v="89"/>
    <s v="Excellent"/>
    <s v="Medium"/>
    <s v="Sales Executive"/>
    <s v="High"/>
    <s v="Single"/>
    <n v="6500"/>
    <n v="26997"/>
    <s v="Medium"/>
    <n v="0"/>
    <x v="1"/>
    <n v="14"/>
    <s v="High"/>
    <s v="Medium"/>
    <n v="0"/>
    <n v="9"/>
    <n v="5"/>
    <n v="2"/>
    <n v="8"/>
    <n v="7"/>
    <n v="0"/>
    <n v="7"/>
  </r>
  <r>
    <n v="1352"/>
    <n v="48"/>
    <s v="46-55"/>
    <x v="1"/>
    <s v="Travel_Frequently"/>
    <n v="1389"/>
    <x v="1"/>
    <n v="22"/>
    <s v="Medium"/>
    <s v="Medical"/>
    <s v="Excellent"/>
    <s v="Female"/>
    <n v="58"/>
    <s v="High"/>
    <s v="Excellent"/>
    <s v="Manager"/>
    <s v="Excellent"/>
    <s v="Divorced"/>
    <n v="17174"/>
    <n v="2437"/>
    <s v="High"/>
    <n v="3"/>
    <x v="1"/>
    <n v="11"/>
    <s v="High"/>
    <s v="Medium"/>
    <n v="1"/>
    <n v="24"/>
    <n v="3"/>
    <n v="3"/>
    <n v="22"/>
    <n v="17"/>
    <n v="4"/>
    <n v="7"/>
  </r>
  <r>
    <n v="1353"/>
    <n v="44"/>
    <s v="36-45"/>
    <x v="1"/>
    <s v="Travel_Rarely"/>
    <n v="1389"/>
    <x v="1"/>
    <n v="1"/>
    <s v="High"/>
    <s v="Life Sciences"/>
    <s v="Medium"/>
    <s v="Male"/>
    <n v="78"/>
    <s v="Excellent"/>
    <s v="Medium"/>
    <s v="Healthcare Representative"/>
    <s v="Low"/>
    <s v="Married"/>
    <n v="5033"/>
    <n v="9364"/>
    <s v="Medium"/>
    <n v="2"/>
    <x v="1"/>
    <n v="15"/>
    <s v="High"/>
    <s v="Excellent"/>
    <n v="1"/>
    <n v="10"/>
    <n v="5"/>
    <n v="3"/>
    <n v="2"/>
    <n v="0"/>
    <n v="2"/>
    <n v="2"/>
  </r>
  <r>
    <n v="1354"/>
    <n v="34"/>
    <s v="26-35"/>
    <x v="0"/>
    <s v="Non-Travel"/>
    <n v="1389"/>
    <x v="1"/>
    <n v="16"/>
    <s v="High"/>
    <s v="Technical Degree"/>
    <s v="Excellent"/>
    <s v="Male"/>
    <n v="85"/>
    <s v="Low"/>
    <s v="Low"/>
    <s v="Research Scientist"/>
    <s v="Low"/>
    <s v="Married"/>
    <n v="2307"/>
    <n v="14460"/>
    <s v="Low"/>
    <n v="1"/>
    <x v="0"/>
    <n v="23"/>
    <s v="Excellent"/>
    <s v="Medium"/>
    <n v="1"/>
    <n v="5"/>
    <n v="2"/>
    <n v="3"/>
    <n v="5"/>
    <n v="2"/>
    <n v="3"/>
    <n v="0"/>
  </r>
  <r>
    <n v="1355"/>
    <n v="56"/>
    <s v="55+"/>
    <x v="0"/>
    <s v="Travel_Rarely"/>
    <n v="1389"/>
    <x v="1"/>
    <n v="24"/>
    <s v="Good"/>
    <s v="Life Sciences"/>
    <s v="Low"/>
    <s v="Male"/>
    <n v="97"/>
    <s v="High"/>
    <s v="Low"/>
    <s v="Laboratory Technician"/>
    <s v="Excellent"/>
    <s v="Single"/>
    <n v="2587"/>
    <n v="10261"/>
    <s v="Low"/>
    <n v="1"/>
    <x v="1"/>
    <n v="16"/>
    <s v="High"/>
    <s v="Excellent"/>
    <n v="0"/>
    <n v="5"/>
    <n v="3"/>
    <n v="3"/>
    <n v="4"/>
    <n v="2"/>
    <n v="1"/>
    <n v="0"/>
  </r>
  <r>
    <n v="1356"/>
    <n v="36"/>
    <s v="36-45"/>
    <x v="1"/>
    <s v="Travel_Rarely"/>
    <n v="1389"/>
    <x v="0"/>
    <n v="17"/>
    <s v="Good"/>
    <s v="Marketing"/>
    <s v="High"/>
    <s v="Male"/>
    <n v="33"/>
    <s v="Medium"/>
    <s v="Medium"/>
    <s v="Sales Executive"/>
    <s v="Medium"/>
    <s v="Married"/>
    <n v="5507"/>
    <n v="16822"/>
    <s v="Medium"/>
    <n v="2"/>
    <x v="1"/>
    <n v="16"/>
    <s v="High"/>
    <s v="High"/>
    <n v="2"/>
    <n v="12"/>
    <n v="1"/>
    <n v="1"/>
    <n v="4"/>
    <n v="2"/>
    <n v="1"/>
    <n v="3"/>
  </r>
  <r>
    <n v="1357"/>
    <n v="41"/>
    <s v="36-45"/>
    <x v="1"/>
    <s v="Travel_Rarely"/>
    <n v="1389"/>
    <x v="0"/>
    <n v="8"/>
    <s v="Medium"/>
    <s v="Marketing"/>
    <s v="High"/>
    <s v="Female"/>
    <n v="54"/>
    <s v="High"/>
    <s v="Medium"/>
    <s v="Sales Executive"/>
    <s v="Medium"/>
    <s v="Married"/>
    <n v="4393"/>
    <n v="26841"/>
    <s v="Low"/>
    <n v="5"/>
    <x v="1"/>
    <n v="21"/>
    <s v="Excellent"/>
    <s v="High"/>
    <n v="1"/>
    <n v="14"/>
    <n v="3"/>
    <n v="3"/>
    <n v="5"/>
    <n v="4"/>
    <n v="1"/>
    <n v="4"/>
  </r>
  <r>
    <n v="1358"/>
    <n v="42"/>
    <s v="36-45"/>
    <x v="1"/>
    <s v="Travel_Rarely"/>
    <n v="1389"/>
    <x v="1"/>
    <n v="6"/>
    <s v="Medium"/>
    <s v="Medical"/>
    <s v="High"/>
    <s v="Male"/>
    <n v="83"/>
    <s v="High"/>
    <s v="High"/>
    <s v="Research Director"/>
    <s v="Low"/>
    <s v="Married"/>
    <n v="13348"/>
    <n v="14842"/>
    <s v="High"/>
    <n v="9"/>
    <x v="1"/>
    <n v="13"/>
    <s v="High"/>
    <s v="Medium"/>
    <n v="1"/>
    <n v="18"/>
    <n v="3"/>
    <n v="4"/>
    <n v="13"/>
    <n v="7"/>
    <n v="5"/>
    <n v="7"/>
  </r>
  <r>
    <n v="1359"/>
    <n v="31"/>
    <s v="26-35"/>
    <x v="1"/>
    <s v="Travel_Rarely"/>
    <n v="1389"/>
    <x v="0"/>
    <n v="10"/>
    <s v="Good"/>
    <s v="Medical"/>
    <s v="High"/>
    <s v="Female"/>
    <n v="86"/>
    <s v="High"/>
    <s v="Medium"/>
    <s v="Sales Executive"/>
    <s v="Excellent"/>
    <s v="Divorced"/>
    <n v="6583"/>
    <n v="20115"/>
    <s v="Medium"/>
    <n v="2"/>
    <x v="0"/>
    <n v="11"/>
    <s v="High"/>
    <s v="Excellent"/>
    <n v="1"/>
    <n v="8"/>
    <n v="2"/>
    <n v="3"/>
    <n v="5"/>
    <n v="2"/>
    <n v="1"/>
    <n v="4"/>
  </r>
  <r>
    <n v="1360"/>
    <n v="34"/>
    <s v="26-35"/>
    <x v="1"/>
    <s v="Travel_Rarely"/>
    <n v="1389"/>
    <x v="0"/>
    <n v="3"/>
    <s v="Low"/>
    <s v="Medical"/>
    <s v="Excellent"/>
    <s v="Female"/>
    <n v="75"/>
    <s v="Medium"/>
    <s v="Medium"/>
    <s v="Sales Executive"/>
    <s v="Excellent"/>
    <s v="Married"/>
    <n v="8103"/>
    <n v="16495"/>
    <s v="Medium"/>
    <n v="3"/>
    <x v="0"/>
    <n v="12"/>
    <s v="High"/>
    <s v="High"/>
    <n v="0"/>
    <n v="9"/>
    <n v="3"/>
    <n v="2"/>
    <n v="4"/>
    <n v="2"/>
    <n v="0"/>
    <n v="1"/>
  </r>
  <r>
    <n v="1361"/>
    <n v="31"/>
    <s v="26-35"/>
    <x v="1"/>
    <s v="Travel_Rarely"/>
    <n v="1389"/>
    <x v="1"/>
    <n v="4"/>
    <s v="Medium"/>
    <s v="Medical"/>
    <s v="Low"/>
    <s v="Female"/>
    <n v="62"/>
    <s v="Excellent"/>
    <s v="Low"/>
    <s v="Laboratory Technician"/>
    <s v="High"/>
    <s v="Divorced"/>
    <n v="3978"/>
    <n v="16031"/>
    <s v="Low"/>
    <n v="8"/>
    <x v="1"/>
    <n v="12"/>
    <s v="High"/>
    <s v="Medium"/>
    <n v="1"/>
    <n v="4"/>
    <n v="0"/>
    <n v="2"/>
    <n v="2"/>
    <n v="2"/>
    <n v="2"/>
    <n v="2"/>
  </r>
  <r>
    <n v="1362"/>
    <n v="26"/>
    <s v="26-35"/>
    <x v="1"/>
    <s v="Travel_Frequently"/>
    <n v="1389"/>
    <x v="1"/>
    <n v="6"/>
    <s v="Medium"/>
    <s v="Other"/>
    <s v="High"/>
    <s v="Male"/>
    <n v="61"/>
    <s v="Excellent"/>
    <s v="Low"/>
    <s v="Laboratory Technician"/>
    <s v="Excellent"/>
    <s v="Married"/>
    <n v="2544"/>
    <n v="7102"/>
    <s v="Low"/>
    <n v="0"/>
    <x v="1"/>
    <n v="18"/>
    <s v="High"/>
    <s v="Low"/>
    <n v="1"/>
    <n v="8"/>
    <n v="3"/>
    <n v="3"/>
    <n v="7"/>
    <n v="7"/>
    <n v="7"/>
    <n v="7"/>
  </r>
  <r>
    <n v="1363"/>
    <n v="45"/>
    <s v="36-45"/>
    <x v="1"/>
    <s v="Travel_Frequently"/>
    <n v="1389"/>
    <x v="1"/>
    <n v="1"/>
    <s v="High"/>
    <s v="Medical"/>
    <s v="Medium"/>
    <s v="Male"/>
    <n v="44"/>
    <s v="High"/>
    <s v="Medium"/>
    <s v="Healthcare Representative"/>
    <s v="High"/>
    <s v="Single"/>
    <n v="5399"/>
    <n v="14511"/>
    <s v="Medium"/>
    <n v="4"/>
    <x v="1"/>
    <n v="12"/>
    <s v="High"/>
    <s v="High"/>
    <n v="0"/>
    <n v="12"/>
    <n v="3"/>
    <n v="3"/>
    <n v="4"/>
    <n v="2"/>
    <n v="0"/>
    <n v="3"/>
  </r>
  <r>
    <n v="1364"/>
    <n v="33"/>
    <s v="26-35"/>
    <x v="1"/>
    <s v="Travel_Rarely"/>
    <n v="1389"/>
    <x v="0"/>
    <n v="10"/>
    <s v="High"/>
    <s v="Marketing"/>
    <s v="Medium"/>
    <s v="Male"/>
    <n v="43"/>
    <s v="High"/>
    <s v="Medium"/>
    <s v="Sales Executive"/>
    <s v="High"/>
    <s v="Single"/>
    <n v="5487"/>
    <n v="10410"/>
    <s v="Medium"/>
    <n v="1"/>
    <x v="1"/>
    <n v="14"/>
    <s v="High"/>
    <s v="Medium"/>
    <n v="0"/>
    <n v="10"/>
    <n v="2"/>
    <n v="2"/>
    <n v="10"/>
    <n v="4"/>
    <n v="0"/>
    <n v="9"/>
  </r>
  <r>
    <n v="1365"/>
    <n v="28"/>
    <s v="26-35"/>
    <x v="1"/>
    <s v="Travel_Frequently"/>
    <n v="1389"/>
    <x v="0"/>
    <n v="1"/>
    <s v="Good"/>
    <s v="Life Sciences"/>
    <s v="High"/>
    <s v="Male"/>
    <n v="42"/>
    <s v="Medium"/>
    <s v="Medium"/>
    <s v="Sales Executive"/>
    <s v="Excellent"/>
    <s v="Married"/>
    <n v="6834"/>
    <n v="19255"/>
    <s v="Medium"/>
    <n v="1"/>
    <x v="0"/>
    <n v="12"/>
    <s v="High"/>
    <s v="High"/>
    <n v="1"/>
    <n v="7"/>
    <n v="2"/>
    <n v="3"/>
    <n v="7"/>
    <n v="7"/>
    <n v="0"/>
    <n v="7"/>
  </r>
  <r>
    <n v="1366"/>
    <n v="29"/>
    <s v="26-35"/>
    <x v="0"/>
    <s v="Travel_Frequently"/>
    <n v="1389"/>
    <x v="0"/>
    <n v="24"/>
    <s v="Medium"/>
    <s v="Technical Degree"/>
    <s v="High"/>
    <s v="Male"/>
    <n v="45"/>
    <s v="Excellent"/>
    <s v="Low"/>
    <s v="Sales Representative"/>
    <s v="Low"/>
    <s v="Single"/>
    <n v="1091"/>
    <n v="10642"/>
    <s v="Low"/>
    <n v="1"/>
    <x v="1"/>
    <n v="17"/>
    <s v="High"/>
    <s v="Excellent"/>
    <n v="0"/>
    <n v="1"/>
    <n v="3"/>
    <n v="3"/>
    <n v="1"/>
    <n v="0"/>
    <n v="0"/>
    <n v="0"/>
  </r>
  <r>
    <n v="1367"/>
    <n v="39"/>
    <s v="36-45"/>
    <x v="1"/>
    <s v="Non-Travel"/>
    <n v="1389"/>
    <x v="0"/>
    <n v="21"/>
    <s v="High"/>
    <s v="Life Sciences"/>
    <s v="Low"/>
    <s v="Female"/>
    <n v="32"/>
    <s v="Low"/>
    <s v="Medium"/>
    <s v="Sales Executive"/>
    <s v="High"/>
    <s v="Married"/>
    <n v="5736"/>
    <n v="3987"/>
    <s v="Medium"/>
    <n v="6"/>
    <x v="1"/>
    <n v="19"/>
    <s v="High"/>
    <s v="High"/>
    <n v="1"/>
    <n v="10"/>
    <n v="1"/>
    <n v="3"/>
    <n v="3"/>
    <n v="2"/>
    <n v="1"/>
    <n v="2"/>
  </r>
  <r>
    <n v="1368"/>
    <n v="27"/>
    <s v="26-35"/>
    <x v="1"/>
    <s v="Travel_Rarely"/>
    <n v="1389"/>
    <x v="1"/>
    <n v="2"/>
    <s v="High"/>
    <s v="Technical Degree"/>
    <s v="Medium"/>
    <s v="Male"/>
    <n v="41"/>
    <s v="High"/>
    <s v="Low"/>
    <s v="Research Scientist"/>
    <s v="Medium"/>
    <s v="Married"/>
    <n v="2226"/>
    <n v="6073"/>
    <s v="Low"/>
    <n v="1"/>
    <x v="1"/>
    <n v="11"/>
    <s v="High"/>
    <s v="High"/>
    <n v="1"/>
    <n v="6"/>
    <n v="3"/>
    <n v="2"/>
    <n v="5"/>
    <n v="3"/>
    <n v="1"/>
    <n v="2"/>
  </r>
  <r>
    <n v="1369"/>
    <n v="34"/>
    <s v="26-35"/>
    <x v="1"/>
    <s v="Travel_Frequently"/>
    <n v="1389"/>
    <x v="1"/>
    <n v="22"/>
    <s v="High"/>
    <s v="Other"/>
    <s v="High"/>
    <s v="Male"/>
    <n v="86"/>
    <s v="Medium"/>
    <s v="Medium"/>
    <s v="Research Scientist"/>
    <s v="Excellent"/>
    <s v="Married"/>
    <n v="5747"/>
    <n v="26496"/>
    <s v="Medium"/>
    <n v="1"/>
    <x v="0"/>
    <n v="15"/>
    <s v="High"/>
    <s v="Medium"/>
    <n v="0"/>
    <n v="16"/>
    <n v="3"/>
    <n v="3"/>
    <n v="15"/>
    <n v="10"/>
    <n v="6"/>
    <n v="11"/>
  </r>
  <r>
    <n v="1370"/>
    <n v="28"/>
    <s v="26-35"/>
    <x v="0"/>
    <s v="Travel_Rarely"/>
    <n v="1389"/>
    <x v="0"/>
    <n v="13"/>
    <s v="Good"/>
    <s v="Marketing"/>
    <s v="Excellent"/>
    <s v="Female"/>
    <n v="84"/>
    <s v="High"/>
    <s v="Medium"/>
    <s v="Sales Executive"/>
    <s v="High"/>
    <s v="Single"/>
    <n v="9854"/>
    <n v="23352"/>
    <s v="Medium"/>
    <n v="3"/>
    <x v="0"/>
    <n v="11"/>
    <s v="High"/>
    <s v="Excellent"/>
    <n v="0"/>
    <n v="6"/>
    <n v="0"/>
    <n v="3"/>
    <n v="2"/>
    <n v="0"/>
    <n v="2"/>
    <n v="2"/>
  </r>
  <r>
    <n v="1371"/>
    <n v="47"/>
    <s v="46-55"/>
    <x v="1"/>
    <s v="Non-Travel"/>
    <n v="1389"/>
    <x v="1"/>
    <n v="14"/>
    <s v="High"/>
    <s v="Technical Degree"/>
    <s v="High"/>
    <s v="Male"/>
    <n v="64"/>
    <s v="High"/>
    <s v="Medium"/>
    <s v="Research Scientist"/>
    <s v="Medium"/>
    <s v="Married"/>
    <n v="5467"/>
    <n v="2125"/>
    <s v="Medium"/>
    <n v="8"/>
    <x v="1"/>
    <n v="18"/>
    <s v="High"/>
    <s v="High"/>
    <n v="1"/>
    <n v="16"/>
    <n v="4"/>
    <n v="4"/>
    <n v="8"/>
    <n v="7"/>
    <n v="1"/>
    <n v="7"/>
  </r>
  <r>
    <n v="1372"/>
    <n v="56"/>
    <s v="55+"/>
    <x v="1"/>
    <s v="Travel_Rarely"/>
    <n v="1389"/>
    <x v="0"/>
    <n v="11"/>
    <s v="Excellent"/>
    <s v="Marketing"/>
    <s v="Excellent"/>
    <s v="Female"/>
    <n v="89"/>
    <s v="Medium"/>
    <s v="Medium"/>
    <s v="Sales Executive"/>
    <s v="Low"/>
    <s v="Married"/>
    <n v="5380"/>
    <n v="20328"/>
    <s v="Medium"/>
    <n v="4"/>
    <x v="1"/>
    <n v="16"/>
    <s v="High"/>
    <s v="High"/>
    <n v="1"/>
    <n v="6"/>
    <n v="3"/>
    <n v="3"/>
    <n v="0"/>
    <n v="0"/>
    <n v="0"/>
    <n v="0"/>
  </r>
  <r>
    <n v="1373"/>
    <n v="39"/>
    <s v="36-45"/>
    <x v="1"/>
    <s v="Travel_Rarely"/>
    <n v="1389"/>
    <x v="1"/>
    <n v="9"/>
    <s v="Good"/>
    <s v="Medical"/>
    <s v="Low"/>
    <s v="Male"/>
    <n v="87"/>
    <s v="High"/>
    <s v="Medium"/>
    <s v="Manufacturing Director"/>
    <s v="Low"/>
    <s v="Married"/>
    <n v="5151"/>
    <n v="12315"/>
    <s v="Medium"/>
    <n v="1"/>
    <x v="1"/>
    <n v="25"/>
    <s v="Excellent"/>
    <s v="Excellent"/>
    <n v="1"/>
    <n v="10"/>
    <n v="3"/>
    <n v="3"/>
    <n v="10"/>
    <n v="0"/>
    <n v="7"/>
    <n v="9"/>
  </r>
  <r>
    <n v="1374"/>
    <n v="38"/>
    <s v="36-45"/>
    <x v="1"/>
    <s v="Travel_Frequently"/>
    <n v="1389"/>
    <x v="1"/>
    <n v="8"/>
    <s v="Medium"/>
    <s v="Medical"/>
    <s v="Excellent"/>
    <s v="Female"/>
    <n v="58"/>
    <s v="Medium"/>
    <s v="Medium"/>
    <s v="Research Scientist"/>
    <s v="Medium"/>
    <s v="Divorced"/>
    <n v="2133"/>
    <n v="18115"/>
    <s v="Low"/>
    <n v="1"/>
    <x v="0"/>
    <n v="16"/>
    <s v="High"/>
    <s v="High"/>
    <n v="1"/>
    <n v="20"/>
    <n v="3"/>
    <n v="3"/>
    <n v="20"/>
    <n v="11"/>
    <n v="0"/>
    <n v="7"/>
  </r>
  <r>
    <n v="1375"/>
    <n v="58"/>
    <s v="55+"/>
    <x v="1"/>
    <s v="Travel_Rarely"/>
    <n v="1389"/>
    <x v="0"/>
    <n v="21"/>
    <s v="Medium"/>
    <s v="Life Sciences"/>
    <s v="Excellent"/>
    <s v="Female"/>
    <n v="72"/>
    <s v="High"/>
    <s v="Excellent"/>
    <s v="Manager"/>
    <s v="Excellent"/>
    <s v="Married"/>
    <n v="17875"/>
    <n v="11761"/>
    <s v="High"/>
    <n v="4"/>
    <x v="0"/>
    <n v="13"/>
    <s v="High"/>
    <s v="High"/>
    <n v="1"/>
    <n v="29"/>
    <n v="2"/>
    <n v="2"/>
    <n v="1"/>
    <n v="0"/>
    <n v="0"/>
    <n v="0"/>
  </r>
  <r>
    <n v="1376"/>
    <n v="32"/>
    <s v="26-35"/>
    <x v="0"/>
    <s v="Travel_Frequently"/>
    <n v="1389"/>
    <x v="1"/>
    <n v="5"/>
    <s v="Good"/>
    <s v="Life Sciences"/>
    <s v="Low"/>
    <s v="Female"/>
    <n v="47"/>
    <s v="Excellent"/>
    <s v="Low"/>
    <s v="Research Scientist"/>
    <s v="High"/>
    <s v="Single"/>
    <n v="2432"/>
    <n v="15318"/>
    <s v="Low"/>
    <n v="3"/>
    <x v="0"/>
    <n v="14"/>
    <s v="High"/>
    <s v="Low"/>
    <n v="0"/>
    <n v="8"/>
    <n v="2"/>
    <n v="3"/>
    <n v="4"/>
    <n v="1"/>
    <n v="0"/>
    <n v="3"/>
  </r>
  <r>
    <n v="1377"/>
    <n v="38"/>
    <s v="36-45"/>
    <x v="1"/>
    <s v="Travel_Rarely"/>
    <n v="1389"/>
    <x v="1"/>
    <n v="9"/>
    <s v="Good"/>
    <s v="Life Sciences"/>
    <s v="Medium"/>
    <s v="Male"/>
    <n v="71"/>
    <s v="High"/>
    <s v="Low"/>
    <s v="Research Scientist"/>
    <s v="Excellent"/>
    <s v="Divorced"/>
    <n v="4771"/>
    <n v="14293"/>
    <s v="Low"/>
    <n v="2"/>
    <x v="1"/>
    <n v="19"/>
    <s v="High"/>
    <s v="Excellent"/>
    <n v="2"/>
    <n v="10"/>
    <n v="0"/>
    <n v="4"/>
    <n v="5"/>
    <n v="2"/>
    <n v="0"/>
    <n v="3"/>
  </r>
  <r>
    <n v="1378"/>
    <n v="49"/>
    <s v="46-55"/>
    <x v="1"/>
    <s v="Travel_Frequently"/>
    <n v="1389"/>
    <x v="1"/>
    <n v="2"/>
    <s v="Low"/>
    <s v="Life Sciences"/>
    <s v="Medium"/>
    <s v="Male"/>
    <n v="42"/>
    <s v="High"/>
    <e v="#N/A"/>
    <s v="Research Director"/>
    <s v="Excellent"/>
    <s v="Married"/>
    <n v="19161"/>
    <n v="13738"/>
    <s v="High"/>
    <n v="3"/>
    <x v="1"/>
    <n v="15"/>
    <s v="High"/>
    <s v="Excellent"/>
    <n v="0"/>
    <n v="28"/>
    <n v="3"/>
    <n v="3"/>
    <n v="5"/>
    <n v="4"/>
    <n v="4"/>
    <n v="3"/>
  </r>
  <r>
    <n v="1379"/>
    <n v="42"/>
    <s v="36-45"/>
    <x v="1"/>
    <s v="Travel_Rarely"/>
    <n v="1389"/>
    <x v="0"/>
    <n v="12"/>
    <s v="High"/>
    <s v="Marketing"/>
    <s v="Medium"/>
    <s v="Male"/>
    <n v="77"/>
    <s v="High"/>
    <s v="Medium"/>
    <s v="Sales Executive"/>
    <s v="Excellent"/>
    <s v="Divorced"/>
    <n v="5087"/>
    <n v="2900"/>
    <s v="Medium"/>
    <n v="3"/>
    <x v="0"/>
    <n v="12"/>
    <s v="High"/>
    <s v="High"/>
    <n v="2"/>
    <n v="14"/>
    <n v="4"/>
    <n v="3"/>
    <n v="0"/>
    <n v="0"/>
    <n v="0"/>
    <n v="0"/>
  </r>
  <r>
    <n v="1380"/>
    <n v="27"/>
    <s v="26-35"/>
    <x v="0"/>
    <s v="Travel_Frequently"/>
    <n v="1389"/>
    <x v="2"/>
    <n v="22"/>
    <s v="Medium"/>
    <s v="Human Resources"/>
    <s v="Low"/>
    <s v="Female"/>
    <n v="58"/>
    <s v="Medium"/>
    <s v="Low"/>
    <s v="Human Resources"/>
    <s v="Medium"/>
    <s v="Married"/>
    <n v="2863"/>
    <n v="19555"/>
    <s v="Low"/>
    <n v="1"/>
    <x v="1"/>
    <n v="12"/>
    <s v="High"/>
    <s v="Low"/>
    <n v="0"/>
    <n v="1"/>
    <n v="2"/>
    <n v="3"/>
    <n v="1"/>
    <n v="0"/>
    <n v="0"/>
    <n v="0"/>
  </r>
  <r>
    <n v="1381"/>
    <n v="35"/>
    <s v="26-35"/>
    <x v="1"/>
    <s v="Travel_Rarely"/>
    <n v="1389"/>
    <x v="0"/>
    <n v="18"/>
    <s v="High"/>
    <s v="Medical"/>
    <s v="Medium"/>
    <s v="Male"/>
    <n v="71"/>
    <s v="High"/>
    <s v="Medium"/>
    <s v="Sales Executive"/>
    <s v="Low"/>
    <s v="Married"/>
    <n v="5561"/>
    <n v="15975"/>
    <s v="Medium"/>
    <n v="0"/>
    <x v="1"/>
    <n v="16"/>
    <s v="High"/>
    <s v="Excellent"/>
    <n v="1"/>
    <n v="6"/>
    <n v="2"/>
    <n v="1"/>
    <n v="5"/>
    <n v="3"/>
    <n v="0"/>
    <n v="4"/>
  </r>
  <r>
    <n v="1382"/>
    <n v="28"/>
    <s v="26-35"/>
    <x v="1"/>
    <s v="Non-Travel"/>
    <n v="1389"/>
    <x v="1"/>
    <n v="16"/>
    <s v="Medium"/>
    <s v="Medical"/>
    <s v="High"/>
    <s v="Male"/>
    <n v="49"/>
    <s v="High"/>
    <s v="Low"/>
    <s v="Research Scientist"/>
    <s v="High"/>
    <s v="Single"/>
    <n v="2144"/>
    <n v="2122"/>
    <s v="Low"/>
    <n v="1"/>
    <x v="1"/>
    <n v="14"/>
    <s v="High"/>
    <s v="High"/>
    <n v="0"/>
    <n v="5"/>
    <n v="3"/>
    <n v="2"/>
    <n v="5"/>
    <n v="3"/>
    <n v="1"/>
    <n v="4"/>
  </r>
  <r>
    <n v="1383"/>
    <n v="31"/>
    <s v="26-35"/>
    <x v="1"/>
    <s v="Non-Travel"/>
    <n v="1389"/>
    <x v="1"/>
    <n v="3"/>
    <s v="Good"/>
    <s v="Medical"/>
    <s v="High"/>
    <s v="Male"/>
    <n v="48"/>
    <s v="High"/>
    <s v="Low"/>
    <s v="Research Scientist"/>
    <s v="Low"/>
    <s v="Divorced"/>
    <n v="3065"/>
    <n v="3995"/>
    <s v="Low"/>
    <n v="1"/>
    <x v="0"/>
    <n v="13"/>
    <s v="High"/>
    <s v="Excellent"/>
    <n v="1"/>
    <n v="4"/>
    <n v="3"/>
    <n v="4"/>
    <n v="4"/>
    <n v="2"/>
    <n v="2"/>
    <n v="3"/>
  </r>
  <r>
    <n v="1384"/>
    <n v="36"/>
    <s v="36-45"/>
    <x v="1"/>
    <s v="Non-Travel"/>
    <n v="1389"/>
    <x v="1"/>
    <n v="9"/>
    <s v="High"/>
    <s v="Life Sciences"/>
    <s v="Low"/>
    <s v="Male"/>
    <n v="66"/>
    <s v="Excellent"/>
    <s v="Low"/>
    <s v="Laboratory Technician"/>
    <s v="Medium"/>
    <s v="Married"/>
    <n v="2810"/>
    <n v="9238"/>
    <s v="Low"/>
    <n v="1"/>
    <x v="1"/>
    <n v="22"/>
    <s v="Excellent"/>
    <s v="Medium"/>
    <n v="0"/>
    <n v="5"/>
    <n v="3"/>
    <n v="3"/>
    <n v="5"/>
    <n v="4"/>
    <n v="0"/>
    <n v="2"/>
  </r>
  <r>
    <n v="1385"/>
    <n v="34"/>
    <s v="26-35"/>
    <x v="1"/>
    <s v="Travel_Rarely"/>
    <n v="1389"/>
    <x v="0"/>
    <n v="1"/>
    <s v="Medium"/>
    <s v="Marketing"/>
    <s v="Low"/>
    <s v="Male"/>
    <n v="32"/>
    <s v="High"/>
    <s v="High"/>
    <s v="Sales Executive"/>
    <s v="Excellent"/>
    <s v="Single"/>
    <n v="9888"/>
    <n v="6770"/>
    <s v="Medium"/>
    <n v="1"/>
    <x v="1"/>
    <n v="21"/>
    <s v="Excellent"/>
    <s v="Low"/>
    <n v="0"/>
    <n v="14"/>
    <n v="3"/>
    <n v="2"/>
    <n v="14"/>
    <n v="8"/>
    <n v="2"/>
    <n v="1"/>
  </r>
  <r>
    <n v="1386"/>
    <n v="34"/>
    <s v="26-35"/>
    <x v="1"/>
    <s v="Travel_Rarely"/>
    <n v="1389"/>
    <x v="0"/>
    <n v="13"/>
    <s v="High"/>
    <s v="Medical"/>
    <s v="Excellent"/>
    <s v="Male"/>
    <n v="39"/>
    <s v="High"/>
    <s v="High"/>
    <s v="Sales Executive"/>
    <s v="High"/>
    <s v="Divorced"/>
    <n v="8628"/>
    <n v="22914"/>
    <s v="Medium"/>
    <n v="1"/>
    <x v="1"/>
    <n v="18"/>
    <s v="High"/>
    <s v="High"/>
    <n v="1"/>
    <n v="9"/>
    <n v="2"/>
    <n v="2"/>
    <n v="8"/>
    <n v="7"/>
    <n v="1"/>
    <n v="1"/>
  </r>
  <r>
    <n v="1387"/>
    <n v="26"/>
    <s v="26-35"/>
    <x v="1"/>
    <s v="Travel_Rarely"/>
    <n v="1389"/>
    <x v="1"/>
    <n v="1"/>
    <s v="Medium"/>
    <s v="Medical"/>
    <s v="High"/>
    <s v="Male"/>
    <n v="95"/>
    <s v="High"/>
    <s v="Low"/>
    <s v="Laboratory Technician"/>
    <s v="Low"/>
    <s v="Single"/>
    <n v="2867"/>
    <n v="20006"/>
    <s v="Low"/>
    <n v="0"/>
    <x v="1"/>
    <n v="13"/>
    <s v="High"/>
    <s v="Excellent"/>
    <n v="0"/>
    <n v="8"/>
    <n v="6"/>
    <n v="2"/>
    <n v="7"/>
    <n v="7"/>
    <n v="7"/>
    <n v="6"/>
  </r>
  <r>
    <n v="1388"/>
    <n v="29"/>
    <s v="26-35"/>
    <x v="1"/>
    <s v="Travel_Rarely"/>
    <n v="1389"/>
    <x v="1"/>
    <n v="1"/>
    <s v="Medium"/>
    <s v="Life Sciences"/>
    <s v="Low"/>
    <s v="Male"/>
    <n v="89"/>
    <s v="High"/>
    <s v="Medium"/>
    <s v="Healthcare Representative"/>
    <s v="Low"/>
    <s v="Married"/>
    <n v="5373"/>
    <n v="6225"/>
    <s v="Medium"/>
    <n v="0"/>
    <x v="1"/>
    <n v="12"/>
    <s v="High"/>
    <s v="Low"/>
    <n v="1"/>
    <n v="6"/>
    <n v="5"/>
    <n v="2"/>
    <n v="5"/>
    <n v="3"/>
    <n v="0"/>
    <n v="2"/>
  </r>
  <r>
    <n v="1389"/>
    <n v="32"/>
    <s v="26-35"/>
    <x v="1"/>
    <s v="Non-Travel"/>
    <n v="1389"/>
    <x v="1"/>
    <n v="15"/>
    <s v="High"/>
    <s v="Medical"/>
    <s v="High"/>
    <s v="Female"/>
    <n v="34"/>
    <s v="High"/>
    <s v="Medium"/>
    <s v="Healthcare Representative"/>
    <s v="Excellent"/>
    <s v="Divorced"/>
    <n v="6667"/>
    <n v="16542"/>
    <s v="Medium"/>
    <n v="5"/>
    <x v="1"/>
    <n v="18"/>
    <s v="High"/>
    <s v="Medium"/>
    <n v="1"/>
    <n v="9"/>
    <n v="6"/>
    <n v="3"/>
    <n v="5"/>
    <n v="1"/>
    <n v="1"/>
    <n v="2"/>
  </r>
  <r>
    <n v="1390"/>
    <n v="31"/>
    <s v="26-35"/>
    <x v="1"/>
    <s v="Travel_Frequently"/>
    <n v="1389"/>
    <x v="1"/>
    <n v="1"/>
    <s v="Medium"/>
    <s v="Life Sciences"/>
    <s v="Excellent"/>
    <s v="Male"/>
    <n v="48"/>
    <s v="Low"/>
    <s v="Medium"/>
    <s v="Research Scientist"/>
    <s v="Low"/>
    <s v="Married"/>
    <n v="5003"/>
    <n v="5771"/>
    <s v="Medium"/>
    <n v="1"/>
    <x v="1"/>
    <n v="21"/>
    <s v="Excellent"/>
    <s v="Medium"/>
    <n v="0"/>
    <n v="10"/>
    <n v="6"/>
    <n v="3"/>
    <n v="10"/>
    <n v="8"/>
    <n v="8"/>
    <n v="7"/>
  </r>
  <r>
    <n v="1391"/>
    <n v="28"/>
    <s v="26-35"/>
    <x v="0"/>
    <s v="Travel_Rarely"/>
    <n v="1389"/>
    <x v="1"/>
    <n v="17"/>
    <s v="Medium"/>
    <s v="Technical Degree"/>
    <s v="High"/>
    <s v="Male"/>
    <n v="32"/>
    <s v="Medium"/>
    <s v="Low"/>
    <s v="Laboratory Technician"/>
    <s v="Excellent"/>
    <s v="Divorced"/>
    <n v="2367"/>
    <n v="18779"/>
    <s v="Low"/>
    <n v="5"/>
    <x v="1"/>
    <n v="12"/>
    <s v="High"/>
    <s v="Low"/>
    <n v="1"/>
    <n v="6"/>
    <n v="2"/>
    <n v="2"/>
    <n v="4"/>
    <n v="1"/>
    <n v="0"/>
    <n v="3"/>
  </r>
  <r>
    <n v="1392"/>
    <n v="38"/>
    <s v="36-45"/>
    <x v="1"/>
    <s v="Travel_Rarely"/>
    <n v="1389"/>
    <x v="0"/>
    <n v="1"/>
    <s v="Medium"/>
    <s v="Life Sciences"/>
    <s v="Low"/>
    <s v="Male"/>
    <n v="59"/>
    <s v="Medium"/>
    <s v="Low"/>
    <s v="Sales Representative"/>
    <s v="Low"/>
    <s v="Single"/>
    <n v="2858"/>
    <n v="11473"/>
    <s v="Low"/>
    <n v="4"/>
    <x v="1"/>
    <n v="14"/>
    <s v="High"/>
    <s v="Low"/>
    <n v="0"/>
    <n v="20"/>
    <n v="3"/>
    <n v="2"/>
    <n v="1"/>
    <n v="0"/>
    <n v="0"/>
    <n v="0"/>
  </r>
  <r>
    <n v="1393"/>
    <n v="35"/>
    <s v="26-35"/>
    <x v="1"/>
    <s v="Travel_Rarely"/>
    <n v="1389"/>
    <x v="0"/>
    <n v="7"/>
    <s v="High"/>
    <s v="Life Sciences"/>
    <s v="High"/>
    <s v="Female"/>
    <n v="55"/>
    <s v="High"/>
    <s v="Medium"/>
    <s v="Sales Executive"/>
    <s v="Excellent"/>
    <s v="Married"/>
    <n v="5204"/>
    <n v="13586"/>
    <s v="Medium"/>
    <n v="1"/>
    <x v="0"/>
    <n v="11"/>
    <s v="High"/>
    <s v="Excellent"/>
    <n v="0"/>
    <n v="10"/>
    <n v="2"/>
    <n v="3"/>
    <n v="10"/>
    <n v="8"/>
    <n v="0"/>
    <n v="9"/>
  </r>
  <r>
    <n v="1394"/>
    <n v="27"/>
    <s v="26-35"/>
    <x v="1"/>
    <s v="Travel_Rarely"/>
    <n v="1389"/>
    <x v="0"/>
    <n v="9"/>
    <s v="Medium"/>
    <s v="Marketing"/>
    <s v="Excellent"/>
    <s v="Male"/>
    <n v="44"/>
    <s v="High"/>
    <s v="Medium"/>
    <s v="Sales Executive"/>
    <s v="Excellent"/>
    <s v="Single"/>
    <n v="4105"/>
    <n v="5099"/>
    <s v="Low"/>
    <n v="1"/>
    <x v="1"/>
    <n v="14"/>
    <s v="High"/>
    <s v="Low"/>
    <n v="0"/>
    <n v="7"/>
    <n v="5"/>
    <n v="3"/>
    <n v="7"/>
    <n v="7"/>
    <n v="0"/>
    <n v="7"/>
  </r>
  <r>
    <n v="1395"/>
    <n v="32"/>
    <s v="26-35"/>
    <x v="1"/>
    <s v="Travel_Rarely"/>
    <n v="1389"/>
    <x v="1"/>
    <n v="5"/>
    <s v="High"/>
    <s v="Life Sciences"/>
    <s v="Excellent"/>
    <s v="Male"/>
    <n v="56"/>
    <s v="Medium"/>
    <s v="Medium"/>
    <s v="Manufacturing Director"/>
    <s v="Excellent"/>
    <s v="Single"/>
    <n v="9679"/>
    <n v="10138"/>
    <s v="Medium"/>
    <n v="8"/>
    <x v="1"/>
    <n v="24"/>
    <s v="Excellent"/>
    <s v="Medium"/>
    <n v="0"/>
    <n v="8"/>
    <n v="1"/>
    <n v="3"/>
    <n v="1"/>
    <n v="0"/>
    <n v="0"/>
    <n v="0"/>
  </r>
  <r>
    <n v="1396"/>
    <n v="31"/>
    <s v="26-35"/>
    <x v="0"/>
    <s v="Travel_Frequently"/>
    <n v="1389"/>
    <x v="0"/>
    <n v="26"/>
    <s v="High"/>
    <s v="Marketing"/>
    <s v="Low"/>
    <s v="Male"/>
    <n v="63"/>
    <s v="High"/>
    <s v="Medium"/>
    <s v="Sales Executive"/>
    <s v="Excellent"/>
    <s v="Married"/>
    <n v="5617"/>
    <n v="21075"/>
    <s v="Medium"/>
    <n v="1"/>
    <x v="0"/>
    <n v="11"/>
    <s v="High"/>
    <s v="High"/>
    <n v="0"/>
    <n v="10"/>
    <n v="4"/>
    <n v="3"/>
    <n v="10"/>
    <n v="7"/>
    <n v="0"/>
    <n v="8"/>
  </r>
  <r>
    <n v="1397"/>
    <n v="53"/>
    <s v="46-55"/>
    <x v="0"/>
    <s v="Travel_Rarely"/>
    <n v="1389"/>
    <x v="0"/>
    <n v="24"/>
    <s v="High"/>
    <s v="Life Sciences"/>
    <s v="Low"/>
    <s v="Male"/>
    <n v="66"/>
    <s v="High"/>
    <s v="High"/>
    <s v="Sales Executive"/>
    <s v="Low"/>
    <s v="Single"/>
    <n v="10448"/>
    <n v="5843"/>
    <s v="High"/>
    <n v="6"/>
    <x v="0"/>
    <n v="13"/>
    <s v="High"/>
    <s v="Medium"/>
    <n v="0"/>
    <n v="15"/>
    <n v="2"/>
    <n v="2"/>
    <n v="2"/>
    <n v="2"/>
    <n v="2"/>
    <n v="2"/>
  </r>
  <r>
    <n v="1398"/>
    <n v="54"/>
    <s v="46-55"/>
    <x v="1"/>
    <s v="Travel_Rarely"/>
    <n v="1389"/>
    <x v="1"/>
    <n v="9"/>
    <s v="Good"/>
    <s v="Life Sciences"/>
    <s v="Low"/>
    <s v="Female"/>
    <n v="67"/>
    <s v="High"/>
    <s v="Medium"/>
    <s v="Research Scientist"/>
    <s v="High"/>
    <s v="Married"/>
    <n v="2897"/>
    <n v="22474"/>
    <s v="Low"/>
    <n v="3"/>
    <x v="1"/>
    <n v="11"/>
    <s v="High"/>
    <s v="High"/>
    <n v="2"/>
    <n v="9"/>
    <n v="6"/>
    <n v="2"/>
    <n v="4"/>
    <n v="3"/>
    <n v="2"/>
    <n v="3"/>
  </r>
  <r>
    <n v="1399"/>
    <n v="33"/>
    <s v="26-35"/>
    <x v="1"/>
    <s v="Travel_Frequently"/>
    <n v="1389"/>
    <x v="1"/>
    <n v="7"/>
    <s v="Good"/>
    <s v="Life Sciences"/>
    <s v="Excellent"/>
    <s v="Male"/>
    <n v="36"/>
    <s v="High"/>
    <s v="Medium"/>
    <s v="Healthcare Representative"/>
    <s v="High"/>
    <s v="Divorced"/>
    <n v="5968"/>
    <n v="18079"/>
    <s v="Medium"/>
    <n v="1"/>
    <x v="1"/>
    <n v="20"/>
    <s v="Excellent"/>
    <s v="High"/>
    <n v="3"/>
    <n v="9"/>
    <n v="2"/>
    <n v="3"/>
    <n v="9"/>
    <n v="7"/>
    <n v="2"/>
    <n v="8"/>
  </r>
  <r>
    <n v="1400"/>
    <n v="43"/>
    <s v="36-45"/>
    <x v="1"/>
    <s v="Travel_Rarely"/>
    <n v="1389"/>
    <x v="1"/>
    <n v="11"/>
    <s v="Medium"/>
    <s v="Life Sciences"/>
    <s v="Low"/>
    <s v="Male"/>
    <n v="30"/>
    <s v="High"/>
    <s v="High"/>
    <s v="Healthcare Representative"/>
    <s v="High"/>
    <s v="Married"/>
    <n v="7510"/>
    <n v="16873"/>
    <s v="Medium"/>
    <n v="1"/>
    <x v="1"/>
    <n v="17"/>
    <s v="High"/>
    <s v="Medium"/>
    <n v="1"/>
    <n v="10"/>
    <n v="1"/>
    <n v="3"/>
    <n v="10"/>
    <n v="9"/>
    <n v="0"/>
    <n v="9"/>
  </r>
  <r>
    <n v="1401"/>
    <n v="38"/>
    <s v="36-45"/>
    <x v="1"/>
    <s v="Travel_Frequently"/>
    <n v="1389"/>
    <x v="2"/>
    <n v="1"/>
    <s v="High"/>
    <s v="Other"/>
    <s v="Excellent"/>
    <s v="Male"/>
    <n v="88"/>
    <s v="High"/>
    <s v="Low"/>
    <s v="Human Resources"/>
    <s v="Medium"/>
    <s v="Married"/>
    <n v="2991"/>
    <n v="5224"/>
    <s v="Low"/>
    <n v="0"/>
    <x v="0"/>
    <n v="11"/>
    <s v="High"/>
    <s v="Medium"/>
    <n v="1"/>
    <n v="7"/>
    <n v="2"/>
    <n v="3"/>
    <n v="6"/>
    <n v="2"/>
    <n v="1"/>
    <n v="2"/>
  </r>
  <r>
    <n v="1402"/>
    <n v="55"/>
    <s v="46-55"/>
    <x v="1"/>
    <s v="Travel_Rarely"/>
    <n v="1389"/>
    <x v="2"/>
    <n v="26"/>
    <s v="High"/>
    <s v="Human Resources"/>
    <s v="High"/>
    <s v="Male"/>
    <n v="71"/>
    <s v="Excellent"/>
    <e v="#N/A"/>
    <s v="Manager"/>
    <s v="Medium"/>
    <s v="Married"/>
    <n v="19636"/>
    <n v="25811"/>
    <s v="High"/>
    <n v="4"/>
    <x v="0"/>
    <n v="18"/>
    <s v="High"/>
    <s v="Low"/>
    <n v="1"/>
    <n v="35"/>
    <n v="0"/>
    <n v="3"/>
    <n v="10"/>
    <n v="9"/>
    <n v="1"/>
    <n v="4"/>
  </r>
  <r>
    <n v="1403"/>
    <n v="31"/>
    <s v="26-35"/>
    <x v="1"/>
    <s v="Travel_Rarely"/>
    <n v="1389"/>
    <x v="1"/>
    <n v="2"/>
    <s v="Low"/>
    <s v="Medical"/>
    <s v="Excellent"/>
    <s v="Female"/>
    <n v="59"/>
    <s v="Low"/>
    <s v="Low"/>
    <s v="Laboratory Technician"/>
    <s v="Excellent"/>
    <s v="Divorced"/>
    <n v="1129"/>
    <n v="17536"/>
    <s v="Low"/>
    <n v="1"/>
    <x v="0"/>
    <n v="11"/>
    <s v="High"/>
    <s v="High"/>
    <n v="3"/>
    <n v="1"/>
    <n v="4"/>
    <n v="3"/>
    <n v="1"/>
    <n v="0"/>
    <n v="0"/>
    <n v="0"/>
  </r>
  <r>
    <n v="1404"/>
    <n v="39"/>
    <s v="36-45"/>
    <x v="1"/>
    <s v="Travel_Rarely"/>
    <n v="1389"/>
    <x v="0"/>
    <n v="15"/>
    <s v="High"/>
    <s v="Marketing"/>
    <s v="Medium"/>
    <s v="Male"/>
    <n v="77"/>
    <s v="High"/>
    <s v="Excellent"/>
    <s v="Sales Executive"/>
    <s v="Low"/>
    <s v="Single"/>
    <n v="13341"/>
    <n v="25098"/>
    <s v="High"/>
    <n v="0"/>
    <x v="1"/>
    <n v="12"/>
    <s v="High"/>
    <s v="Low"/>
    <n v="0"/>
    <n v="21"/>
    <n v="3"/>
    <n v="3"/>
    <n v="20"/>
    <n v="8"/>
    <n v="11"/>
    <n v="10"/>
  </r>
  <r>
    <n v="1405"/>
    <n v="42"/>
    <s v="36-45"/>
    <x v="1"/>
    <s v="Non-Travel"/>
    <n v="1389"/>
    <x v="1"/>
    <n v="23"/>
    <s v="Good"/>
    <s v="Life Sciences"/>
    <s v="Excellent"/>
    <s v="Male"/>
    <n v="37"/>
    <s v="Medium"/>
    <s v="Medium"/>
    <s v="Research Scientist"/>
    <s v="High"/>
    <s v="Single"/>
    <n v="4332"/>
    <n v="14811"/>
    <s v="Low"/>
    <n v="1"/>
    <x v="1"/>
    <n v="12"/>
    <s v="High"/>
    <s v="Excellent"/>
    <n v="0"/>
    <n v="20"/>
    <n v="2"/>
    <n v="3"/>
    <n v="20"/>
    <n v="9"/>
    <n v="3"/>
    <n v="7"/>
  </r>
  <r>
    <n v="1406"/>
    <n v="31"/>
    <s v="26-35"/>
    <x v="1"/>
    <s v="Non-Travel"/>
    <n v="1389"/>
    <x v="1"/>
    <n v="10"/>
    <s v="Medium"/>
    <s v="Medical"/>
    <s v="High"/>
    <s v="Female"/>
    <n v="40"/>
    <s v="High"/>
    <s v="High"/>
    <s v="Research Director"/>
    <s v="High"/>
    <s v="Married"/>
    <n v="11031"/>
    <n v="26862"/>
    <s v="High"/>
    <n v="4"/>
    <x v="1"/>
    <n v="20"/>
    <s v="Excellent"/>
    <s v="High"/>
    <n v="1"/>
    <n v="13"/>
    <n v="2"/>
    <n v="4"/>
    <n v="11"/>
    <n v="7"/>
    <n v="4"/>
    <n v="8"/>
  </r>
  <r>
    <n v="1407"/>
    <n v="54"/>
    <s v="46-55"/>
    <x v="1"/>
    <s v="Travel_Rarely"/>
    <n v="1389"/>
    <x v="1"/>
    <n v="10"/>
    <s v="Medium"/>
    <s v="Medical"/>
    <s v="High"/>
    <s v="Female"/>
    <n v="77"/>
    <s v="High"/>
    <s v="Medium"/>
    <s v="Manufacturing Director"/>
    <s v="Low"/>
    <s v="Single"/>
    <n v="4440"/>
    <n v="25198"/>
    <s v="Low"/>
    <n v="6"/>
    <x v="0"/>
    <n v="19"/>
    <s v="High"/>
    <s v="Excellent"/>
    <n v="0"/>
    <n v="9"/>
    <n v="3"/>
    <n v="3"/>
    <n v="5"/>
    <n v="2"/>
    <n v="1"/>
    <n v="4"/>
  </r>
  <r>
    <n v="1408"/>
    <n v="24"/>
    <s v="18-25"/>
    <x v="1"/>
    <s v="Travel_Rarely"/>
    <n v="1389"/>
    <x v="1"/>
    <n v="1"/>
    <s v="Good"/>
    <s v="Life Sciences"/>
    <s v="Medium"/>
    <s v="Male"/>
    <n v="45"/>
    <s v="Medium"/>
    <s v="Medium"/>
    <s v="Healthcare Representative"/>
    <s v="High"/>
    <s v="Single"/>
    <n v="4617"/>
    <n v="14120"/>
    <s v="Low"/>
    <n v="1"/>
    <x v="1"/>
    <n v="12"/>
    <s v="High"/>
    <s v="Medium"/>
    <n v="0"/>
    <n v="4"/>
    <n v="2"/>
    <n v="2"/>
    <n v="4"/>
    <n v="3"/>
    <n v="1"/>
    <n v="2"/>
  </r>
  <r>
    <n v="1409"/>
    <n v="23"/>
    <s v="18-25"/>
    <x v="1"/>
    <s v="Travel_Rarely"/>
    <n v="1389"/>
    <x v="1"/>
    <n v="12"/>
    <s v="Good"/>
    <s v="Other"/>
    <s v="Excellent"/>
    <s v="Male"/>
    <n v="78"/>
    <s v="High"/>
    <s v="Low"/>
    <s v="Laboratory Technician"/>
    <s v="Excellent"/>
    <s v="Single"/>
    <n v="2647"/>
    <n v="13672"/>
    <s v="Low"/>
    <n v="1"/>
    <x v="1"/>
    <n v="13"/>
    <s v="High"/>
    <s v="High"/>
    <n v="0"/>
    <n v="5"/>
    <n v="6"/>
    <n v="4"/>
    <n v="5"/>
    <n v="2"/>
    <n v="1"/>
    <n v="4"/>
  </r>
  <r>
    <n v="1410"/>
    <n v="40"/>
    <s v="36-45"/>
    <x v="1"/>
    <s v="Travel_Frequently"/>
    <n v="1389"/>
    <x v="1"/>
    <n v="11"/>
    <s v="Medium"/>
    <s v="Technical Degree"/>
    <s v="Excellent"/>
    <s v="Female"/>
    <n v="73"/>
    <s v="High"/>
    <s v="Medium"/>
    <s v="Laboratory Technician"/>
    <s v="High"/>
    <s v="Married"/>
    <n v="6323"/>
    <n v="26849"/>
    <s v="Medium"/>
    <n v="1"/>
    <x v="1"/>
    <n v="11"/>
    <s v="High"/>
    <s v="Low"/>
    <n v="1"/>
    <n v="10"/>
    <n v="2"/>
    <n v="4"/>
    <n v="10"/>
    <n v="9"/>
    <n v="9"/>
    <n v="4"/>
  </r>
  <r>
    <n v="1411"/>
    <n v="40"/>
    <s v="36-45"/>
    <x v="1"/>
    <s v="Travel_Rarely"/>
    <n v="1389"/>
    <x v="0"/>
    <n v="2"/>
    <s v="Good"/>
    <s v="Marketing"/>
    <s v="Medium"/>
    <s v="Female"/>
    <n v="92"/>
    <s v="High"/>
    <s v="Medium"/>
    <s v="Sales Executive"/>
    <s v="Medium"/>
    <s v="Married"/>
    <n v="5677"/>
    <n v="4258"/>
    <s v="Medium"/>
    <n v="3"/>
    <x v="1"/>
    <n v="14"/>
    <s v="High"/>
    <s v="High"/>
    <n v="1"/>
    <n v="15"/>
    <n v="4"/>
    <n v="3"/>
    <n v="11"/>
    <n v="8"/>
    <n v="5"/>
    <n v="10"/>
  </r>
  <r>
    <n v="1412"/>
    <n v="25"/>
    <s v="18-25"/>
    <x v="1"/>
    <s v="Travel_Rarely"/>
    <n v="1389"/>
    <x v="2"/>
    <n v="2"/>
    <s v="Medium"/>
    <s v="Human Resources"/>
    <s v="High"/>
    <s v="Female"/>
    <n v="82"/>
    <s v="High"/>
    <s v="Low"/>
    <s v="Human Resources"/>
    <s v="Medium"/>
    <s v="Married"/>
    <n v="2187"/>
    <n v="19655"/>
    <s v="Low"/>
    <n v="4"/>
    <x v="1"/>
    <n v="14"/>
    <s v="High"/>
    <s v="High"/>
    <n v="0"/>
    <n v="6"/>
    <n v="3"/>
    <n v="3"/>
    <n v="2"/>
    <n v="0"/>
    <n v="1"/>
    <n v="2"/>
  </r>
  <r>
    <n v="1413"/>
    <n v="30"/>
    <s v="26-35"/>
    <x v="1"/>
    <s v="Travel_Rarely"/>
    <n v="1389"/>
    <x v="1"/>
    <n v="1"/>
    <s v="Good"/>
    <s v="Medical"/>
    <s v="Excellent"/>
    <s v="Male"/>
    <n v="76"/>
    <s v="High"/>
    <s v="Low"/>
    <s v="Laboratory Technician"/>
    <s v="Medium"/>
    <s v="Married"/>
    <n v="3748"/>
    <n v="4077"/>
    <s v="Low"/>
    <n v="1"/>
    <x v="1"/>
    <n v="13"/>
    <s v="High"/>
    <s v="High"/>
    <n v="0"/>
    <n v="12"/>
    <n v="6"/>
    <n v="2"/>
    <n v="12"/>
    <n v="8"/>
    <n v="1"/>
    <n v="7"/>
  </r>
  <r>
    <n v="1414"/>
    <n v="25"/>
    <s v="18-25"/>
    <x v="1"/>
    <s v="Travel_Rarely"/>
    <n v="1389"/>
    <x v="1"/>
    <n v="2"/>
    <s v="Low"/>
    <s v="Other"/>
    <s v="Excellent"/>
    <s v="Male"/>
    <n v="57"/>
    <s v="High"/>
    <s v="Low"/>
    <s v="Laboratory Technician"/>
    <s v="High"/>
    <s v="Divorced"/>
    <n v="3977"/>
    <n v="7298"/>
    <s v="Low"/>
    <n v="6"/>
    <x v="0"/>
    <n v="19"/>
    <s v="High"/>
    <s v="High"/>
    <n v="1"/>
    <n v="7"/>
    <n v="2"/>
    <n v="2"/>
    <n v="2"/>
    <n v="2"/>
    <n v="0"/>
    <n v="2"/>
  </r>
  <r>
    <n v="1415"/>
    <n v="47"/>
    <s v="46-55"/>
    <x v="1"/>
    <s v="Travel_Rarely"/>
    <n v="1389"/>
    <x v="1"/>
    <n v="25"/>
    <s v="Medium"/>
    <s v="Medical"/>
    <s v="Low"/>
    <s v="Male"/>
    <n v="84"/>
    <s v="High"/>
    <s v="High"/>
    <s v="Healthcare Representative"/>
    <s v="High"/>
    <s v="Single"/>
    <n v="8633"/>
    <n v="13084"/>
    <s v="Medium"/>
    <n v="2"/>
    <x v="1"/>
    <n v="23"/>
    <s v="Excellent"/>
    <s v="Medium"/>
    <n v="0"/>
    <n v="25"/>
    <n v="3"/>
    <n v="3"/>
    <n v="17"/>
    <n v="14"/>
    <n v="12"/>
    <n v="11"/>
  </r>
  <r>
    <n v="1416"/>
    <n v="33"/>
    <s v="26-35"/>
    <x v="1"/>
    <s v="Non-Travel"/>
    <n v="1389"/>
    <x v="1"/>
    <n v="1"/>
    <s v="Good"/>
    <s v="Medical"/>
    <s v="Medium"/>
    <s v="Male"/>
    <n v="59"/>
    <s v="Medium"/>
    <s v="Low"/>
    <s v="Laboratory Technician"/>
    <s v="High"/>
    <s v="Divorced"/>
    <n v="2008"/>
    <n v="20439"/>
    <s v="Low"/>
    <n v="1"/>
    <x v="1"/>
    <n v="12"/>
    <s v="High"/>
    <s v="High"/>
    <n v="3"/>
    <n v="1"/>
    <n v="2"/>
    <n v="2"/>
    <n v="1"/>
    <n v="1"/>
    <n v="0"/>
    <n v="0"/>
  </r>
  <r>
    <n v="1417"/>
    <n v="38"/>
    <s v="36-45"/>
    <x v="1"/>
    <s v="Travel_Rarely"/>
    <n v="1389"/>
    <x v="0"/>
    <n v="1"/>
    <s v="High"/>
    <s v="Life Sciences"/>
    <s v="Excellent"/>
    <s v="Male"/>
    <n v="86"/>
    <s v="High"/>
    <s v="Medium"/>
    <s v="Sales Executive"/>
    <s v="Medium"/>
    <s v="Married"/>
    <n v="4440"/>
    <n v="7636"/>
    <s v="Low"/>
    <n v="0"/>
    <x v="1"/>
    <n v="15"/>
    <s v="High"/>
    <s v="Low"/>
    <n v="2"/>
    <n v="16"/>
    <n v="3"/>
    <n v="3"/>
    <n v="15"/>
    <n v="13"/>
    <n v="5"/>
    <n v="8"/>
  </r>
  <r>
    <n v="1418"/>
    <n v="31"/>
    <s v="26-35"/>
    <x v="1"/>
    <s v="Travel_Rarely"/>
    <n v="1389"/>
    <x v="0"/>
    <n v="2"/>
    <s v="Good"/>
    <s v="Life Sciences"/>
    <s v="Low"/>
    <s v="Male"/>
    <n v="54"/>
    <s v="High"/>
    <s v="Low"/>
    <s v="Sales Representative"/>
    <s v="High"/>
    <s v="Married"/>
    <n v="3067"/>
    <n v="6393"/>
    <s v="Low"/>
    <n v="0"/>
    <x v="1"/>
    <n v="19"/>
    <s v="High"/>
    <s v="High"/>
    <n v="1"/>
    <n v="3"/>
    <n v="1"/>
    <n v="3"/>
    <n v="2"/>
    <n v="2"/>
    <n v="1"/>
    <n v="2"/>
  </r>
  <r>
    <n v="1419"/>
    <n v="38"/>
    <s v="36-45"/>
    <x v="1"/>
    <s v="Travel_Frequently"/>
    <n v="1389"/>
    <x v="1"/>
    <n v="6"/>
    <s v="High"/>
    <s v="Life Sciences"/>
    <s v="Low"/>
    <s v="Male"/>
    <n v="72"/>
    <s v="Medium"/>
    <s v="Medium"/>
    <s v="Manufacturing Director"/>
    <s v="High"/>
    <s v="Married"/>
    <n v="5321"/>
    <n v="14284"/>
    <s v="Medium"/>
    <n v="2"/>
    <x v="1"/>
    <n v="11"/>
    <s v="High"/>
    <s v="Excellent"/>
    <n v="1"/>
    <n v="10"/>
    <n v="1"/>
    <n v="3"/>
    <n v="8"/>
    <n v="3"/>
    <n v="7"/>
    <n v="7"/>
  </r>
  <r>
    <n v="1420"/>
    <n v="42"/>
    <s v="36-45"/>
    <x v="1"/>
    <s v="Travel_Rarely"/>
    <n v="1389"/>
    <x v="1"/>
    <n v="18"/>
    <s v="High"/>
    <s v="Life Sciences"/>
    <s v="Excellent"/>
    <s v="Male"/>
    <n v="35"/>
    <s v="High"/>
    <s v="Medium"/>
    <s v="Research Scientist"/>
    <s v="Low"/>
    <s v="Divorced"/>
    <n v="5410"/>
    <n v="11189"/>
    <s v="Medium"/>
    <n v="6"/>
    <x v="0"/>
    <n v="17"/>
    <s v="High"/>
    <s v="High"/>
    <n v="1"/>
    <n v="9"/>
    <n v="3"/>
    <n v="2"/>
    <n v="4"/>
    <n v="3"/>
    <n v="1"/>
    <n v="2"/>
  </r>
  <r>
    <n v="1421"/>
    <n v="41"/>
    <s v="36-45"/>
    <x v="1"/>
    <s v="Travel_Rarely"/>
    <n v="1389"/>
    <x v="1"/>
    <n v="1"/>
    <s v="Medium"/>
    <s v="Life Sciences"/>
    <s v="Excellent"/>
    <s v="Male"/>
    <n v="76"/>
    <s v="High"/>
    <s v="Low"/>
    <s v="Research Scientist"/>
    <s v="Excellent"/>
    <s v="Married"/>
    <n v="2782"/>
    <n v="21412"/>
    <s v="Low"/>
    <n v="3"/>
    <x v="1"/>
    <n v="22"/>
    <s v="Excellent"/>
    <s v="Low"/>
    <n v="1"/>
    <n v="12"/>
    <n v="3"/>
    <n v="3"/>
    <n v="5"/>
    <n v="3"/>
    <n v="1"/>
    <n v="0"/>
  </r>
  <r>
    <n v="1422"/>
    <n v="47"/>
    <s v="46-55"/>
    <x v="1"/>
    <s v="Non-Travel"/>
    <n v="1389"/>
    <x v="1"/>
    <n v="1"/>
    <s v="Low"/>
    <s v="Medical"/>
    <s v="High"/>
    <s v="Female"/>
    <n v="98"/>
    <s v="High"/>
    <s v="High"/>
    <s v="Research Director"/>
    <s v="Medium"/>
    <s v="Married"/>
    <n v="11957"/>
    <n v="17231"/>
    <s v="High"/>
    <n v="0"/>
    <x v="1"/>
    <n v="18"/>
    <s v="High"/>
    <s v="Low"/>
    <n v="2"/>
    <n v="14"/>
    <n v="3"/>
    <n v="1"/>
    <n v="13"/>
    <n v="8"/>
    <n v="5"/>
    <n v="12"/>
  </r>
  <r>
    <n v="1423"/>
    <n v="35"/>
    <s v="26-35"/>
    <x v="1"/>
    <s v="Travel_Rarely"/>
    <n v="1389"/>
    <x v="1"/>
    <n v="11"/>
    <s v="High"/>
    <s v="Medical"/>
    <s v="Excellent"/>
    <s v="Male"/>
    <n v="43"/>
    <s v="High"/>
    <s v="Low"/>
    <s v="Laboratory Technician"/>
    <s v="High"/>
    <s v="Married"/>
    <n v="2660"/>
    <n v="20232"/>
    <s v="Low"/>
    <n v="7"/>
    <x v="0"/>
    <n v="11"/>
    <s v="High"/>
    <s v="High"/>
    <n v="1"/>
    <n v="5"/>
    <n v="3"/>
    <n v="3"/>
    <n v="2"/>
    <n v="2"/>
    <n v="2"/>
    <n v="2"/>
  </r>
  <r>
    <n v="1424"/>
    <n v="22"/>
    <s v="18-25"/>
    <x v="1"/>
    <s v="Travel_Rarely"/>
    <n v="1389"/>
    <x v="1"/>
    <n v="1"/>
    <s v="Good"/>
    <s v="Life Sciences"/>
    <s v="Excellent"/>
    <s v="Male"/>
    <n v="63"/>
    <s v="High"/>
    <s v="Low"/>
    <s v="Research Scientist"/>
    <s v="High"/>
    <s v="Single"/>
    <n v="3375"/>
    <n v="17624"/>
    <s v="Low"/>
    <n v="0"/>
    <x v="1"/>
    <n v="12"/>
    <s v="High"/>
    <s v="Excellent"/>
    <n v="0"/>
    <n v="4"/>
    <n v="2"/>
    <n v="4"/>
    <n v="3"/>
    <n v="2"/>
    <n v="1"/>
    <n v="2"/>
  </r>
  <r>
    <n v="1425"/>
    <n v="35"/>
    <s v="26-35"/>
    <x v="1"/>
    <s v="Travel_Rarely"/>
    <n v="1389"/>
    <x v="1"/>
    <n v="9"/>
    <s v="High"/>
    <s v="Medical"/>
    <s v="Medium"/>
    <s v="Male"/>
    <n v="48"/>
    <s v="High"/>
    <s v="Medium"/>
    <s v="Research Scientist"/>
    <s v="High"/>
    <s v="Single"/>
    <n v="5098"/>
    <n v="18698"/>
    <s v="Medium"/>
    <n v="1"/>
    <x v="1"/>
    <n v="19"/>
    <s v="High"/>
    <s v="Medium"/>
    <n v="0"/>
    <n v="10"/>
    <n v="5"/>
    <n v="3"/>
    <n v="10"/>
    <n v="7"/>
    <n v="0"/>
    <n v="8"/>
  </r>
  <r>
    <n v="1426"/>
    <n v="33"/>
    <s v="26-35"/>
    <x v="1"/>
    <s v="Travel_Rarely"/>
    <n v="1389"/>
    <x v="1"/>
    <n v="15"/>
    <s v="Good"/>
    <s v="Medical"/>
    <s v="Medium"/>
    <s v="Female"/>
    <n v="95"/>
    <s v="High"/>
    <s v="Medium"/>
    <s v="Healthcare Representative"/>
    <s v="Excellent"/>
    <s v="Married"/>
    <n v="4878"/>
    <n v="21653"/>
    <s v="Low"/>
    <n v="0"/>
    <x v="0"/>
    <n v="13"/>
    <s v="High"/>
    <s v="Low"/>
    <n v="1"/>
    <n v="10"/>
    <n v="6"/>
    <n v="3"/>
    <n v="9"/>
    <n v="7"/>
    <n v="8"/>
    <n v="1"/>
  </r>
  <r>
    <n v="1427"/>
    <n v="32"/>
    <s v="26-35"/>
    <x v="1"/>
    <s v="Travel_Rarely"/>
    <n v="1389"/>
    <x v="1"/>
    <n v="29"/>
    <s v="High"/>
    <s v="Life Sciences"/>
    <s v="High"/>
    <s v="Female"/>
    <n v="49"/>
    <s v="Medium"/>
    <s v="Low"/>
    <s v="Laboratory Technician"/>
    <s v="Medium"/>
    <s v="Single"/>
    <n v="2837"/>
    <n v="15919"/>
    <s v="Low"/>
    <n v="1"/>
    <x v="1"/>
    <n v="13"/>
    <s v="High"/>
    <s v="High"/>
    <n v="0"/>
    <n v="6"/>
    <n v="3"/>
    <n v="3"/>
    <n v="6"/>
    <n v="2"/>
    <n v="4"/>
    <n v="1"/>
  </r>
  <r>
    <n v="1428"/>
    <n v="40"/>
    <s v="36-45"/>
    <x v="1"/>
    <s v="Travel_Rarely"/>
    <n v="1389"/>
    <x v="1"/>
    <n v="1"/>
    <s v="High"/>
    <s v="Life Sciences"/>
    <s v="Low"/>
    <s v="Male"/>
    <n v="83"/>
    <s v="High"/>
    <s v="Low"/>
    <s v="Laboratory Technician"/>
    <s v="Excellent"/>
    <s v="Married"/>
    <n v="2406"/>
    <n v="4060"/>
    <s v="Low"/>
    <n v="8"/>
    <x v="1"/>
    <n v="19"/>
    <s v="High"/>
    <s v="High"/>
    <n v="2"/>
    <n v="8"/>
    <n v="3"/>
    <n v="2"/>
    <n v="1"/>
    <n v="0"/>
    <n v="0"/>
    <n v="0"/>
  </r>
  <r>
    <n v="1429"/>
    <n v="32"/>
    <s v="26-35"/>
    <x v="1"/>
    <s v="Travel_Rarely"/>
    <n v="1389"/>
    <x v="0"/>
    <n v="1"/>
    <s v="High"/>
    <s v="Medical"/>
    <s v="Medium"/>
    <s v="Male"/>
    <n v="68"/>
    <s v="Medium"/>
    <s v="Low"/>
    <s v="Sales Representative"/>
    <s v="Medium"/>
    <s v="Married"/>
    <n v="2269"/>
    <n v="18024"/>
    <s v="Low"/>
    <n v="0"/>
    <x v="1"/>
    <n v="14"/>
    <s v="High"/>
    <s v="Medium"/>
    <n v="1"/>
    <n v="3"/>
    <n v="2"/>
    <n v="3"/>
    <n v="2"/>
    <n v="2"/>
    <n v="2"/>
    <n v="2"/>
  </r>
  <r>
    <n v="1430"/>
    <n v="39"/>
    <s v="36-45"/>
    <x v="1"/>
    <s v="Travel_Rarely"/>
    <n v="1389"/>
    <x v="1"/>
    <n v="24"/>
    <s v="Low"/>
    <s v="Life Sciences"/>
    <s v="Low"/>
    <s v="Male"/>
    <n v="52"/>
    <s v="High"/>
    <s v="Medium"/>
    <s v="Research Scientist"/>
    <s v="Excellent"/>
    <s v="Single"/>
    <n v="4108"/>
    <n v="5340"/>
    <s v="Low"/>
    <n v="7"/>
    <x v="1"/>
    <n v="13"/>
    <s v="High"/>
    <s v="Low"/>
    <n v="0"/>
    <n v="18"/>
    <n v="2"/>
    <n v="3"/>
    <n v="7"/>
    <n v="7"/>
    <n v="1"/>
    <n v="7"/>
  </r>
  <r>
    <n v="1431"/>
    <n v="38"/>
    <s v="36-45"/>
    <x v="1"/>
    <s v="Travel_Rarely"/>
    <n v="1389"/>
    <x v="1"/>
    <n v="10"/>
    <s v="Medium"/>
    <s v="Medical"/>
    <s v="Medium"/>
    <s v="Female"/>
    <n v="99"/>
    <s v="Low"/>
    <s v="High"/>
    <s v="Research Director"/>
    <s v="High"/>
    <s v="Married"/>
    <n v="13206"/>
    <n v="3376"/>
    <s v="High"/>
    <n v="3"/>
    <x v="1"/>
    <n v="12"/>
    <s v="High"/>
    <s v="Low"/>
    <n v="1"/>
    <n v="20"/>
    <n v="3"/>
    <n v="3"/>
    <n v="18"/>
    <n v="16"/>
    <n v="1"/>
    <n v="11"/>
  </r>
  <r>
    <n v="1432"/>
    <n v="32"/>
    <s v="26-35"/>
    <x v="1"/>
    <s v="Travel_Rarely"/>
    <n v="1389"/>
    <x v="0"/>
    <n v="1"/>
    <s v="High"/>
    <s v="Marketing"/>
    <s v="High"/>
    <s v="Female"/>
    <n v="48"/>
    <s v="High"/>
    <s v="High"/>
    <s v="Sales Executive"/>
    <s v="Excellent"/>
    <s v="Married"/>
    <n v="10422"/>
    <n v="24032"/>
    <s v="High"/>
    <n v="1"/>
    <x v="1"/>
    <n v="19"/>
    <s v="High"/>
    <s v="High"/>
    <n v="2"/>
    <n v="14"/>
    <n v="3"/>
    <n v="3"/>
    <n v="14"/>
    <n v="10"/>
    <n v="5"/>
    <n v="7"/>
  </r>
  <r>
    <n v="1433"/>
    <n v="37"/>
    <s v="36-45"/>
    <x v="1"/>
    <s v="Travel_Rarely"/>
    <n v="1389"/>
    <x v="1"/>
    <n v="10"/>
    <s v="Medium"/>
    <s v="Life Sciences"/>
    <s v="High"/>
    <s v="Female"/>
    <n v="42"/>
    <s v="Excellent"/>
    <s v="High"/>
    <s v="Research Director"/>
    <s v="Excellent"/>
    <s v="Married"/>
    <n v="13744"/>
    <n v="15471"/>
    <s v="High"/>
    <n v="1"/>
    <x v="0"/>
    <n v="25"/>
    <s v="Excellent"/>
    <s v="Low"/>
    <n v="1"/>
    <n v="16"/>
    <n v="2"/>
    <n v="3"/>
    <n v="16"/>
    <n v="11"/>
    <n v="6"/>
    <n v="8"/>
  </r>
  <r>
    <n v="1434"/>
    <n v="25"/>
    <s v="18-25"/>
    <x v="1"/>
    <s v="Travel_Rarely"/>
    <n v="1389"/>
    <x v="0"/>
    <n v="8"/>
    <s v="Good"/>
    <s v="Other"/>
    <s v="Low"/>
    <s v="Female"/>
    <n v="85"/>
    <s v="High"/>
    <s v="Medium"/>
    <s v="Sales Executive"/>
    <s v="High"/>
    <s v="Divorced"/>
    <n v="4907"/>
    <n v="13684"/>
    <s v="Low"/>
    <n v="0"/>
    <x v="0"/>
    <n v="22"/>
    <s v="Excellent"/>
    <s v="Medium"/>
    <n v="1"/>
    <n v="6"/>
    <n v="3"/>
    <n v="2"/>
    <n v="5"/>
    <n v="3"/>
    <n v="0"/>
    <n v="4"/>
  </r>
  <r>
    <n v="1435"/>
    <n v="52"/>
    <s v="46-55"/>
    <x v="1"/>
    <s v="Non-Travel"/>
    <n v="1389"/>
    <x v="0"/>
    <n v="29"/>
    <s v="High"/>
    <s v="Life Sciences"/>
    <s v="Low"/>
    <s v="Male"/>
    <n v="40"/>
    <s v="High"/>
    <s v="Low"/>
    <s v="Sales Representative"/>
    <s v="Excellent"/>
    <s v="Divorced"/>
    <n v="3482"/>
    <n v="19788"/>
    <s v="Low"/>
    <n v="2"/>
    <x v="1"/>
    <n v="15"/>
    <s v="High"/>
    <s v="Medium"/>
    <n v="2"/>
    <n v="16"/>
    <n v="3"/>
    <n v="2"/>
    <n v="9"/>
    <n v="8"/>
    <n v="0"/>
    <n v="0"/>
  </r>
  <r>
    <n v="1436"/>
    <n v="44"/>
    <s v="36-45"/>
    <x v="1"/>
    <s v="Travel_Rarely"/>
    <n v="1389"/>
    <x v="1"/>
    <n v="1"/>
    <s v="Medium"/>
    <s v="Medical"/>
    <s v="Medium"/>
    <s v="Male"/>
    <n v="42"/>
    <s v="High"/>
    <s v="Low"/>
    <s v="Research Scientist"/>
    <s v="Excellent"/>
    <s v="Single"/>
    <n v="2436"/>
    <n v="13422"/>
    <s v="Low"/>
    <n v="6"/>
    <x v="0"/>
    <n v="12"/>
    <s v="High"/>
    <s v="High"/>
    <n v="0"/>
    <n v="6"/>
    <n v="2"/>
    <n v="3"/>
    <n v="4"/>
    <n v="3"/>
    <n v="1"/>
    <n v="2"/>
  </r>
  <r>
    <n v="1437"/>
    <n v="21"/>
    <s v="18-25"/>
    <x v="1"/>
    <s v="Travel_Rarely"/>
    <n v="1389"/>
    <x v="0"/>
    <n v="5"/>
    <s v="Low"/>
    <s v="Medical"/>
    <s v="High"/>
    <s v="Male"/>
    <n v="58"/>
    <s v="High"/>
    <s v="Low"/>
    <s v="Sales Representative"/>
    <s v="Low"/>
    <s v="Single"/>
    <n v="2380"/>
    <n v="25479"/>
    <s v="Low"/>
    <n v="1"/>
    <x v="0"/>
    <n v="11"/>
    <s v="High"/>
    <s v="Excellent"/>
    <n v="0"/>
    <n v="2"/>
    <n v="6"/>
    <n v="3"/>
    <n v="2"/>
    <n v="2"/>
    <n v="1"/>
    <n v="2"/>
  </r>
  <r>
    <n v="1438"/>
    <n v="39"/>
    <s v="36-45"/>
    <x v="1"/>
    <s v="Non-Travel"/>
    <n v="1389"/>
    <x v="1"/>
    <n v="9"/>
    <s v="Medium"/>
    <s v="Life Sciences"/>
    <s v="Excellent"/>
    <s v="Male"/>
    <n v="87"/>
    <s v="High"/>
    <e v="#N/A"/>
    <s v="Manager"/>
    <s v="Excellent"/>
    <s v="Single"/>
    <n v="19431"/>
    <n v="15302"/>
    <s v="High"/>
    <n v="2"/>
    <x v="1"/>
    <n v="13"/>
    <s v="High"/>
    <s v="High"/>
    <n v="0"/>
    <n v="21"/>
    <n v="3"/>
    <n v="2"/>
    <n v="6"/>
    <n v="0"/>
    <n v="1"/>
    <n v="3"/>
  </r>
  <r>
    <n v="1439"/>
    <n v="23"/>
    <s v="18-25"/>
    <x v="0"/>
    <s v="Travel_Frequently"/>
    <n v="1389"/>
    <x v="0"/>
    <n v="9"/>
    <s v="Medium"/>
    <s v="Marketing"/>
    <s v="Excellent"/>
    <s v="Male"/>
    <n v="33"/>
    <s v="High"/>
    <s v="Low"/>
    <s v="Sales Representative"/>
    <s v="Low"/>
    <s v="Married"/>
    <n v="1790"/>
    <n v="26956"/>
    <s v="Low"/>
    <n v="1"/>
    <x v="1"/>
    <n v="19"/>
    <s v="High"/>
    <s v="Low"/>
    <n v="1"/>
    <n v="1"/>
    <n v="3"/>
    <n v="2"/>
    <n v="1"/>
    <n v="0"/>
    <n v="1"/>
    <n v="0"/>
  </r>
  <r>
    <n v="1440"/>
    <n v="36"/>
    <s v="36-45"/>
    <x v="1"/>
    <s v="Travel_Rarely"/>
    <n v="1389"/>
    <x v="0"/>
    <n v="3"/>
    <s v="Medium"/>
    <s v="Medical"/>
    <s v="Low"/>
    <s v="Female"/>
    <n v="94"/>
    <s v="Medium"/>
    <s v="High"/>
    <s v="Sales Executive"/>
    <s v="Excellent"/>
    <s v="Married"/>
    <n v="7644"/>
    <n v="12695"/>
    <s v="Medium"/>
    <n v="0"/>
    <x v="1"/>
    <n v="19"/>
    <s v="High"/>
    <s v="High"/>
    <n v="2"/>
    <n v="10"/>
    <n v="2"/>
    <n v="3"/>
    <n v="9"/>
    <n v="7"/>
    <n v="3"/>
    <n v="4"/>
  </r>
  <r>
    <n v="1441"/>
    <n v="36"/>
    <s v="36-45"/>
    <x v="1"/>
    <s v="Travel_Frequently"/>
    <n v="1389"/>
    <x v="1"/>
    <n v="4"/>
    <s v="Good"/>
    <s v="Life Sciences"/>
    <s v="Excellent"/>
    <s v="Female"/>
    <n v="97"/>
    <s v="High"/>
    <s v="Medium"/>
    <s v="Manufacturing Director"/>
    <s v="Medium"/>
    <s v="Divorced"/>
    <n v="5131"/>
    <n v="9192"/>
    <s v="Medium"/>
    <n v="7"/>
    <x v="1"/>
    <n v="13"/>
    <s v="High"/>
    <s v="Medium"/>
    <n v="3"/>
    <n v="18"/>
    <n v="3"/>
    <n v="3"/>
    <n v="4"/>
    <n v="2"/>
    <n v="0"/>
    <n v="2"/>
  </r>
  <r>
    <n v="1442"/>
    <n v="56"/>
    <s v="55+"/>
    <x v="1"/>
    <s v="Non-Travel"/>
    <n v="1389"/>
    <x v="1"/>
    <n v="1"/>
    <s v="High"/>
    <s v="Life Sciences"/>
    <s v="High"/>
    <s v="Male"/>
    <n v="57"/>
    <s v="High"/>
    <s v="Medium"/>
    <s v="Healthcare Representative"/>
    <s v="High"/>
    <s v="Divorced"/>
    <n v="6306"/>
    <n v="26236"/>
    <s v="Medium"/>
    <n v="1"/>
    <x v="1"/>
    <n v="21"/>
    <s v="Excellent"/>
    <s v="Low"/>
    <n v="1"/>
    <n v="13"/>
    <n v="2"/>
    <n v="2"/>
    <n v="13"/>
    <n v="12"/>
    <n v="1"/>
    <n v="9"/>
  </r>
  <r>
    <n v="1443"/>
    <n v="29"/>
    <s v="26-35"/>
    <x v="0"/>
    <s v="Travel_Rarely"/>
    <n v="1389"/>
    <x v="1"/>
    <n v="1"/>
    <s v="High"/>
    <s v="Medical"/>
    <s v="Low"/>
    <s v="Male"/>
    <n v="36"/>
    <s v="High"/>
    <s v="Low"/>
    <s v="Research Scientist"/>
    <s v="Excellent"/>
    <s v="Married"/>
    <n v="4787"/>
    <n v="26124"/>
    <s v="Low"/>
    <n v="9"/>
    <x v="0"/>
    <n v="14"/>
    <s v="High"/>
    <s v="Medium"/>
    <n v="3"/>
    <n v="4"/>
    <n v="3"/>
    <n v="4"/>
    <n v="2"/>
    <n v="2"/>
    <n v="2"/>
    <n v="2"/>
  </r>
  <r>
    <n v="1444"/>
    <n v="42"/>
    <s v="36-45"/>
    <x v="1"/>
    <s v="Travel_Rarely"/>
    <n v="1389"/>
    <x v="1"/>
    <n v="2"/>
    <s v="Medium"/>
    <s v="Life Sciences"/>
    <s v="Low"/>
    <s v="Male"/>
    <n v="56"/>
    <s v="High"/>
    <e v="#N/A"/>
    <s v="Manager"/>
    <s v="High"/>
    <s v="Married"/>
    <n v="18880"/>
    <n v="17312"/>
    <s v="High"/>
    <n v="5"/>
    <x v="1"/>
    <n v="11"/>
    <s v="High"/>
    <s v="Low"/>
    <n v="0"/>
    <n v="24"/>
    <n v="2"/>
    <n v="2"/>
    <n v="22"/>
    <n v="6"/>
    <n v="4"/>
    <n v="14"/>
  </r>
  <r>
    <n v="1445"/>
    <n v="56"/>
    <s v="55+"/>
    <x v="0"/>
    <s v="Travel_Rarely"/>
    <n v="1389"/>
    <x v="1"/>
    <n v="7"/>
    <s v="Good"/>
    <s v="Technical Degree"/>
    <s v="Excellent"/>
    <s v="Male"/>
    <n v="72"/>
    <s v="High"/>
    <s v="Low"/>
    <s v="Laboratory Technician"/>
    <s v="High"/>
    <s v="Married"/>
    <n v="2339"/>
    <n v="3666"/>
    <s v="Low"/>
    <n v="8"/>
    <x v="1"/>
    <n v="11"/>
    <s v="High"/>
    <s v="Excellent"/>
    <n v="1"/>
    <n v="14"/>
    <n v="4"/>
    <n v="1"/>
    <n v="10"/>
    <n v="9"/>
    <n v="9"/>
    <n v="8"/>
  </r>
  <r>
    <n v="1446"/>
    <n v="41"/>
    <s v="36-45"/>
    <x v="1"/>
    <s v="Travel_Rarely"/>
    <n v="1389"/>
    <x v="1"/>
    <n v="28"/>
    <s v="High"/>
    <s v="Life Sciences"/>
    <s v="Low"/>
    <s v="Female"/>
    <n v="60"/>
    <s v="Medium"/>
    <s v="Excellent"/>
    <s v="Manufacturing Director"/>
    <s v="Medium"/>
    <s v="Married"/>
    <n v="13570"/>
    <n v="5640"/>
    <s v="High"/>
    <n v="0"/>
    <x v="1"/>
    <n v="23"/>
    <s v="Excellent"/>
    <s v="High"/>
    <n v="1"/>
    <n v="21"/>
    <n v="3"/>
    <n v="3"/>
    <n v="20"/>
    <n v="7"/>
    <n v="0"/>
    <n v="10"/>
  </r>
  <r>
    <n v="1447"/>
    <n v="34"/>
    <s v="26-35"/>
    <x v="1"/>
    <s v="Travel_Rarely"/>
    <n v="1389"/>
    <x v="0"/>
    <n v="28"/>
    <s v="Medium"/>
    <s v="Marketing"/>
    <s v="Excellent"/>
    <s v="Female"/>
    <n v="95"/>
    <s v="Medium"/>
    <s v="Medium"/>
    <s v="Sales Executive"/>
    <s v="High"/>
    <s v="Married"/>
    <n v="6712"/>
    <n v="8978"/>
    <s v="Medium"/>
    <n v="1"/>
    <x v="1"/>
    <n v="21"/>
    <s v="Excellent"/>
    <s v="Excellent"/>
    <n v="2"/>
    <n v="8"/>
    <n v="2"/>
    <n v="3"/>
    <n v="8"/>
    <n v="7"/>
    <n v="1"/>
    <n v="7"/>
  </r>
  <r>
    <n v="1448"/>
    <n v="36"/>
    <s v="36-45"/>
    <x v="1"/>
    <s v="Non-Travel"/>
    <n v="1389"/>
    <x v="0"/>
    <n v="15"/>
    <s v="High"/>
    <s v="Marketing"/>
    <s v="Excellent"/>
    <s v="Male"/>
    <n v="88"/>
    <s v="Low"/>
    <s v="Medium"/>
    <s v="Sales Executive"/>
    <s v="Excellent"/>
    <s v="Divorced"/>
    <n v="5406"/>
    <n v="10436"/>
    <s v="Medium"/>
    <n v="1"/>
    <x v="1"/>
    <n v="24"/>
    <s v="Excellent"/>
    <s v="Low"/>
    <n v="1"/>
    <n v="15"/>
    <n v="4"/>
    <n v="2"/>
    <n v="15"/>
    <n v="12"/>
    <n v="11"/>
    <n v="11"/>
  </r>
  <r>
    <n v="1449"/>
    <n v="41"/>
    <s v="36-45"/>
    <x v="1"/>
    <s v="Travel_Rarely"/>
    <n v="1389"/>
    <x v="0"/>
    <n v="3"/>
    <s v="Medium"/>
    <s v="Life Sciences"/>
    <s v="High"/>
    <s v="Male"/>
    <n v="57"/>
    <s v="Medium"/>
    <s v="Medium"/>
    <s v="Sales Executive"/>
    <s v="Medium"/>
    <s v="Divorced"/>
    <n v="8938"/>
    <n v="12227"/>
    <s v="Medium"/>
    <n v="2"/>
    <x v="1"/>
    <n v="11"/>
    <s v="High"/>
    <s v="High"/>
    <n v="1"/>
    <n v="14"/>
    <n v="5"/>
    <n v="3"/>
    <n v="5"/>
    <n v="4"/>
    <n v="0"/>
    <n v="4"/>
  </r>
  <r>
    <n v="1450"/>
    <n v="32"/>
    <s v="26-35"/>
    <x v="1"/>
    <s v="Travel_Rarely"/>
    <n v="1389"/>
    <x v="1"/>
    <n v="2"/>
    <s v="Medium"/>
    <s v="Technical Degree"/>
    <s v="Excellent"/>
    <s v="Male"/>
    <n v="78"/>
    <s v="High"/>
    <s v="Low"/>
    <s v="Research Scientist"/>
    <s v="Low"/>
    <s v="Single"/>
    <n v="2439"/>
    <n v="11288"/>
    <s v="Low"/>
    <n v="1"/>
    <x v="1"/>
    <n v="14"/>
    <s v="High"/>
    <s v="Excellent"/>
    <n v="0"/>
    <n v="4"/>
    <n v="4"/>
    <n v="3"/>
    <n v="4"/>
    <n v="2"/>
    <n v="1"/>
    <n v="2"/>
  </r>
  <r>
    <n v="1451"/>
    <n v="35"/>
    <s v="26-35"/>
    <x v="1"/>
    <s v="Travel_Rarely"/>
    <n v="1389"/>
    <x v="2"/>
    <n v="26"/>
    <s v="High"/>
    <s v="Life Sciences"/>
    <s v="High"/>
    <s v="Female"/>
    <n v="31"/>
    <s v="High"/>
    <s v="High"/>
    <s v="Human Resources"/>
    <s v="Excellent"/>
    <s v="Single"/>
    <n v="8837"/>
    <n v="16642"/>
    <s v="Medium"/>
    <n v="1"/>
    <x v="0"/>
    <n v="16"/>
    <s v="High"/>
    <s v="High"/>
    <n v="0"/>
    <n v="9"/>
    <n v="2"/>
    <n v="3"/>
    <n v="9"/>
    <n v="0"/>
    <n v="1"/>
    <n v="7"/>
  </r>
  <r>
    <n v="1452"/>
    <n v="38"/>
    <s v="36-45"/>
    <x v="1"/>
    <s v="Travel_Rarely"/>
    <n v="1389"/>
    <x v="0"/>
    <n v="10"/>
    <s v="Good"/>
    <s v="Life Sciences"/>
    <s v="Low"/>
    <s v="Female"/>
    <n v="100"/>
    <s v="High"/>
    <s v="Medium"/>
    <s v="Sales Executive"/>
    <s v="Excellent"/>
    <s v="Married"/>
    <n v="5343"/>
    <n v="5982"/>
    <s v="Medium"/>
    <n v="1"/>
    <x v="1"/>
    <n v="11"/>
    <s v="High"/>
    <s v="High"/>
    <n v="1"/>
    <n v="10"/>
    <n v="1"/>
    <n v="3"/>
    <n v="10"/>
    <n v="7"/>
    <n v="1"/>
    <n v="9"/>
  </r>
  <r>
    <n v="1453"/>
    <n v="50"/>
    <s v="46-55"/>
    <x v="0"/>
    <s v="Travel_Frequently"/>
    <n v="1389"/>
    <x v="0"/>
    <n v="1"/>
    <s v="High"/>
    <s v="Life Sciences"/>
    <s v="Medium"/>
    <s v="Male"/>
    <n v="94"/>
    <s v="High"/>
    <s v="Medium"/>
    <s v="Sales Executive"/>
    <s v="High"/>
    <s v="Divorced"/>
    <n v="6728"/>
    <n v="14255"/>
    <s v="Medium"/>
    <n v="7"/>
    <x v="1"/>
    <n v="12"/>
    <s v="High"/>
    <s v="Excellent"/>
    <n v="2"/>
    <n v="12"/>
    <n v="3"/>
    <n v="3"/>
    <n v="6"/>
    <n v="3"/>
    <n v="0"/>
    <n v="1"/>
  </r>
  <r>
    <n v="1454"/>
    <n v="36"/>
    <s v="36-45"/>
    <x v="1"/>
    <s v="Travel_Rarely"/>
    <n v="1389"/>
    <x v="0"/>
    <n v="11"/>
    <s v="High"/>
    <s v="Marketing"/>
    <s v="Medium"/>
    <s v="Female"/>
    <n v="100"/>
    <s v="Medium"/>
    <s v="Medium"/>
    <s v="Sales Executive"/>
    <s v="Excellent"/>
    <s v="Married"/>
    <n v="6652"/>
    <n v="14369"/>
    <s v="Medium"/>
    <n v="4"/>
    <x v="1"/>
    <n v="13"/>
    <s v="High"/>
    <s v="Low"/>
    <n v="1"/>
    <n v="8"/>
    <n v="2"/>
    <n v="2"/>
    <n v="6"/>
    <n v="3"/>
    <n v="0"/>
    <n v="0"/>
  </r>
  <r>
    <n v="1455"/>
    <n v="45"/>
    <s v="36-45"/>
    <x v="1"/>
    <s v="Travel_Rarely"/>
    <n v="1389"/>
    <x v="0"/>
    <n v="20"/>
    <s v="Medium"/>
    <s v="Life Sciences"/>
    <s v="Excellent"/>
    <s v="Female"/>
    <n v="50"/>
    <s v="High"/>
    <s v="Medium"/>
    <s v="Sales Executive"/>
    <s v="High"/>
    <s v="Single"/>
    <n v="4850"/>
    <n v="23333"/>
    <s v="Low"/>
    <n v="8"/>
    <x v="1"/>
    <n v="15"/>
    <s v="High"/>
    <s v="High"/>
    <n v="0"/>
    <n v="8"/>
    <n v="3"/>
    <n v="3"/>
    <n v="5"/>
    <n v="3"/>
    <n v="0"/>
    <n v="1"/>
  </r>
  <r>
    <n v="1456"/>
    <n v="40"/>
    <s v="36-45"/>
    <x v="1"/>
    <s v="Travel_Rarely"/>
    <n v="1389"/>
    <x v="1"/>
    <n v="2"/>
    <s v="High"/>
    <s v="Life Sciences"/>
    <s v="High"/>
    <s v="Male"/>
    <n v="52"/>
    <s v="Medium"/>
    <s v="Low"/>
    <s v="Research Scientist"/>
    <s v="High"/>
    <s v="Single"/>
    <n v="2809"/>
    <n v="2725"/>
    <s v="Low"/>
    <n v="2"/>
    <x v="1"/>
    <n v="14"/>
    <s v="High"/>
    <s v="Excellent"/>
    <n v="0"/>
    <n v="8"/>
    <n v="2"/>
    <n v="3"/>
    <n v="2"/>
    <n v="2"/>
    <n v="2"/>
    <n v="2"/>
  </r>
  <r>
    <n v="1457"/>
    <n v="35"/>
    <s v="26-35"/>
    <x v="1"/>
    <s v="Travel_Frequently"/>
    <n v="1389"/>
    <x v="1"/>
    <n v="18"/>
    <s v="High"/>
    <s v="Life Sciences"/>
    <s v="High"/>
    <s v="Male"/>
    <n v="80"/>
    <s v="High"/>
    <s v="Medium"/>
    <s v="Healthcare Representative"/>
    <s v="High"/>
    <s v="Married"/>
    <n v="5689"/>
    <n v="24594"/>
    <s v="Medium"/>
    <n v="1"/>
    <x v="0"/>
    <n v="14"/>
    <s v="High"/>
    <s v="Excellent"/>
    <n v="2"/>
    <n v="10"/>
    <n v="2"/>
    <n v="4"/>
    <n v="10"/>
    <n v="2"/>
    <n v="0"/>
    <n v="2"/>
  </r>
  <r>
    <n v="1458"/>
    <n v="40"/>
    <s v="36-45"/>
    <x v="1"/>
    <s v="Travel_Rarely"/>
    <n v="1389"/>
    <x v="1"/>
    <n v="2"/>
    <s v="High"/>
    <s v="Medical"/>
    <s v="High"/>
    <s v="Female"/>
    <n v="98"/>
    <s v="High"/>
    <s v="Low"/>
    <s v="Research Scientist"/>
    <s v="High"/>
    <s v="Married"/>
    <n v="2001"/>
    <n v="12549"/>
    <s v="Low"/>
    <n v="2"/>
    <x v="1"/>
    <n v="14"/>
    <s v="High"/>
    <s v="Medium"/>
    <n v="3"/>
    <n v="20"/>
    <n v="2"/>
    <n v="3"/>
    <n v="5"/>
    <n v="3"/>
    <n v="0"/>
    <n v="2"/>
  </r>
  <r>
    <n v="1459"/>
    <n v="35"/>
    <s v="26-35"/>
    <x v="1"/>
    <s v="Travel_Rarely"/>
    <n v="1389"/>
    <x v="1"/>
    <n v="1"/>
    <s v="High"/>
    <s v="Life Sciences"/>
    <s v="High"/>
    <s v="Female"/>
    <n v="62"/>
    <s v="Low"/>
    <s v="Low"/>
    <s v="Research Scientist"/>
    <s v="Excellent"/>
    <s v="Married"/>
    <n v="2977"/>
    <n v="8952"/>
    <s v="Low"/>
    <n v="1"/>
    <x v="1"/>
    <n v="12"/>
    <s v="High"/>
    <s v="Excellent"/>
    <n v="1"/>
    <n v="4"/>
    <n v="5"/>
    <n v="3"/>
    <n v="4"/>
    <n v="3"/>
    <n v="1"/>
    <n v="1"/>
  </r>
  <r>
    <n v="1460"/>
    <n v="29"/>
    <s v="26-35"/>
    <x v="1"/>
    <s v="Travel_Rarely"/>
    <n v="1389"/>
    <x v="1"/>
    <n v="13"/>
    <s v="Good"/>
    <s v="Other"/>
    <s v="Excellent"/>
    <s v="Male"/>
    <n v="46"/>
    <s v="Medium"/>
    <s v="Medium"/>
    <s v="Laboratory Technician"/>
    <s v="Medium"/>
    <s v="Married"/>
    <n v="4025"/>
    <n v="23679"/>
    <s v="Low"/>
    <n v="4"/>
    <x v="0"/>
    <n v="13"/>
    <s v="High"/>
    <s v="Low"/>
    <n v="1"/>
    <n v="10"/>
    <n v="2"/>
    <n v="3"/>
    <n v="4"/>
    <n v="3"/>
    <n v="0"/>
    <n v="3"/>
  </r>
  <r>
    <n v="1461"/>
    <n v="29"/>
    <s v="26-35"/>
    <x v="1"/>
    <s v="Travel_Rarely"/>
    <n v="1389"/>
    <x v="1"/>
    <n v="28"/>
    <s v="High"/>
    <s v="Medical"/>
    <s v="Excellent"/>
    <s v="Female"/>
    <n v="73"/>
    <s v="Medium"/>
    <s v="Low"/>
    <s v="Research Scientist"/>
    <s v="Low"/>
    <s v="Single"/>
    <n v="3785"/>
    <n v="8489"/>
    <s v="Low"/>
    <n v="1"/>
    <x v="1"/>
    <n v="14"/>
    <s v="High"/>
    <s v="Medium"/>
    <n v="0"/>
    <n v="5"/>
    <n v="3"/>
    <n v="1"/>
    <n v="5"/>
    <n v="4"/>
    <n v="0"/>
    <n v="4"/>
  </r>
  <r>
    <n v="1462"/>
    <n v="50"/>
    <s v="46-55"/>
    <x v="0"/>
    <s v="Travel_Rarely"/>
    <n v="1389"/>
    <x v="0"/>
    <n v="28"/>
    <s v="Medium"/>
    <s v="Marketing"/>
    <s v="Excellent"/>
    <s v="Male"/>
    <n v="39"/>
    <s v="Medium"/>
    <s v="High"/>
    <s v="Sales Executive"/>
    <s v="Low"/>
    <s v="Divorced"/>
    <n v="10854"/>
    <n v="16586"/>
    <s v="High"/>
    <n v="4"/>
    <x v="0"/>
    <n v="13"/>
    <s v="High"/>
    <s v="Medium"/>
    <n v="1"/>
    <n v="20"/>
    <n v="3"/>
    <n v="3"/>
    <n v="3"/>
    <n v="2"/>
    <n v="2"/>
    <n v="0"/>
  </r>
  <r>
    <n v="1463"/>
    <n v="39"/>
    <s v="36-45"/>
    <x v="1"/>
    <s v="Travel_Rarely"/>
    <n v="1389"/>
    <x v="0"/>
    <n v="24"/>
    <s v="Low"/>
    <s v="Marketing"/>
    <s v="Medium"/>
    <s v="Female"/>
    <n v="60"/>
    <s v="Medium"/>
    <s v="Excellent"/>
    <s v="Sales Executive"/>
    <s v="Excellent"/>
    <s v="Married"/>
    <n v="12031"/>
    <n v="8828"/>
    <s v="High"/>
    <n v="0"/>
    <x v="1"/>
    <n v="11"/>
    <s v="High"/>
    <s v="Low"/>
    <n v="1"/>
    <n v="21"/>
    <n v="2"/>
    <n v="2"/>
    <n v="20"/>
    <n v="9"/>
    <n v="9"/>
    <n v="6"/>
  </r>
  <r>
    <n v="1464"/>
    <n v="31"/>
    <s v="26-35"/>
    <x v="1"/>
    <s v="Non-Travel"/>
    <n v="1389"/>
    <x v="1"/>
    <n v="5"/>
    <s v="Medium"/>
    <s v="Medical"/>
    <s v="Medium"/>
    <s v="Male"/>
    <n v="74"/>
    <s v="High"/>
    <s v="Medium"/>
    <s v="Manufacturing Director"/>
    <s v="Low"/>
    <s v="Single"/>
    <n v="9936"/>
    <n v="3787"/>
    <s v="Medium"/>
    <n v="0"/>
    <x v="1"/>
    <n v="19"/>
    <s v="High"/>
    <s v="Medium"/>
    <n v="0"/>
    <n v="10"/>
    <n v="2"/>
    <n v="3"/>
    <n v="9"/>
    <n v="4"/>
    <n v="1"/>
    <n v="7"/>
  </r>
  <r>
    <n v="1465"/>
    <n v="26"/>
    <s v="26-35"/>
    <x v="1"/>
    <s v="Travel_Rarely"/>
    <n v="1389"/>
    <x v="0"/>
    <n v="5"/>
    <s v="Medium"/>
    <s v="Other"/>
    <s v="Excellent"/>
    <s v="Female"/>
    <n v="30"/>
    <s v="Medium"/>
    <s v="Low"/>
    <s v="Sales Representative"/>
    <s v="High"/>
    <s v="Single"/>
    <n v="2966"/>
    <n v="21378"/>
    <s v="Low"/>
    <n v="0"/>
    <x v="1"/>
    <n v="18"/>
    <s v="High"/>
    <s v="Excellent"/>
    <n v="0"/>
    <n v="5"/>
    <n v="2"/>
    <n v="3"/>
    <n v="4"/>
    <n v="2"/>
    <n v="0"/>
    <n v="0"/>
  </r>
  <r>
    <n v="1466"/>
    <n v="36"/>
    <s v="36-45"/>
    <x v="1"/>
    <s v="Travel_Frequently"/>
    <n v="1389"/>
    <x v="1"/>
    <n v="23"/>
    <s v="Good"/>
    <s v="Medical"/>
    <s v="High"/>
    <s v="Male"/>
    <n v="41"/>
    <s v="Excellent"/>
    <s v="Medium"/>
    <s v="Laboratory Technician"/>
    <s v="Excellent"/>
    <s v="Married"/>
    <n v="2571"/>
    <n v="12290"/>
    <s v="Low"/>
    <n v="4"/>
    <x v="1"/>
    <n v="17"/>
    <s v="High"/>
    <s v="High"/>
    <n v="1"/>
    <n v="17"/>
    <n v="3"/>
    <n v="3"/>
    <n v="5"/>
    <n v="2"/>
    <n v="0"/>
    <n v="3"/>
  </r>
  <r>
    <n v="1467"/>
    <n v="39"/>
    <s v="36-45"/>
    <x v="1"/>
    <s v="Travel_Rarely"/>
    <n v="1389"/>
    <x v="1"/>
    <n v="6"/>
    <s v="Low"/>
    <s v="Medical"/>
    <s v="Excellent"/>
    <s v="Male"/>
    <n v="42"/>
    <s v="Medium"/>
    <s v="High"/>
    <s v="Healthcare Representative"/>
    <s v="Low"/>
    <s v="Married"/>
    <n v="9991"/>
    <n v="21457"/>
    <s v="Medium"/>
    <n v="4"/>
    <x v="1"/>
    <n v="15"/>
    <s v="High"/>
    <s v="Low"/>
    <n v="1"/>
    <n v="9"/>
    <n v="5"/>
    <n v="3"/>
    <n v="7"/>
    <n v="7"/>
    <n v="1"/>
    <n v="7"/>
  </r>
  <r>
    <n v="1468"/>
    <n v="27"/>
    <s v="26-35"/>
    <x v="1"/>
    <s v="Travel_Rarely"/>
    <n v="1389"/>
    <x v="1"/>
    <n v="4"/>
    <s v="Medium"/>
    <s v="Life Sciences"/>
    <s v="Medium"/>
    <s v="Male"/>
    <n v="87"/>
    <s v="Excellent"/>
    <s v="Medium"/>
    <s v="Manufacturing Director"/>
    <s v="Medium"/>
    <s v="Married"/>
    <n v="6142"/>
    <n v="5174"/>
    <s v="Medium"/>
    <n v="1"/>
    <x v="0"/>
    <n v="20"/>
    <s v="Excellent"/>
    <s v="Medium"/>
    <n v="1"/>
    <n v="6"/>
    <n v="0"/>
    <n v="3"/>
    <n v="6"/>
    <n v="2"/>
    <n v="0"/>
    <n v="3"/>
  </r>
  <r>
    <n v="1469"/>
    <n v="49"/>
    <s v="46-55"/>
    <x v="1"/>
    <s v="Travel_Frequently"/>
    <n v="1389"/>
    <x v="0"/>
    <n v="2"/>
    <s v="Medium"/>
    <s v="Medical"/>
    <s v="Excellent"/>
    <s v="Male"/>
    <n v="63"/>
    <s v="Medium"/>
    <s v="Medium"/>
    <s v="Sales Executive"/>
    <s v="Medium"/>
    <s v="Married"/>
    <n v="5390"/>
    <n v="13243"/>
    <s v="Medium"/>
    <n v="2"/>
    <x v="1"/>
    <n v="14"/>
    <s v="High"/>
    <s v="Excellent"/>
    <n v="0"/>
    <n v="17"/>
    <n v="3"/>
    <n v="2"/>
    <n v="9"/>
    <n v="6"/>
    <n v="0"/>
    <n v="8"/>
  </r>
  <r>
    <n v="1470"/>
    <n v="34"/>
    <s v="26-35"/>
    <x v="1"/>
    <s v="Travel_Rarely"/>
    <n v="1389"/>
    <x v="1"/>
    <n v="8"/>
    <s v="Medium"/>
    <s v="Medical"/>
    <s v="Medium"/>
    <s v="Male"/>
    <n v="82"/>
    <s v="Excellent"/>
    <s v="Medium"/>
    <s v="Laboratory Technician"/>
    <s v="High"/>
    <s v="Married"/>
    <n v="4404"/>
    <n v="10228"/>
    <s v="Low"/>
    <n v="2"/>
    <x v="1"/>
    <n v="12"/>
    <s v="High"/>
    <s v="Low"/>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AE84B1-D2EA-42FD-B17C-9C71A35A2FFF}"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Tenture" colHeaderCaption="Attrition">
  <location ref="A32:C3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2">
    <i>
      <x/>
    </i>
    <i>
      <x v="1"/>
    </i>
  </colItems>
  <dataFields count="1">
    <dataField name="Employess" fld="2"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Employess"/>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Clean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BDAD7-AE8F-46F7-85FA-3393DE1E8B2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Over Time" colHeaderCaption="Attrition">
  <location ref="A22:C25" firstHeaderRow="1" firstDataRow="2" firstDataCol="1"/>
  <pivotFields count="34">
    <pivotField dataField="1" showAll="0"/>
    <pivotField showAll="0"/>
    <pivotField showAll="0"/>
    <pivotField axis="axisCol" showAll="0">
      <items count="3">
        <item x="1"/>
        <item x="0"/>
        <item t="default"/>
      </items>
    </pivotField>
    <pivotField showAll="0"/>
    <pivotField numFmtId="166" showAll="0"/>
    <pivotField showAll="0">
      <items count="4">
        <item x="2"/>
        <item x="1"/>
        <item x="0"/>
        <item t="default"/>
      </items>
    </pivotField>
    <pivotField numFmtId="164" showAll="0"/>
    <pivotField showAll="0"/>
    <pivotField showAll="0"/>
    <pivotField showAll="0"/>
    <pivotField showAll="0"/>
    <pivotField numFmtId="166" showAll="0"/>
    <pivotField showAll="0"/>
    <pivotField showAll="0"/>
    <pivotField showAll="0"/>
    <pivotField showAll="0"/>
    <pivotField showAll="0"/>
    <pivotField numFmtId="166" showAll="0"/>
    <pivotField numFmtId="166" showAll="0"/>
    <pivotField showAll="0"/>
    <pivotField showAll="0"/>
    <pivotField axis="axisRow" showAll="0">
      <items count="3">
        <item x="1"/>
        <item x="0"/>
        <item t="default"/>
      </items>
    </pivotField>
    <pivotField numFmtId="165" showAll="0"/>
    <pivotField showAll="0"/>
    <pivotField showAll="0"/>
    <pivotField showAll="0"/>
    <pivotField showAll="0"/>
    <pivotField showAll="0"/>
    <pivotField showAll="0"/>
    <pivotField showAll="0"/>
    <pivotField showAll="0"/>
    <pivotField showAll="0"/>
    <pivotField showAll="0"/>
  </pivotFields>
  <rowFields count="1">
    <field x="22"/>
  </rowFields>
  <rowItems count="2">
    <i>
      <x/>
    </i>
    <i>
      <x v="1"/>
    </i>
  </rowItems>
  <colFields count="1">
    <field x="3"/>
  </colFields>
  <colItems count="2">
    <i>
      <x/>
    </i>
    <i>
      <x v="1"/>
    </i>
  </colItems>
  <dataFields count="1">
    <dataField name="Employees" fld="0" subtotal="count" baseField="22" baseItem="0"/>
  </dataFields>
  <chartFormats count="4">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C766C-63AE-4196-91A2-8B198AC36A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4">
    <pivotField dataField="1" showAll="0"/>
    <pivotField showAll="0"/>
    <pivotField showAll="0"/>
    <pivotField showAll="0"/>
    <pivotField showAll="0"/>
    <pivotField numFmtId="166" showAll="0"/>
    <pivotField showAll="0"/>
    <pivotField numFmtId="164" showAll="0"/>
    <pivotField showAll="0"/>
    <pivotField showAll="0"/>
    <pivotField showAll="0"/>
    <pivotField showAll="0"/>
    <pivotField numFmtId="166" showAll="0"/>
    <pivotField showAll="0"/>
    <pivotField showAll="0"/>
    <pivotField showAll="0"/>
    <pivotField showAll="0"/>
    <pivotField showAll="0"/>
    <pivotField dataField="1" numFmtId="166" showAll="0"/>
    <pivotField numFmtId="166"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Total Employees" fld="0" subtotal="count" baseField="0" baseItem="0"/>
    <dataField name="Average of MonthlyIncome" fld="18" subtotal="average" baseField="0"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7A02DB-A799-46D6-A59F-61F359CF4D33}"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nture" colHeaderCaption="Attrition">
  <location ref="A68:C73"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Fields count="1">
    <field x="0"/>
  </colFields>
  <colItems count="2">
    <i>
      <x/>
    </i>
    <i>
      <x v="1"/>
    </i>
  </colItems>
  <dataFields count="1">
    <dataField name="Employess"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Employess"/>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Clean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9A2AC7-085B-4448-B1FF-54FC7AB74768}"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Job Satisfaction" colHeaderCaption="Attrition">
  <location ref="A56:C6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Fields count="1">
    <field x="0"/>
  </colFields>
  <colItems count="2">
    <i>
      <x/>
    </i>
    <i>
      <x v="1"/>
    </i>
  </colItems>
  <dataFields count="1">
    <dataField name="Employess" fld="1" subtotal="count"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3">
          <reference field="4294967294" count="1" selected="0">
            <x v="0"/>
          </reference>
          <reference field="0" count="1" selected="0">
            <x v="1"/>
          </reference>
          <reference field="2" count="1" selected="0">
            <x v="1"/>
          </reference>
        </references>
      </pivotArea>
    </chartFormat>
    <chartFormat chart="2" format="7">
      <pivotArea type="data" outline="0" fieldPosition="0">
        <references count="3">
          <reference field="4294967294" count="1" selected="0">
            <x v="0"/>
          </reference>
          <reference field="0" count="1" selected="0">
            <x v="1"/>
          </reference>
          <reference field="2" count="1" selected="0">
            <x v="3"/>
          </reference>
        </references>
      </pivotArea>
    </chartFormat>
    <chartFormat chart="2" format="8">
      <pivotArea type="data" outline="0" fieldPosition="0">
        <references count="3">
          <reference field="4294967294" count="1" selected="0">
            <x v="0"/>
          </reference>
          <reference field="0" count="1" selected="0">
            <x v="1"/>
          </reference>
          <reference field="2" count="1" selected="0">
            <x v="2"/>
          </reference>
        </references>
      </pivotArea>
    </chartFormat>
    <chartFormat chart="2" format="9">
      <pivotArea type="data" outline="0" fieldPosition="0">
        <references count="3">
          <reference field="4294967294" count="1" selected="0">
            <x v="0"/>
          </reference>
          <reference field="0" count="1" selected="0">
            <x v="1"/>
          </reference>
          <reference field="2" count="1" selected="0">
            <x v="0"/>
          </reference>
        </references>
      </pivotArea>
    </chartFormat>
    <chartFormat chart="2" format="10">
      <pivotArea type="data" outline="0" fieldPosition="0">
        <references count="3">
          <reference field="4294967294" count="1" selected="0">
            <x v="0"/>
          </reference>
          <reference field="0" count="1" selected="0">
            <x v="0"/>
          </reference>
          <reference field="2" count="1" selected="0">
            <x v="2"/>
          </reference>
        </references>
      </pivotArea>
    </chartFormat>
    <chartFormat chart="2" format="11">
      <pivotArea type="data" outline="0" fieldPosition="0">
        <references count="3">
          <reference field="4294967294" count="1" selected="0">
            <x v="0"/>
          </reference>
          <reference field="0" count="1" selected="0">
            <x v="0"/>
          </reference>
          <reference field="2" count="1" selected="0">
            <x v="3"/>
          </reference>
        </references>
      </pivotArea>
    </chartFormat>
    <chartFormat chart="2" format="12">
      <pivotArea type="data" outline="0" fieldPosition="0">
        <references count="3">
          <reference field="4294967294" count="1" selected="0">
            <x v="0"/>
          </reference>
          <reference field="0" count="1" selected="0">
            <x v="0"/>
          </reference>
          <reference field="2" count="1" selected="0">
            <x v="1"/>
          </reference>
        </references>
      </pivotArea>
    </chartFormat>
    <chartFormat chart="2" format="13">
      <pivotArea type="data" outline="0" fieldPosition="0">
        <references count="3">
          <reference field="4294967294" count="1" selected="0">
            <x v="0"/>
          </reference>
          <reference field="0" count="1" selected="0">
            <x v="0"/>
          </reference>
          <reference field="2"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Employess"/>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Clean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6ABE25-5117-477E-B637-2E8E84E6889B}"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nture" colHeaderCaption="Attrition">
  <location ref="A45:C49"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Fields count="1">
    <field x="0"/>
  </colFields>
  <colItems count="2">
    <i>
      <x/>
    </i>
    <i>
      <x v="1"/>
    </i>
  </colItems>
  <dataFields count="1">
    <dataField name="Employess"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Employess"/>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Cleane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F34799-2C8C-4FFD-9BA6-EDB3F1EBA1CF}" sourceName="[Table3].[Gender]">
  <pivotTables>
    <pivotTable tabId="6" name="PivotTable5"/>
    <pivotTable tabId="6" name="PivotTable6"/>
    <pivotTable tabId="6" name="PivotTable7"/>
    <pivotTable tabId="6" name="PivotTable8"/>
  </pivotTables>
  <data>
    <olap pivotCacheId="1878163705">
      <levels count="2">
        <level uniqueName="[Table3].[Gender].[(All)]" sourceCaption="(All)" count="0"/>
        <level uniqueName="[Table3].[Gender].[Gender]" sourceCaption="Gender" count="2">
          <ranges>
            <range startItem="0">
              <i n="[Table3].[Gender].&amp;[Female]" c="Female"/>
              <i n="[Table3].[Gender].&amp;[Male]" c="Male"/>
            </range>
          </ranges>
        </level>
      </levels>
      <selections count="1">
        <selection n="[Table3].[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06E29086-C4F0-49B6-A312-C678B6663954}" sourceName="[Table3].[OverTime]">
  <pivotTables>
    <pivotTable tabId="6" name="PivotTable5"/>
    <pivotTable tabId="6" name="PivotTable6"/>
    <pivotTable tabId="6" name="PivotTable7"/>
    <pivotTable tabId="6" name="PivotTable8"/>
  </pivotTables>
  <data>
    <olap pivotCacheId="1878163705">
      <levels count="2">
        <level uniqueName="[Table3].[OverTime].[(All)]" sourceCaption="(All)" count="0"/>
        <level uniqueName="[Table3].[OverTime].[OverTime]" sourceCaption="OverTime" count="2">
          <ranges>
            <range startItem="0">
              <i n="[Table3].[OverTime].&amp;[No]" c="No"/>
              <i n="[Table3].[OverTime].&amp;[Yes]" c="Yes"/>
            </range>
          </ranges>
        </level>
      </levels>
      <selections count="1">
        <selection n="[Table3].[Over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Band" xr10:uid="{7B533D4A-FD26-4169-99CC-A861793BF832}" sourceName="[Table3].[SalaryBand]">
  <pivotTables>
    <pivotTable tabId="6" name="PivotTable5"/>
    <pivotTable tabId="6" name="PivotTable6"/>
    <pivotTable tabId="6" name="PivotTable7"/>
    <pivotTable tabId="6" name="PivotTable8"/>
  </pivotTables>
  <data>
    <olap pivotCacheId="1878163705">
      <levels count="2">
        <level uniqueName="[Table3].[SalaryBand].[(All)]" sourceCaption="(All)" count="0"/>
        <level uniqueName="[Table3].[SalaryBand].[SalaryBand]" sourceCaption="SalaryBand" count="3">
          <ranges>
            <range startItem="0">
              <i n="[Table3].[SalaryBand].&amp;[High]" c="High"/>
              <i n="[Table3].[SalaryBand].&amp;[Low]" c="Low"/>
              <i n="[Table3].[SalaryBand].&amp;[Medium]" c="Medium"/>
            </range>
          </ranges>
        </level>
      </levels>
      <selections count="1">
        <selection n="[Table3].[SalaryB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B39EC85-D9C3-446C-AF1E-411E6DF02336}" sourceName="[Table3].[MaritalStatus]">
  <pivotTables>
    <pivotTable tabId="6" name="PivotTable5"/>
    <pivotTable tabId="6" name="PivotTable6"/>
    <pivotTable tabId="6" name="PivotTable7"/>
    <pivotTable tabId="6" name="PivotTable8"/>
  </pivotTables>
  <data>
    <olap pivotCacheId="1878163705">
      <levels count="2">
        <level uniqueName="[Table3].[MaritalStatus].[(All)]" sourceCaption="(All)" count="0"/>
        <level uniqueName="[Table3].[MaritalStatus].[MaritalStatus]" sourceCaption="MaritalStatus" count="3">
          <ranges>
            <range startItem="0">
              <i n="[Table3].[MaritalStatus].&amp;[Divorced]" c="Divorced"/>
              <i n="[Table3].[MaritalStatus].&amp;[Married]" c="Married"/>
              <i n="[Table3].[MaritalStatus].&amp;[Single]" c="Single"/>
            </range>
          </ranges>
        </level>
      </levels>
      <selections count="1">
        <selection n="[Table3].[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17D1A70-3590-49A1-A074-DB68FAA809F1}" cache="Slicer_Gender" caption="Gender" level="1" rowHeight="241300"/>
  <slicer name="OverTime 2" xr10:uid="{2824F865-BD77-431B-85CE-30FAEB193B90}" cache="Slicer_OverTime" caption="OverTime" level="1" rowHeight="241300"/>
  <slicer name="SalaryBand 2" xr10:uid="{13992DD8-FD4C-4938-8AD0-1399988E035E}" cache="Slicer_SalaryBand" caption="SalaryBand" level="1" rowHeight="241300"/>
  <slicer name="MaritalStatus 2" xr10:uid="{DD4D7E2C-C947-4918-83F4-BB6F09EFAF1E}" cache="Slicer_MaritalStatus" caption="Marital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75D3EA6-3883-4CFB-A3E0-E288234FBE29}" cache="Slicer_Gender" caption="Gender" level="1" style="Slicer Style 1" rowHeight="241300"/>
  <slicer name="OverTime 1" xr10:uid="{357F303F-EFF3-4A42-BA86-F887AB1C4A52}" cache="Slicer_OverTime" caption="OverTime" level="1" style="Slicer Style 1" rowHeight="241300"/>
  <slicer name="SalaryBand 1" xr10:uid="{9BEC3CD4-D6AD-463B-8449-AC6E4D9730A2}" cache="Slicer_SalaryBand" caption="SalaryBand" level="1" style="Slicer Style 1" rowHeight="241300"/>
  <slicer name="MaritalStatus 1" xr10:uid="{BD657FD5-B0DA-4DB2-98A1-A1D7EB7D0982}" cache="Slicer_MaritalStatus" caption="MaritalStatus"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FEBE35-86F6-428D-B806-76579FFC4484}" name="Table3" displayName="Table3" ref="A1:AJ1471" totalsRowShown="0" headerRowDxfId="9">
  <autoFilter ref="A1:AJ1471" xr:uid="{31FEBE35-86F6-428D-B806-76579FFC4484}"/>
  <tableColumns count="36">
    <tableColumn id="1" xr3:uid="{044B27A7-BACD-441A-AF5D-0365994B4FFA}" name="index"/>
    <tableColumn id="2" xr3:uid="{BF285571-5DB7-4E0D-BE83-7E9B7AD86495}" name="Age"/>
    <tableColumn id="3" xr3:uid="{C1A0BD0B-6134-489A-8B54-87B5125C3842}" name="Age Groups">
      <calculatedColumnFormula>IF(B2&lt;=25,"18-25",
IF(B2&lt;=35,"26-35",
IF(B2&lt;=45,"36-45",
IF(B2&lt;=55,"46-55","55+"))))</calculatedColumnFormula>
    </tableColumn>
    <tableColumn id="4" xr3:uid="{E36F2D79-AA8F-4F75-8DF8-0E9CBCF556FC}" name="Attrition"/>
    <tableColumn id="5" xr3:uid="{A37D6317-1CA7-4EFD-8743-3403116B1F67}" name="BusinessTravel"/>
    <tableColumn id="6" xr3:uid="{5427B632-3D72-4E9F-BCF6-92D69C123906}" name="DailyRate" dataDxfId="8"/>
    <tableColumn id="7" xr3:uid="{E77E77BF-6C96-4315-9F20-F71810EE95CA}" name="Department"/>
    <tableColumn id="8" xr3:uid="{C98A6EAB-E77B-43DC-859F-D601A4ADB1F2}" name="DistanceFromHome" dataDxfId="7"/>
    <tableColumn id="9" xr3:uid="{A6803DEF-7C7F-46CF-8E76-3A76D228F546}" name="Education"/>
    <tableColumn id="10" xr3:uid="{EA5C7389-E9D5-431E-A21D-3706AE181FAE}" name="EducationField"/>
    <tableColumn id="11" xr3:uid="{D302092E-47B4-4E22-A5E6-85639462ECFC}" name="EnvironmentSatisfaction"/>
    <tableColumn id="12" xr3:uid="{B87135D0-773F-4BDE-9D09-5B45C2CDC5C3}" name="Gender"/>
    <tableColumn id="13" xr3:uid="{E3F540E8-B191-43C8-9734-8243E9B7012E}" name="HourlyRate" dataDxfId="6"/>
    <tableColumn id="14" xr3:uid="{51AEFDF6-144B-458F-92B7-4C4D54309A38}" name="JobInvolvement"/>
    <tableColumn id="15" xr3:uid="{4CC0209F-81C5-4AF4-BA2D-21480B7F1B6A}" name="JobLevel"/>
    <tableColumn id="16" xr3:uid="{65DE7C75-803C-421B-AFC1-1C756B7766A4}" name="JobRole"/>
    <tableColumn id="17" xr3:uid="{5590FB6A-C9AB-4B9B-8495-E6F79AA9C3FE}" name="JobSatisfaction"/>
    <tableColumn id="18" xr3:uid="{56952104-1904-4E03-878A-4295368A86D8}" name="MaritalStatus"/>
    <tableColumn id="19" xr3:uid="{FBF34AA6-B8F5-4993-9142-6C888A164B15}" name="MonthlyIncome" dataDxfId="5"/>
    <tableColumn id="20" xr3:uid="{AAC74E6B-D8AA-41DD-AF81-789FD4B5D5FB}" name="MonthlyRate" dataDxfId="4"/>
    <tableColumn id="21" xr3:uid="{AEE44FA8-8239-4B39-A205-9629AC718012}" name="SalaryBand" dataDxfId="3">
      <calculatedColumnFormula>_xlfn.IFS(S2&lt;5000,"Low",S2&lt;10000,"Medium",S2&gt;10000,"High")</calculatedColumnFormula>
    </tableColumn>
    <tableColumn id="22" xr3:uid="{91FA2DAD-A389-4CD3-A4D7-31C0E0A9F406}" name="NumCompaniesWorked"/>
    <tableColumn id="23" xr3:uid="{8E7E8A16-93FC-43A5-890C-046E84203D4A}" name="OverTime"/>
    <tableColumn id="24" xr3:uid="{5F74C67F-7849-4AC6-AA01-FDA736526FE2}" name="PercentSalaryHike" dataDxfId="2"/>
    <tableColumn id="25" xr3:uid="{EF12CBF6-057A-4011-A056-352FFC1710D6}" name="PerformanceRating"/>
    <tableColumn id="26" xr3:uid="{B7C0146D-EF7C-4840-8206-DC72BD3FAEC0}" name="RelationshipSatisfaction"/>
    <tableColumn id="27" xr3:uid="{4D680F7E-06C5-4386-9C42-68A3507BF123}" name="StockOptionLevel"/>
    <tableColumn id="28" xr3:uid="{B7FA3543-5119-4481-B23E-207EB8492779}" name="TotalWorkingYears"/>
    <tableColumn id="29" xr3:uid="{7B5AB15D-EA1A-40F9-A308-9123E8738151}" name="TrainingTimesLastYear"/>
    <tableColumn id="30" xr3:uid="{53FC7E89-6349-4B8D-9ED1-E1C3F26F63EC}" name="WorkLifeBalance"/>
    <tableColumn id="31" xr3:uid="{743A62B9-E030-4B7F-9815-D8E9AB2A4921}" name="YearsAtCompany"/>
    <tableColumn id="32" xr3:uid="{F2B4C2DD-7891-487A-AB7D-801859E330CF}" name="YearsInCurrentRole"/>
    <tableColumn id="33" xr3:uid="{26FA03B2-06BE-4960-9C2D-E6AF8ADE5366}" name="YearsSinceLastPromotion"/>
    <tableColumn id="34" xr3:uid="{8D57D7C5-8D0D-49DB-941C-F15CBEDB8BFC}" name="YearsWithCurrManager"/>
    <tableColumn id="35" xr3:uid="{2A0386E4-2F35-4FEB-A99A-E292AA20E56D}" name="Tenture" dataDxfId="1">
      <calculatedColumnFormula>IF(AE2&lt;=2,"0-2 Years",
IF(AE2&lt;=5,"3-5 Years",
IF(AE2&lt;=10,"6-10 Years","10+ Years")))</calculatedColumnFormula>
    </tableColumn>
    <tableColumn id="36" xr3:uid="{346280E3-63AC-4DD4-9E18-63BC1526B07D}" name="YearsSinceLastPromotion2" dataDxfId="0">
      <calculatedColumnFormula>IF(AG2&lt;=2,"0-2",
IF(AG2&lt;=5,"3-5","6+"))</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5AEF-952E-4402-9A4C-784FCDD324DB}">
  <dimension ref="A1:AJ1471"/>
  <sheetViews>
    <sheetView zoomScale="78" zoomScaleNormal="52" workbookViewId="0">
      <selection activeCell="Q4" sqref="Q4"/>
    </sheetView>
  </sheetViews>
  <sheetFormatPr defaultRowHeight="14.5" x14ac:dyDescent="0.35"/>
  <cols>
    <col min="1" max="1" width="7.453125" customWidth="1"/>
    <col min="2" max="2" width="7" bestFit="1" customWidth="1"/>
    <col min="3" max="3" width="13.36328125" bestFit="1" customWidth="1"/>
    <col min="4" max="4" width="10.90625" bestFit="1" customWidth="1"/>
    <col min="5" max="5" width="15.90625" bestFit="1" customWidth="1"/>
    <col min="6" max="6" width="12.453125" style="3" bestFit="1" customWidth="1"/>
    <col min="7" max="7" width="22.08984375" bestFit="1" customWidth="1"/>
    <col min="8" max="8" width="20.1796875" style="1" bestFit="1" customWidth="1"/>
    <col min="9" max="9" width="12" bestFit="1" customWidth="1"/>
    <col min="10" max="10" width="15.90625" bestFit="1" customWidth="1"/>
    <col min="11" max="11" width="24.08984375" bestFit="1" customWidth="1"/>
    <col min="12" max="12" width="9.90625" bestFit="1" customWidth="1"/>
    <col min="13" max="13" width="14" style="3" bestFit="1" customWidth="1"/>
    <col min="14" max="14" width="16.90625" bestFit="1" customWidth="1"/>
    <col min="15" max="15" width="10.7265625" bestFit="1" customWidth="1"/>
    <col min="16" max="16" width="23" bestFit="1" customWidth="1"/>
    <col min="17" max="17" width="16.08984375" bestFit="1" customWidth="1"/>
    <col min="18" max="18" width="15" bestFit="1" customWidth="1"/>
    <col min="19" max="19" width="17.90625" style="3" bestFit="1" customWidth="1"/>
    <col min="20" max="20" width="15.453125" style="3" bestFit="1" customWidth="1"/>
    <col min="21" max="21" width="15.453125" style="3" customWidth="1"/>
    <col min="22" max="22" width="23.54296875" bestFit="1" customWidth="1"/>
    <col min="23" max="23" width="11.7265625" bestFit="1" customWidth="1"/>
    <col min="24" max="24" width="18.7265625" style="2" bestFit="1" customWidth="1"/>
    <col min="25" max="25" width="19.54296875" bestFit="1" customWidth="1"/>
    <col min="26" max="26" width="23.6328125" bestFit="1" customWidth="1"/>
    <col min="27" max="27" width="18.1796875" bestFit="1" customWidth="1"/>
    <col min="28" max="28" width="19.36328125" bestFit="1" customWidth="1"/>
    <col min="29" max="29" width="22.26953125" bestFit="1" customWidth="1"/>
    <col min="30" max="30" width="17.453125" bestFit="1" customWidth="1"/>
    <col min="31" max="31" width="17.90625" bestFit="1" customWidth="1"/>
    <col min="32" max="32" width="19.54296875" bestFit="1" customWidth="1"/>
    <col min="33" max="33" width="24.7265625" hidden="1" customWidth="1"/>
    <col min="34" max="34" width="23.1796875" bestFit="1" customWidth="1"/>
    <col min="35" max="35" width="10.453125" bestFit="1" customWidth="1"/>
    <col min="36" max="36" width="26.1796875" bestFit="1" customWidth="1"/>
  </cols>
  <sheetData>
    <row r="1" spans="1:36" x14ac:dyDescent="0.35">
      <c r="A1" s="5" t="s">
        <v>57</v>
      </c>
      <c r="B1" s="5" t="s">
        <v>0</v>
      </c>
      <c r="C1" s="5" t="s">
        <v>63</v>
      </c>
      <c r="D1" s="5" t="s">
        <v>1</v>
      </c>
      <c r="E1" s="5" t="s">
        <v>2</v>
      </c>
      <c r="F1" s="6" t="s">
        <v>3</v>
      </c>
      <c r="G1" s="5" t="s">
        <v>4</v>
      </c>
      <c r="H1" s="7" t="s">
        <v>5</v>
      </c>
      <c r="I1" s="5" t="s">
        <v>6</v>
      </c>
      <c r="J1" s="5" t="s">
        <v>7</v>
      </c>
      <c r="K1" s="5" t="s">
        <v>8</v>
      </c>
      <c r="L1" s="5" t="s">
        <v>9</v>
      </c>
      <c r="M1" s="6" t="s">
        <v>10</v>
      </c>
      <c r="N1" s="5" t="s">
        <v>11</v>
      </c>
      <c r="O1" s="5" t="s">
        <v>12</v>
      </c>
      <c r="P1" s="5" t="s">
        <v>13</v>
      </c>
      <c r="Q1" s="5" t="s">
        <v>14</v>
      </c>
      <c r="R1" s="5" t="s">
        <v>15</v>
      </c>
      <c r="S1" s="6" t="s">
        <v>16</v>
      </c>
      <c r="T1" s="6" t="s">
        <v>17</v>
      </c>
      <c r="U1" s="6" t="s">
        <v>64</v>
      </c>
      <c r="V1" s="5" t="s">
        <v>18</v>
      </c>
      <c r="W1" s="5" t="s">
        <v>19</v>
      </c>
      <c r="X1" s="8" t="s">
        <v>20</v>
      </c>
      <c r="Y1" s="5" t="s">
        <v>21</v>
      </c>
      <c r="Z1" s="5" t="s">
        <v>22</v>
      </c>
      <c r="AA1" s="5" t="s">
        <v>23</v>
      </c>
      <c r="AB1" s="5" t="s">
        <v>24</v>
      </c>
      <c r="AC1" s="5" t="s">
        <v>25</v>
      </c>
      <c r="AD1" s="5" t="s">
        <v>26</v>
      </c>
      <c r="AE1" s="5" t="s">
        <v>27</v>
      </c>
      <c r="AF1" s="5" t="s">
        <v>28</v>
      </c>
      <c r="AG1" s="5" t="s">
        <v>29</v>
      </c>
      <c r="AH1" s="5" t="s">
        <v>30</v>
      </c>
      <c r="AI1" s="5" t="s">
        <v>66</v>
      </c>
      <c r="AJ1" s="5" t="s">
        <v>84</v>
      </c>
    </row>
    <row r="2" spans="1:36" x14ac:dyDescent="0.35">
      <c r="A2">
        <v>1</v>
      </c>
      <c r="B2">
        <v>41</v>
      </c>
      <c r="C2" s="4" t="str">
        <f>IF(B2&lt;=25,"18-25",
IF(B2&lt;=35,"26-35",
IF(B2&lt;=45,"36-45",
IF(B2&lt;=55,"46-55","55+"))))</f>
        <v>36-45</v>
      </c>
      <c r="D2" t="s">
        <v>31</v>
      </c>
      <c r="E2" t="s">
        <v>32</v>
      </c>
      <c r="F2" s="3">
        <v>1102</v>
      </c>
      <c r="G2" t="s">
        <v>33</v>
      </c>
      <c r="H2" s="1">
        <v>1</v>
      </c>
      <c r="I2" t="s">
        <v>58</v>
      </c>
      <c r="J2" t="s">
        <v>34</v>
      </c>
      <c r="K2" t="s">
        <v>61</v>
      </c>
      <c r="L2" t="s">
        <v>35</v>
      </c>
      <c r="M2" s="3">
        <v>94</v>
      </c>
      <c r="N2" t="s">
        <v>60</v>
      </c>
      <c r="O2" t="s">
        <v>61</v>
      </c>
      <c r="P2" t="s">
        <v>36</v>
      </c>
      <c r="Q2" t="s">
        <v>62</v>
      </c>
      <c r="R2" t="s">
        <v>37</v>
      </c>
      <c r="S2" s="3">
        <v>5993</v>
      </c>
      <c r="T2" s="3">
        <v>19479</v>
      </c>
      <c r="U2" s="3" t="str">
        <f>_xlfn.IFS(S2&lt;5000,"Low",S2&lt;10000,"Medium",S2&gt;10000,"High")</f>
        <v>Medium</v>
      </c>
      <c r="V2">
        <v>8</v>
      </c>
      <c r="W2" t="s">
        <v>31</v>
      </c>
      <c r="X2" s="2">
        <v>11</v>
      </c>
      <c r="Y2" t="s">
        <v>60</v>
      </c>
      <c r="Z2" t="s">
        <v>59</v>
      </c>
      <c r="AA2">
        <v>0</v>
      </c>
      <c r="AB2">
        <v>8</v>
      </c>
      <c r="AC2">
        <v>0</v>
      </c>
      <c r="AD2">
        <v>1</v>
      </c>
      <c r="AE2">
        <v>6</v>
      </c>
      <c r="AF2">
        <v>4</v>
      </c>
      <c r="AG2">
        <v>0</v>
      </c>
      <c r="AH2">
        <v>5</v>
      </c>
      <c r="AI2" t="str">
        <f t="shared" ref="AI2:AI65" si="0">IF(AE2&lt;=2,"0-2 Years",
IF(AE2&lt;=5,"3-5 Years",
IF(AE2&lt;=10,"6-10 Years","10+ Years")))</f>
        <v>6-10 Years</v>
      </c>
      <c r="AJ2" t="str">
        <f t="shared" ref="AJ2:AJ65" si="1">IF(AG2&lt;=2,"0-2",
IF(AG2&lt;=5,"3-5","6+"))</f>
        <v>0-2</v>
      </c>
    </row>
    <row r="3" spans="1:36" x14ac:dyDescent="0.35">
      <c r="A3">
        <v>2</v>
      </c>
      <c r="B3">
        <v>49</v>
      </c>
      <c r="C3" t="str">
        <f t="shared" ref="C3:C66" si="2">IF(B3&lt;=25,"18-25",
IF(B3&lt;=35,"26-35",
IF(B3&lt;=45,"36-45",
IF(B3&lt;=55,"46-55","55+"))))</f>
        <v>46-55</v>
      </c>
      <c r="D3" t="s">
        <v>38</v>
      </c>
      <c r="E3" t="s">
        <v>39</v>
      </c>
      <c r="F3" s="3">
        <v>279</v>
      </c>
      <c r="G3" t="s">
        <v>40</v>
      </c>
      <c r="H3" s="1">
        <v>8</v>
      </c>
      <c r="I3" t="s">
        <v>59</v>
      </c>
      <c r="J3" t="s">
        <v>34</v>
      </c>
      <c r="K3" t="s">
        <v>60</v>
      </c>
      <c r="L3" t="s">
        <v>41</v>
      </c>
      <c r="M3" s="3">
        <v>61</v>
      </c>
      <c r="N3" t="s">
        <v>61</v>
      </c>
      <c r="O3" t="s">
        <v>61</v>
      </c>
      <c r="P3" t="s">
        <v>42</v>
      </c>
      <c r="Q3" t="s">
        <v>61</v>
      </c>
      <c r="R3" t="s">
        <v>43</v>
      </c>
      <c r="S3" s="3">
        <v>5130</v>
      </c>
      <c r="T3" s="3">
        <v>24907</v>
      </c>
      <c r="U3" s="3" t="str">
        <f t="shared" ref="U3:U66" si="3">_xlfn.IFS(S3&lt;5000,"Low",S3&lt;10000,"Medium",S3&gt;10000,"High")</f>
        <v>Medium</v>
      </c>
      <c r="V3">
        <v>1</v>
      </c>
      <c r="W3" t="s">
        <v>38</v>
      </c>
      <c r="X3" s="2">
        <v>23</v>
      </c>
      <c r="Y3" t="s">
        <v>62</v>
      </c>
      <c r="Z3" t="s">
        <v>62</v>
      </c>
      <c r="AA3">
        <v>1</v>
      </c>
      <c r="AB3">
        <v>10</v>
      </c>
      <c r="AC3">
        <v>3</v>
      </c>
      <c r="AD3">
        <v>3</v>
      </c>
      <c r="AE3">
        <v>10</v>
      </c>
      <c r="AF3">
        <v>7</v>
      </c>
      <c r="AG3">
        <v>1</v>
      </c>
      <c r="AH3">
        <v>7</v>
      </c>
      <c r="AI3" t="str">
        <f t="shared" si="0"/>
        <v>6-10 Years</v>
      </c>
      <c r="AJ3" t="str">
        <f t="shared" si="1"/>
        <v>0-2</v>
      </c>
    </row>
    <row r="4" spans="1:36" x14ac:dyDescent="0.35">
      <c r="A4">
        <v>3</v>
      </c>
      <c r="B4">
        <v>37</v>
      </c>
      <c r="C4" t="str">
        <f t="shared" si="2"/>
        <v>36-45</v>
      </c>
      <c r="D4" t="s">
        <v>31</v>
      </c>
      <c r="E4" t="s">
        <v>32</v>
      </c>
      <c r="F4" s="3">
        <v>1373</v>
      </c>
      <c r="G4" t="s">
        <v>40</v>
      </c>
      <c r="H4" s="1">
        <v>2</v>
      </c>
      <c r="I4" t="s">
        <v>58</v>
      </c>
      <c r="J4" t="s">
        <v>44</v>
      </c>
      <c r="K4" t="s">
        <v>62</v>
      </c>
      <c r="L4" t="s">
        <v>41</v>
      </c>
      <c r="M4" s="3">
        <v>92</v>
      </c>
      <c r="N4" t="s">
        <v>61</v>
      </c>
      <c r="O4" t="s">
        <v>59</v>
      </c>
      <c r="P4" t="s">
        <v>45</v>
      </c>
      <c r="Q4" t="s">
        <v>60</v>
      </c>
      <c r="R4" t="s">
        <v>37</v>
      </c>
      <c r="S4" s="3">
        <v>2090</v>
      </c>
      <c r="T4" s="3">
        <v>2396</v>
      </c>
      <c r="U4" s="3" t="str">
        <f t="shared" si="3"/>
        <v>Low</v>
      </c>
      <c r="V4">
        <v>6</v>
      </c>
      <c r="W4" t="s">
        <v>31</v>
      </c>
      <c r="X4" s="2">
        <v>15</v>
      </c>
      <c r="Y4" t="s">
        <v>60</v>
      </c>
      <c r="Z4" t="s">
        <v>61</v>
      </c>
      <c r="AA4">
        <v>0</v>
      </c>
      <c r="AB4">
        <v>7</v>
      </c>
      <c r="AC4">
        <v>3</v>
      </c>
      <c r="AD4">
        <v>3</v>
      </c>
      <c r="AE4">
        <v>0</v>
      </c>
      <c r="AF4">
        <v>0</v>
      </c>
      <c r="AG4">
        <v>0</v>
      </c>
      <c r="AH4">
        <v>0</v>
      </c>
      <c r="AI4" t="str">
        <f t="shared" si="0"/>
        <v>0-2 Years</v>
      </c>
      <c r="AJ4" t="str">
        <f t="shared" si="1"/>
        <v>0-2</v>
      </c>
    </row>
    <row r="5" spans="1:36" x14ac:dyDescent="0.35">
      <c r="A5">
        <v>4</v>
      </c>
      <c r="B5">
        <v>33</v>
      </c>
      <c r="C5" t="str">
        <f t="shared" si="2"/>
        <v>26-35</v>
      </c>
      <c r="D5" t="s">
        <v>38</v>
      </c>
      <c r="E5" t="s">
        <v>39</v>
      </c>
      <c r="F5" s="3">
        <v>1392</v>
      </c>
      <c r="G5" t="s">
        <v>40</v>
      </c>
      <c r="H5" s="1">
        <v>3</v>
      </c>
      <c r="I5" t="s">
        <v>60</v>
      </c>
      <c r="J5" t="s">
        <v>34</v>
      </c>
      <c r="K5" t="s">
        <v>62</v>
      </c>
      <c r="L5" t="s">
        <v>35</v>
      </c>
      <c r="M5" s="3">
        <v>56</v>
      </c>
      <c r="N5" t="s">
        <v>60</v>
      </c>
      <c r="O5" t="s">
        <v>59</v>
      </c>
      <c r="P5" t="s">
        <v>42</v>
      </c>
      <c r="Q5" t="s">
        <v>60</v>
      </c>
      <c r="R5" t="s">
        <v>43</v>
      </c>
      <c r="S5" s="3">
        <v>2909</v>
      </c>
      <c r="T5" s="3">
        <v>23159</v>
      </c>
      <c r="U5" s="3" t="str">
        <f t="shared" si="3"/>
        <v>Low</v>
      </c>
      <c r="V5">
        <v>1</v>
      </c>
      <c r="W5" t="s">
        <v>31</v>
      </c>
      <c r="X5" s="2">
        <v>11</v>
      </c>
      <c r="Y5" t="s">
        <v>60</v>
      </c>
      <c r="Z5" t="s">
        <v>60</v>
      </c>
      <c r="AA5">
        <v>0</v>
      </c>
      <c r="AB5">
        <v>8</v>
      </c>
      <c r="AC5">
        <v>3</v>
      </c>
      <c r="AD5">
        <v>3</v>
      </c>
      <c r="AE5">
        <v>8</v>
      </c>
      <c r="AF5">
        <v>7</v>
      </c>
      <c r="AG5">
        <v>3</v>
      </c>
      <c r="AH5">
        <v>0</v>
      </c>
      <c r="AI5" t="str">
        <f t="shared" si="0"/>
        <v>6-10 Years</v>
      </c>
      <c r="AJ5" t="str">
        <f t="shared" si="1"/>
        <v>3-5</v>
      </c>
    </row>
    <row r="6" spans="1:36" x14ac:dyDescent="0.35">
      <c r="A6">
        <v>5</v>
      </c>
      <c r="B6">
        <v>27</v>
      </c>
      <c r="C6" t="str">
        <f t="shared" si="2"/>
        <v>26-35</v>
      </c>
      <c r="D6" t="s">
        <v>38</v>
      </c>
      <c r="E6" t="s">
        <v>32</v>
      </c>
      <c r="F6" s="3">
        <v>591</v>
      </c>
      <c r="G6" t="s">
        <v>40</v>
      </c>
      <c r="H6" s="1">
        <v>2</v>
      </c>
      <c r="I6" t="s">
        <v>59</v>
      </c>
      <c r="J6" t="s">
        <v>46</v>
      </c>
      <c r="K6" t="s">
        <v>59</v>
      </c>
      <c r="L6" t="s">
        <v>41</v>
      </c>
      <c r="M6" s="3">
        <v>40</v>
      </c>
      <c r="N6" t="s">
        <v>60</v>
      </c>
      <c r="O6" t="s">
        <v>59</v>
      </c>
      <c r="P6" t="s">
        <v>45</v>
      </c>
      <c r="Q6" t="s">
        <v>61</v>
      </c>
      <c r="R6" t="s">
        <v>43</v>
      </c>
      <c r="S6" s="3">
        <v>3468</v>
      </c>
      <c r="T6" s="3">
        <v>16632</v>
      </c>
      <c r="U6" s="3" t="str">
        <f t="shared" si="3"/>
        <v>Low</v>
      </c>
      <c r="V6">
        <v>9</v>
      </c>
      <c r="W6" t="s">
        <v>38</v>
      </c>
      <c r="X6" s="2">
        <v>12</v>
      </c>
      <c r="Y6" t="s">
        <v>60</v>
      </c>
      <c r="Z6" t="s">
        <v>62</v>
      </c>
      <c r="AA6">
        <v>1</v>
      </c>
      <c r="AB6">
        <v>6</v>
      </c>
      <c r="AC6">
        <v>3</v>
      </c>
      <c r="AD6">
        <v>3</v>
      </c>
      <c r="AE6">
        <v>2</v>
      </c>
      <c r="AF6">
        <v>2</v>
      </c>
      <c r="AG6">
        <v>2</v>
      </c>
      <c r="AH6">
        <v>2</v>
      </c>
      <c r="AI6" t="str">
        <f t="shared" si="0"/>
        <v>0-2 Years</v>
      </c>
      <c r="AJ6" t="str">
        <f t="shared" si="1"/>
        <v>0-2</v>
      </c>
    </row>
    <row r="7" spans="1:36" x14ac:dyDescent="0.35">
      <c r="A7">
        <v>6</v>
      </c>
      <c r="B7">
        <v>32</v>
      </c>
      <c r="C7" t="str">
        <f t="shared" si="2"/>
        <v>26-35</v>
      </c>
      <c r="D7" t="s">
        <v>38</v>
      </c>
      <c r="E7" t="s">
        <v>39</v>
      </c>
      <c r="F7" s="3">
        <v>1005</v>
      </c>
      <c r="G7" t="s">
        <v>40</v>
      </c>
      <c r="H7" s="1">
        <v>2</v>
      </c>
      <c r="I7" t="s">
        <v>58</v>
      </c>
      <c r="J7" t="s">
        <v>34</v>
      </c>
      <c r="K7" t="s">
        <v>62</v>
      </c>
      <c r="L7" t="s">
        <v>41</v>
      </c>
      <c r="M7" s="3">
        <v>79</v>
      </c>
      <c r="N7" t="s">
        <v>60</v>
      </c>
      <c r="O7" t="s">
        <v>59</v>
      </c>
      <c r="P7" t="s">
        <v>45</v>
      </c>
      <c r="Q7" t="s">
        <v>62</v>
      </c>
      <c r="R7" t="s">
        <v>37</v>
      </c>
      <c r="S7" s="3">
        <v>3068</v>
      </c>
      <c r="T7" s="3">
        <v>11864</v>
      </c>
      <c r="U7" s="3" t="str">
        <f t="shared" si="3"/>
        <v>Low</v>
      </c>
      <c r="V7">
        <v>0</v>
      </c>
      <c r="W7" t="s">
        <v>38</v>
      </c>
      <c r="X7" s="2">
        <v>13</v>
      </c>
      <c r="Y7" t="s">
        <v>60</v>
      </c>
      <c r="Z7" t="s">
        <v>60</v>
      </c>
      <c r="AA7">
        <v>0</v>
      </c>
      <c r="AB7">
        <v>8</v>
      </c>
      <c r="AC7">
        <v>2</v>
      </c>
      <c r="AD7">
        <v>2</v>
      </c>
      <c r="AE7">
        <v>7</v>
      </c>
      <c r="AF7">
        <v>7</v>
      </c>
      <c r="AG7">
        <v>3</v>
      </c>
      <c r="AH7">
        <v>6</v>
      </c>
      <c r="AI7" t="str">
        <f t="shared" si="0"/>
        <v>6-10 Years</v>
      </c>
      <c r="AJ7" t="str">
        <f t="shared" si="1"/>
        <v>3-5</v>
      </c>
    </row>
    <row r="8" spans="1:36" x14ac:dyDescent="0.35">
      <c r="A8">
        <v>7</v>
      </c>
      <c r="B8">
        <v>59</v>
      </c>
      <c r="C8" t="str">
        <f t="shared" si="2"/>
        <v>55+</v>
      </c>
      <c r="D8" t="s">
        <v>38</v>
      </c>
      <c r="E8" t="s">
        <v>32</v>
      </c>
      <c r="F8" s="3">
        <v>1324</v>
      </c>
      <c r="G8" t="s">
        <v>40</v>
      </c>
      <c r="H8" s="1">
        <v>3</v>
      </c>
      <c r="I8" t="s">
        <v>61</v>
      </c>
      <c r="J8" t="s">
        <v>46</v>
      </c>
      <c r="K8" t="s">
        <v>60</v>
      </c>
      <c r="L8" t="s">
        <v>35</v>
      </c>
      <c r="M8" s="3">
        <v>81</v>
      </c>
      <c r="N8" t="s">
        <v>62</v>
      </c>
      <c r="O8" t="s">
        <v>59</v>
      </c>
      <c r="P8" t="s">
        <v>45</v>
      </c>
      <c r="Q8" t="s">
        <v>59</v>
      </c>
      <c r="R8" t="s">
        <v>43</v>
      </c>
      <c r="S8" s="3">
        <v>2670</v>
      </c>
      <c r="T8" s="3">
        <v>9964</v>
      </c>
      <c r="U8" s="3" t="str">
        <f t="shared" si="3"/>
        <v>Low</v>
      </c>
      <c r="V8">
        <v>4</v>
      </c>
      <c r="W8" t="s">
        <v>31</v>
      </c>
      <c r="X8" s="2">
        <v>20</v>
      </c>
      <c r="Y8" t="s">
        <v>62</v>
      </c>
      <c r="Z8" t="s">
        <v>59</v>
      </c>
      <c r="AA8">
        <v>3</v>
      </c>
      <c r="AB8">
        <v>12</v>
      </c>
      <c r="AC8">
        <v>3</v>
      </c>
      <c r="AD8">
        <v>2</v>
      </c>
      <c r="AE8">
        <v>1</v>
      </c>
      <c r="AF8">
        <v>0</v>
      </c>
      <c r="AG8">
        <v>0</v>
      </c>
      <c r="AH8">
        <v>0</v>
      </c>
      <c r="AI8" t="str">
        <f t="shared" si="0"/>
        <v>0-2 Years</v>
      </c>
      <c r="AJ8" t="str">
        <f t="shared" si="1"/>
        <v>0-2</v>
      </c>
    </row>
    <row r="9" spans="1:36" x14ac:dyDescent="0.35">
      <c r="A9">
        <v>8</v>
      </c>
      <c r="B9">
        <v>30</v>
      </c>
      <c r="C9" t="str">
        <f t="shared" si="2"/>
        <v>26-35</v>
      </c>
      <c r="D9" t="s">
        <v>38</v>
      </c>
      <c r="E9" t="s">
        <v>32</v>
      </c>
      <c r="F9" s="3">
        <v>1358</v>
      </c>
      <c r="G9" t="s">
        <v>40</v>
      </c>
      <c r="H9" s="1">
        <v>24</v>
      </c>
      <c r="I9" t="s">
        <v>59</v>
      </c>
      <c r="J9" t="s">
        <v>34</v>
      </c>
      <c r="K9" t="s">
        <v>62</v>
      </c>
      <c r="L9" t="s">
        <v>41</v>
      </c>
      <c r="M9" s="3">
        <v>67</v>
      </c>
      <c r="N9" t="s">
        <v>60</v>
      </c>
      <c r="O9" t="s">
        <v>59</v>
      </c>
      <c r="P9" t="s">
        <v>45</v>
      </c>
      <c r="Q9" t="s">
        <v>60</v>
      </c>
      <c r="R9" t="s">
        <v>47</v>
      </c>
      <c r="S9" s="3">
        <v>2693</v>
      </c>
      <c r="T9" s="3">
        <v>13335</v>
      </c>
      <c r="U9" s="3" t="str">
        <f t="shared" si="3"/>
        <v>Low</v>
      </c>
      <c r="V9">
        <v>1</v>
      </c>
      <c r="W9" t="s">
        <v>38</v>
      </c>
      <c r="X9" s="2">
        <v>22</v>
      </c>
      <c r="Y9" t="s">
        <v>62</v>
      </c>
      <c r="Z9" t="s">
        <v>61</v>
      </c>
      <c r="AA9">
        <v>1</v>
      </c>
      <c r="AB9">
        <v>1</v>
      </c>
      <c r="AC9">
        <v>2</v>
      </c>
      <c r="AD9">
        <v>3</v>
      </c>
      <c r="AE9">
        <v>1</v>
      </c>
      <c r="AF9">
        <v>0</v>
      </c>
      <c r="AG9">
        <v>0</v>
      </c>
      <c r="AH9">
        <v>0</v>
      </c>
      <c r="AI9" t="str">
        <f t="shared" si="0"/>
        <v>0-2 Years</v>
      </c>
      <c r="AJ9" t="str">
        <f t="shared" si="1"/>
        <v>0-2</v>
      </c>
    </row>
    <row r="10" spans="1:36" x14ac:dyDescent="0.35">
      <c r="A10">
        <v>9</v>
      </c>
      <c r="B10">
        <v>38</v>
      </c>
      <c r="C10" t="str">
        <f t="shared" si="2"/>
        <v>36-45</v>
      </c>
      <c r="D10" t="s">
        <v>38</v>
      </c>
      <c r="E10" t="s">
        <v>39</v>
      </c>
      <c r="F10" s="3">
        <v>216</v>
      </c>
      <c r="G10" t="s">
        <v>40</v>
      </c>
      <c r="H10" s="1">
        <v>23</v>
      </c>
      <c r="I10" t="s">
        <v>61</v>
      </c>
      <c r="J10" t="s">
        <v>34</v>
      </c>
      <c r="K10" t="s">
        <v>62</v>
      </c>
      <c r="L10" t="s">
        <v>41</v>
      </c>
      <c r="M10" s="3">
        <v>44</v>
      </c>
      <c r="N10" t="s">
        <v>61</v>
      </c>
      <c r="O10" t="s">
        <v>60</v>
      </c>
      <c r="P10" t="s">
        <v>48</v>
      </c>
      <c r="Q10" t="s">
        <v>60</v>
      </c>
      <c r="R10" t="s">
        <v>37</v>
      </c>
      <c r="S10" s="3">
        <v>9526</v>
      </c>
      <c r="T10" s="3">
        <v>8787</v>
      </c>
      <c r="U10" s="3" t="str">
        <f t="shared" si="3"/>
        <v>Medium</v>
      </c>
      <c r="V10">
        <v>0</v>
      </c>
      <c r="W10" t="s">
        <v>38</v>
      </c>
      <c r="X10" s="2">
        <v>21</v>
      </c>
      <c r="Y10" t="s">
        <v>62</v>
      </c>
      <c r="Z10" t="s">
        <v>61</v>
      </c>
      <c r="AA10">
        <v>0</v>
      </c>
      <c r="AB10">
        <v>10</v>
      </c>
      <c r="AC10">
        <v>2</v>
      </c>
      <c r="AD10">
        <v>3</v>
      </c>
      <c r="AE10">
        <v>9</v>
      </c>
      <c r="AF10">
        <v>7</v>
      </c>
      <c r="AG10">
        <v>1</v>
      </c>
      <c r="AH10">
        <v>8</v>
      </c>
      <c r="AI10" t="str">
        <f t="shared" si="0"/>
        <v>6-10 Years</v>
      </c>
      <c r="AJ10" t="str">
        <f t="shared" si="1"/>
        <v>0-2</v>
      </c>
    </row>
    <row r="11" spans="1:36" x14ac:dyDescent="0.35">
      <c r="A11">
        <v>10</v>
      </c>
      <c r="B11">
        <v>36</v>
      </c>
      <c r="C11" t="str">
        <f t="shared" si="2"/>
        <v>36-45</v>
      </c>
      <c r="D11" t="s">
        <v>38</v>
      </c>
      <c r="E11" t="s">
        <v>32</v>
      </c>
      <c r="F11" s="3">
        <v>1299</v>
      </c>
      <c r="G11" t="s">
        <v>40</v>
      </c>
      <c r="H11" s="1">
        <v>27</v>
      </c>
      <c r="I11" t="s">
        <v>61</v>
      </c>
      <c r="J11" t="s">
        <v>46</v>
      </c>
      <c r="K11" t="s">
        <v>60</v>
      </c>
      <c r="L11" t="s">
        <v>41</v>
      </c>
      <c r="M11" s="3">
        <v>94</v>
      </c>
      <c r="N11" t="s">
        <v>60</v>
      </c>
      <c r="O11" t="s">
        <v>61</v>
      </c>
      <c r="P11" t="s">
        <v>49</v>
      </c>
      <c r="Q11" t="s">
        <v>60</v>
      </c>
      <c r="R11" t="s">
        <v>43</v>
      </c>
      <c r="S11" s="3">
        <v>5237</v>
      </c>
      <c r="T11" s="3">
        <v>16577</v>
      </c>
      <c r="U11" s="3" t="str">
        <f t="shared" si="3"/>
        <v>Medium</v>
      </c>
      <c r="V11">
        <v>6</v>
      </c>
      <c r="W11" t="s">
        <v>38</v>
      </c>
      <c r="X11" s="2">
        <v>13</v>
      </c>
      <c r="Y11" t="s">
        <v>60</v>
      </c>
      <c r="Z11" t="s">
        <v>61</v>
      </c>
      <c r="AA11">
        <v>2</v>
      </c>
      <c r="AB11">
        <v>17</v>
      </c>
      <c r="AC11">
        <v>3</v>
      </c>
      <c r="AD11">
        <v>2</v>
      </c>
      <c r="AE11">
        <v>7</v>
      </c>
      <c r="AF11">
        <v>7</v>
      </c>
      <c r="AG11">
        <v>7</v>
      </c>
      <c r="AH11">
        <v>7</v>
      </c>
      <c r="AI11" t="str">
        <f t="shared" si="0"/>
        <v>6-10 Years</v>
      </c>
      <c r="AJ11" t="str">
        <f t="shared" si="1"/>
        <v>6+</v>
      </c>
    </row>
    <row r="12" spans="1:36" x14ac:dyDescent="0.35">
      <c r="A12">
        <v>11</v>
      </c>
      <c r="B12">
        <v>35</v>
      </c>
      <c r="C12" t="str">
        <f t="shared" si="2"/>
        <v>26-35</v>
      </c>
      <c r="D12" t="s">
        <v>38</v>
      </c>
      <c r="E12" t="s">
        <v>32</v>
      </c>
      <c r="F12" s="3">
        <v>809</v>
      </c>
      <c r="G12" t="s">
        <v>40</v>
      </c>
      <c r="H12" s="1">
        <v>16</v>
      </c>
      <c r="I12" t="s">
        <v>61</v>
      </c>
      <c r="J12" t="s">
        <v>46</v>
      </c>
      <c r="K12" t="s">
        <v>59</v>
      </c>
      <c r="L12" t="s">
        <v>41</v>
      </c>
      <c r="M12" s="3">
        <v>84</v>
      </c>
      <c r="N12" t="s">
        <v>62</v>
      </c>
      <c r="O12" t="s">
        <v>59</v>
      </c>
      <c r="P12" t="s">
        <v>45</v>
      </c>
      <c r="Q12" t="s">
        <v>61</v>
      </c>
      <c r="R12" t="s">
        <v>43</v>
      </c>
      <c r="S12" s="3">
        <v>2426</v>
      </c>
      <c r="T12" s="3">
        <v>16479</v>
      </c>
      <c r="U12" s="3" t="str">
        <f t="shared" si="3"/>
        <v>Low</v>
      </c>
      <c r="V12">
        <v>0</v>
      </c>
      <c r="W12" t="s">
        <v>38</v>
      </c>
      <c r="X12" s="2">
        <v>13</v>
      </c>
      <c r="Y12" t="s">
        <v>60</v>
      </c>
      <c r="Z12" t="s">
        <v>60</v>
      </c>
      <c r="AA12">
        <v>1</v>
      </c>
      <c r="AB12">
        <v>6</v>
      </c>
      <c r="AC12">
        <v>5</v>
      </c>
      <c r="AD12">
        <v>3</v>
      </c>
      <c r="AE12">
        <v>5</v>
      </c>
      <c r="AF12">
        <v>4</v>
      </c>
      <c r="AG12">
        <v>0</v>
      </c>
      <c r="AH12">
        <v>3</v>
      </c>
      <c r="AI12" t="str">
        <f t="shared" si="0"/>
        <v>3-5 Years</v>
      </c>
      <c r="AJ12" t="str">
        <f t="shared" si="1"/>
        <v>0-2</v>
      </c>
    </row>
    <row r="13" spans="1:36" x14ac:dyDescent="0.35">
      <c r="A13">
        <v>12</v>
      </c>
      <c r="B13">
        <v>29</v>
      </c>
      <c r="C13" t="str">
        <f t="shared" si="2"/>
        <v>26-35</v>
      </c>
      <c r="D13" t="s">
        <v>38</v>
      </c>
      <c r="E13" t="s">
        <v>32</v>
      </c>
      <c r="F13" s="3">
        <v>153</v>
      </c>
      <c r="G13" t="s">
        <v>40</v>
      </c>
      <c r="H13" s="1">
        <v>15</v>
      </c>
      <c r="I13" t="s">
        <v>58</v>
      </c>
      <c r="J13" t="s">
        <v>34</v>
      </c>
      <c r="K13" t="s">
        <v>62</v>
      </c>
      <c r="L13" t="s">
        <v>35</v>
      </c>
      <c r="M13" s="3">
        <v>49</v>
      </c>
      <c r="N13" t="s">
        <v>61</v>
      </c>
      <c r="O13" t="s">
        <v>61</v>
      </c>
      <c r="P13" t="s">
        <v>45</v>
      </c>
      <c r="Q13" t="s">
        <v>60</v>
      </c>
      <c r="R13" t="s">
        <v>37</v>
      </c>
      <c r="S13" s="3">
        <v>4193</v>
      </c>
      <c r="T13" s="3">
        <v>12682</v>
      </c>
      <c r="U13" s="3" t="str">
        <f t="shared" si="3"/>
        <v>Low</v>
      </c>
      <c r="V13">
        <v>0</v>
      </c>
      <c r="W13" t="s">
        <v>31</v>
      </c>
      <c r="X13" s="2">
        <v>12</v>
      </c>
      <c r="Y13" t="s">
        <v>60</v>
      </c>
      <c r="Z13" t="s">
        <v>62</v>
      </c>
      <c r="AA13">
        <v>0</v>
      </c>
      <c r="AB13">
        <v>10</v>
      </c>
      <c r="AC13">
        <v>3</v>
      </c>
      <c r="AD13">
        <v>3</v>
      </c>
      <c r="AE13">
        <v>9</v>
      </c>
      <c r="AF13">
        <v>5</v>
      </c>
      <c r="AG13">
        <v>0</v>
      </c>
      <c r="AH13">
        <v>8</v>
      </c>
      <c r="AI13" t="str">
        <f t="shared" si="0"/>
        <v>6-10 Years</v>
      </c>
      <c r="AJ13" t="str">
        <f t="shared" si="1"/>
        <v>0-2</v>
      </c>
    </row>
    <row r="14" spans="1:36" x14ac:dyDescent="0.35">
      <c r="A14">
        <v>13</v>
      </c>
      <c r="B14">
        <v>31</v>
      </c>
      <c r="C14" t="str">
        <f t="shared" si="2"/>
        <v>26-35</v>
      </c>
      <c r="D14" t="s">
        <v>38</v>
      </c>
      <c r="E14" t="s">
        <v>32</v>
      </c>
      <c r="F14" s="3">
        <v>670</v>
      </c>
      <c r="G14" t="s">
        <v>40</v>
      </c>
      <c r="H14" s="1">
        <v>26</v>
      </c>
      <c r="I14" t="s">
        <v>59</v>
      </c>
      <c r="J14" t="s">
        <v>34</v>
      </c>
      <c r="K14" t="s">
        <v>59</v>
      </c>
      <c r="L14" t="s">
        <v>41</v>
      </c>
      <c r="M14" s="3">
        <v>31</v>
      </c>
      <c r="N14" t="s">
        <v>60</v>
      </c>
      <c r="O14" t="s">
        <v>59</v>
      </c>
      <c r="P14" t="s">
        <v>42</v>
      </c>
      <c r="Q14" t="s">
        <v>60</v>
      </c>
      <c r="R14" t="s">
        <v>47</v>
      </c>
      <c r="S14" s="3">
        <v>2911</v>
      </c>
      <c r="T14" s="3">
        <v>15170</v>
      </c>
      <c r="U14" s="3" t="str">
        <f t="shared" si="3"/>
        <v>Low</v>
      </c>
      <c r="V14">
        <v>1</v>
      </c>
      <c r="W14" t="s">
        <v>38</v>
      </c>
      <c r="X14" s="2">
        <v>17</v>
      </c>
      <c r="Y14" t="s">
        <v>60</v>
      </c>
      <c r="Z14" t="s">
        <v>62</v>
      </c>
      <c r="AA14">
        <v>1</v>
      </c>
      <c r="AB14">
        <v>5</v>
      </c>
      <c r="AC14">
        <v>1</v>
      </c>
      <c r="AD14">
        <v>2</v>
      </c>
      <c r="AE14">
        <v>5</v>
      </c>
      <c r="AF14">
        <v>2</v>
      </c>
      <c r="AG14">
        <v>4</v>
      </c>
      <c r="AH14">
        <v>3</v>
      </c>
      <c r="AI14" t="str">
        <f t="shared" si="0"/>
        <v>3-5 Years</v>
      </c>
      <c r="AJ14" t="str">
        <f t="shared" si="1"/>
        <v>3-5</v>
      </c>
    </row>
    <row r="15" spans="1:36" x14ac:dyDescent="0.35">
      <c r="A15">
        <v>14</v>
      </c>
      <c r="B15">
        <v>34</v>
      </c>
      <c r="C15" t="str">
        <f t="shared" si="2"/>
        <v>26-35</v>
      </c>
      <c r="D15" t="s">
        <v>38</v>
      </c>
      <c r="E15" t="s">
        <v>32</v>
      </c>
      <c r="F15" s="3">
        <v>1346</v>
      </c>
      <c r="G15" t="s">
        <v>40</v>
      </c>
      <c r="H15" s="1">
        <v>19</v>
      </c>
      <c r="I15" t="s">
        <v>58</v>
      </c>
      <c r="J15" t="s">
        <v>46</v>
      </c>
      <c r="K15" t="s">
        <v>61</v>
      </c>
      <c r="L15" t="s">
        <v>41</v>
      </c>
      <c r="M15" s="3">
        <v>93</v>
      </c>
      <c r="N15" t="s">
        <v>60</v>
      </c>
      <c r="O15" t="s">
        <v>59</v>
      </c>
      <c r="P15" t="s">
        <v>45</v>
      </c>
      <c r="Q15" t="s">
        <v>62</v>
      </c>
      <c r="R15" t="s">
        <v>47</v>
      </c>
      <c r="S15" s="3">
        <v>2661</v>
      </c>
      <c r="T15" s="3">
        <v>8758</v>
      </c>
      <c r="U15" s="3" t="str">
        <f t="shared" si="3"/>
        <v>Low</v>
      </c>
      <c r="V15">
        <v>0</v>
      </c>
      <c r="W15" t="s">
        <v>38</v>
      </c>
      <c r="X15" s="2">
        <v>11</v>
      </c>
      <c r="Y15" t="s">
        <v>60</v>
      </c>
      <c r="Z15" t="s">
        <v>60</v>
      </c>
      <c r="AA15">
        <v>1</v>
      </c>
      <c r="AB15">
        <v>3</v>
      </c>
      <c r="AC15">
        <v>2</v>
      </c>
      <c r="AD15">
        <v>3</v>
      </c>
      <c r="AE15">
        <v>2</v>
      </c>
      <c r="AF15">
        <v>2</v>
      </c>
      <c r="AG15">
        <v>1</v>
      </c>
      <c r="AH15">
        <v>2</v>
      </c>
      <c r="AI15" t="str">
        <f t="shared" si="0"/>
        <v>0-2 Years</v>
      </c>
      <c r="AJ15" t="str">
        <f t="shared" si="1"/>
        <v>0-2</v>
      </c>
    </row>
    <row r="16" spans="1:36" x14ac:dyDescent="0.35">
      <c r="A16">
        <v>15</v>
      </c>
      <c r="B16">
        <v>28</v>
      </c>
      <c r="C16" t="str">
        <f t="shared" si="2"/>
        <v>26-35</v>
      </c>
      <c r="D16" t="s">
        <v>31</v>
      </c>
      <c r="E16" t="s">
        <v>32</v>
      </c>
      <c r="F16" s="3">
        <v>103</v>
      </c>
      <c r="G16" t="s">
        <v>40</v>
      </c>
      <c r="H16" s="1">
        <v>24</v>
      </c>
      <c r="I16" t="s">
        <v>61</v>
      </c>
      <c r="J16" t="s">
        <v>34</v>
      </c>
      <c r="K16" t="s">
        <v>60</v>
      </c>
      <c r="L16" t="s">
        <v>41</v>
      </c>
      <c r="M16" s="3">
        <v>50</v>
      </c>
      <c r="N16" t="s">
        <v>61</v>
      </c>
      <c r="O16" t="s">
        <v>59</v>
      </c>
      <c r="P16" t="s">
        <v>45</v>
      </c>
      <c r="Q16" t="s">
        <v>60</v>
      </c>
      <c r="R16" t="s">
        <v>37</v>
      </c>
      <c r="S16" s="3">
        <v>2028</v>
      </c>
      <c r="T16" s="3">
        <v>12947</v>
      </c>
      <c r="U16" s="3" t="str">
        <f t="shared" si="3"/>
        <v>Low</v>
      </c>
      <c r="V16">
        <v>5</v>
      </c>
      <c r="W16" t="s">
        <v>31</v>
      </c>
      <c r="X16" s="2">
        <v>14</v>
      </c>
      <c r="Y16" t="s">
        <v>60</v>
      </c>
      <c r="Z16" t="s">
        <v>61</v>
      </c>
      <c r="AA16">
        <v>0</v>
      </c>
      <c r="AB16">
        <v>6</v>
      </c>
      <c r="AC16">
        <v>4</v>
      </c>
      <c r="AD16">
        <v>3</v>
      </c>
      <c r="AE16">
        <v>4</v>
      </c>
      <c r="AF16">
        <v>2</v>
      </c>
      <c r="AG16">
        <v>0</v>
      </c>
      <c r="AH16">
        <v>3</v>
      </c>
      <c r="AI16" t="str">
        <f t="shared" si="0"/>
        <v>3-5 Years</v>
      </c>
      <c r="AJ16" t="str">
        <f t="shared" si="1"/>
        <v>0-2</v>
      </c>
    </row>
    <row r="17" spans="1:36" x14ac:dyDescent="0.35">
      <c r="A17">
        <v>16</v>
      </c>
      <c r="B17">
        <v>29</v>
      </c>
      <c r="C17" t="str">
        <f t="shared" si="2"/>
        <v>26-35</v>
      </c>
      <c r="D17" t="s">
        <v>38</v>
      </c>
      <c r="E17" t="s">
        <v>32</v>
      </c>
      <c r="F17" s="3">
        <v>1389</v>
      </c>
      <c r="G17" t="s">
        <v>40</v>
      </c>
      <c r="H17" s="1">
        <v>21</v>
      </c>
      <c r="I17" t="s">
        <v>60</v>
      </c>
      <c r="J17" t="s">
        <v>34</v>
      </c>
      <c r="K17" t="s">
        <v>61</v>
      </c>
      <c r="L17" t="s">
        <v>35</v>
      </c>
      <c r="M17" s="3">
        <v>51</v>
      </c>
      <c r="N17" t="s">
        <v>62</v>
      </c>
      <c r="O17" t="s">
        <v>60</v>
      </c>
      <c r="P17" t="s">
        <v>48</v>
      </c>
      <c r="Q17" t="s">
        <v>59</v>
      </c>
      <c r="R17" t="s">
        <v>47</v>
      </c>
      <c r="S17" s="3">
        <v>9980</v>
      </c>
      <c r="T17" s="3">
        <v>10195</v>
      </c>
      <c r="U17" s="3" t="str">
        <f t="shared" si="3"/>
        <v>Medium</v>
      </c>
      <c r="V17">
        <v>1</v>
      </c>
      <c r="W17" t="s">
        <v>38</v>
      </c>
      <c r="X17" s="2">
        <v>11</v>
      </c>
      <c r="Y17" t="s">
        <v>60</v>
      </c>
      <c r="Z17" t="s">
        <v>60</v>
      </c>
      <c r="AA17">
        <v>1</v>
      </c>
      <c r="AB17">
        <v>10</v>
      </c>
      <c r="AC17">
        <v>1</v>
      </c>
      <c r="AD17">
        <v>3</v>
      </c>
      <c r="AE17">
        <v>10</v>
      </c>
      <c r="AF17">
        <v>9</v>
      </c>
      <c r="AG17">
        <v>8</v>
      </c>
      <c r="AH17">
        <v>8</v>
      </c>
      <c r="AI17" t="str">
        <f t="shared" si="0"/>
        <v>6-10 Years</v>
      </c>
      <c r="AJ17" t="str">
        <f t="shared" si="1"/>
        <v>6+</v>
      </c>
    </row>
    <row r="18" spans="1:36" x14ac:dyDescent="0.35">
      <c r="A18">
        <v>17</v>
      </c>
      <c r="B18">
        <v>32</v>
      </c>
      <c r="C18" t="str">
        <f t="shared" si="2"/>
        <v>26-35</v>
      </c>
      <c r="D18" t="s">
        <v>38</v>
      </c>
      <c r="E18" t="s">
        <v>32</v>
      </c>
      <c r="F18" s="3">
        <v>1389</v>
      </c>
      <c r="G18" t="s">
        <v>40</v>
      </c>
      <c r="H18" s="1">
        <v>5</v>
      </c>
      <c r="I18" t="s">
        <v>58</v>
      </c>
      <c r="J18" t="s">
        <v>34</v>
      </c>
      <c r="K18" t="s">
        <v>59</v>
      </c>
      <c r="L18" t="s">
        <v>41</v>
      </c>
      <c r="M18" s="3">
        <v>80</v>
      </c>
      <c r="N18" t="s">
        <v>62</v>
      </c>
      <c r="O18" t="s">
        <v>59</v>
      </c>
      <c r="P18" t="s">
        <v>42</v>
      </c>
      <c r="Q18" t="s">
        <v>61</v>
      </c>
      <c r="R18" t="s">
        <v>47</v>
      </c>
      <c r="S18" s="3">
        <v>3298</v>
      </c>
      <c r="T18" s="3">
        <v>15053</v>
      </c>
      <c r="U18" s="3" t="str">
        <f t="shared" si="3"/>
        <v>Low</v>
      </c>
      <c r="V18">
        <v>0</v>
      </c>
      <c r="W18" t="s">
        <v>31</v>
      </c>
      <c r="X18" s="2">
        <v>12</v>
      </c>
      <c r="Y18" t="s">
        <v>60</v>
      </c>
      <c r="Z18" t="s">
        <v>62</v>
      </c>
      <c r="AA18">
        <v>2</v>
      </c>
      <c r="AB18">
        <v>7</v>
      </c>
      <c r="AC18">
        <v>5</v>
      </c>
      <c r="AD18">
        <v>2</v>
      </c>
      <c r="AE18">
        <v>6</v>
      </c>
      <c r="AF18">
        <v>2</v>
      </c>
      <c r="AG18">
        <v>0</v>
      </c>
      <c r="AH18">
        <v>5</v>
      </c>
      <c r="AI18" t="str">
        <f t="shared" si="0"/>
        <v>6-10 Years</v>
      </c>
      <c r="AJ18" t="str">
        <f t="shared" si="1"/>
        <v>0-2</v>
      </c>
    </row>
    <row r="19" spans="1:36" x14ac:dyDescent="0.35">
      <c r="A19">
        <v>18</v>
      </c>
      <c r="B19">
        <v>22</v>
      </c>
      <c r="C19" t="str">
        <f t="shared" si="2"/>
        <v>18-25</v>
      </c>
      <c r="D19" t="s">
        <v>38</v>
      </c>
      <c r="E19" t="s">
        <v>50</v>
      </c>
      <c r="F19" s="3">
        <v>1389</v>
      </c>
      <c r="G19" t="s">
        <v>40</v>
      </c>
      <c r="H19" s="1">
        <v>16</v>
      </c>
      <c r="I19" t="s">
        <v>58</v>
      </c>
      <c r="J19" t="s">
        <v>46</v>
      </c>
      <c r="K19" t="s">
        <v>62</v>
      </c>
      <c r="L19" t="s">
        <v>41</v>
      </c>
      <c r="M19" s="3">
        <v>96</v>
      </c>
      <c r="N19" t="s">
        <v>62</v>
      </c>
      <c r="O19" t="s">
        <v>59</v>
      </c>
      <c r="P19" t="s">
        <v>45</v>
      </c>
      <c r="Q19" t="s">
        <v>62</v>
      </c>
      <c r="R19" t="s">
        <v>47</v>
      </c>
      <c r="S19" s="3">
        <v>2935</v>
      </c>
      <c r="T19" s="3">
        <v>7324</v>
      </c>
      <c r="U19" s="3" t="str">
        <f t="shared" si="3"/>
        <v>Low</v>
      </c>
      <c r="V19">
        <v>1</v>
      </c>
      <c r="W19" t="s">
        <v>31</v>
      </c>
      <c r="X19" s="2">
        <v>13</v>
      </c>
      <c r="Y19" t="s">
        <v>60</v>
      </c>
      <c r="Z19" t="s">
        <v>61</v>
      </c>
      <c r="AA19">
        <v>2</v>
      </c>
      <c r="AB19">
        <v>1</v>
      </c>
      <c r="AC19">
        <v>2</v>
      </c>
      <c r="AD19">
        <v>2</v>
      </c>
      <c r="AE19">
        <v>1</v>
      </c>
      <c r="AF19">
        <v>0</v>
      </c>
      <c r="AG19">
        <v>0</v>
      </c>
      <c r="AH19">
        <v>0</v>
      </c>
      <c r="AI19" t="str">
        <f t="shared" si="0"/>
        <v>0-2 Years</v>
      </c>
      <c r="AJ19" t="str">
        <f t="shared" si="1"/>
        <v>0-2</v>
      </c>
    </row>
    <row r="20" spans="1:36" x14ac:dyDescent="0.35">
      <c r="A20">
        <v>19</v>
      </c>
      <c r="B20">
        <v>53</v>
      </c>
      <c r="C20" t="str">
        <f t="shared" si="2"/>
        <v>46-55</v>
      </c>
      <c r="D20" t="s">
        <v>38</v>
      </c>
      <c r="E20" t="s">
        <v>32</v>
      </c>
      <c r="F20" s="3">
        <v>1389</v>
      </c>
      <c r="G20" t="s">
        <v>33</v>
      </c>
      <c r="H20" s="1">
        <v>2</v>
      </c>
      <c r="I20" t="s">
        <v>60</v>
      </c>
      <c r="J20" t="s">
        <v>34</v>
      </c>
      <c r="K20" t="s">
        <v>59</v>
      </c>
      <c r="L20" t="s">
        <v>35</v>
      </c>
      <c r="M20" s="3">
        <v>78</v>
      </c>
      <c r="N20" t="s">
        <v>61</v>
      </c>
      <c r="O20" t="s">
        <v>62</v>
      </c>
      <c r="P20" t="s">
        <v>51</v>
      </c>
      <c r="Q20" t="s">
        <v>62</v>
      </c>
      <c r="R20" t="s">
        <v>43</v>
      </c>
      <c r="S20" s="3">
        <v>15427</v>
      </c>
      <c r="T20" s="3">
        <v>22021</v>
      </c>
      <c r="U20" s="3" t="str">
        <f t="shared" si="3"/>
        <v>High</v>
      </c>
      <c r="V20">
        <v>2</v>
      </c>
      <c r="W20" t="s">
        <v>38</v>
      </c>
      <c r="X20" s="2">
        <v>16</v>
      </c>
      <c r="Y20" t="s">
        <v>60</v>
      </c>
      <c r="Z20" t="s">
        <v>60</v>
      </c>
      <c r="AA20">
        <v>0</v>
      </c>
      <c r="AB20">
        <v>31</v>
      </c>
      <c r="AC20">
        <v>3</v>
      </c>
      <c r="AD20">
        <v>3</v>
      </c>
      <c r="AE20">
        <v>25</v>
      </c>
      <c r="AF20">
        <v>8</v>
      </c>
      <c r="AG20">
        <v>3</v>
      </c>
      <c r="AH20">
        <v>7</v>
      </c>
      <c r="AI20" t="str">
        <f t="shared" si="0"/>
        <v>10+ Years</v>
      </c>
      <c r="AJ20" t="str">
        <f t="shared" si="1"/>
        <v>3-5</v>
      </c>
    </row>
    <row r="21" spans="1:36" x14ac:dyDescent="0.35">
      <c r="A21">
        <v>20</v>
      </c>
      <c r="B21">
        <v>38</v>
      </c>
      <c r="C21" t="str">
        <f t="shared" si="2"/>
        <v>36-45</v>
      </c>
      <c r="D21" t="s">
        <v>38</v>
      </c>
      <c r="E21" t="s">
        <v>32</v>
      </c>
      <c r="F21" s="3">
        <v>1389</v>
      </c>
      <c r="G21" t="s">
        <v>40</v>
      </c>
      <c r="H21" s="1">
        <v>2</v>
      </c>
      <c r="I21" t="s">
        <v>61</v>
      </c>
      <c r="J21" t="s">
        <v>34</v>
      </c>
      <c r="K21" t="s">
        <v>62</v>
      </c>
      <c r="L21" t="s">
        <v>41</v>
      </c>
      <c r="M21" s="3">
        <v>45</v>
      </c>
      <c r="N21" t="s">
        <v>60</v>
      </c>
      <c r="O21" t="s">
        <v>59</v>
      </c>
      <c r="P21" t="s">
        <v>42</v>
      </c>
      <c r="Q21" t="s">
        <v>62</v>
      </c>
      <c r="R21" t="s">
        <v>37</v>
      </c>
      <c r="S21" s="3">
        <v>3944</v>
      </c>
      <c r="T21" s="3">
        <v>4306</v>
      </c>
      <c r="U21" s="3" t="str">
        <f t="shared" si="3"/>
        <v>Low</v>
      </c>
      <c r="V21">
        <v>5</v>
      </c>
      <c r="W21" t="s">
        <v>31</v>
      </c>
      <c r="X21" s="2">
        <v>11</v>
      </c>
      <c r="Y21" t="s">
        <v>60</v>
      </c>
      <c r="Z21" t="s">
        <v>60</v>
      </c>
      <c r="AA21">
        <v>0</v>
      </c>
      <c r="AB21">
        <v>6</v>
      </c>
      <c r="AC21">
        <v>3</v>
      </c>
      <c r="AD21">
        <v>3</v>
      </c>
      <c r="AE21">
        <v>3</v>
      </c>
      <c r="AF21">
        <v>2</v>
      </c>
      <c r="AG21">
        <v>1</v>
      </c>
      <c r="AH21">
        <v>2</v>
      </c>
      <c r="AI21" t="str">
        <f t="shared" si="0"/>
        <v>3-5 Years</v>
      </c>
      <c r="AJ21" t="str">
        <f t="shared" si="1"/>
        <v>0-2</v>
      </c>
    </row>
    <row r="22" spans="1:36" x14ac:dyDescent="0.35">
      <c r="A22">
        <v>21</v>
      </c>
      <c r="B22">
        <v>24</v>
      </c>
      <c r="C22" t="str">
        <f t="shared" si="2"/>
        <v>18-25</v>
      </c>
      <c r="D22" t="s">
        <v>38</v>
      </c>
      <c r="E22" t="s">
        <v>50</v>
      </c>
      <c r="F22" s="3">
        <v>1389</v>
      </c>
      <c r="G22" t="s">
        <v>40</v>
      </c>
      <c r="H22" s="1">
        <v>11</v>
      </c>
      <c r="I22" t="s">
        <v>58</v>
      </c>
      <c r="J22" t="s">
        <v>44</v>
      </c>
      <c r="K22" t="s">
        <v>59</v>
      </c>
      <c r="L22" t="s">
        <v>35</v>
      </c>
      <c r="M22" s="3">
        <v>96</v>
      </c>
      <c r="N22" t="s">
        <v>62</v>
      </c>
      <c r="O22" t="s">
        <v>61</v>
      </c>
      <c r="P22" t="s">
        <v>48</v>
      </c>
      <c r="Q22" t="s">
        <v>60</v>
      </c>
      <c r="R22" t="s">
        <v>47</v>
      </c>
      <c r="S22" s="3">
        <v>4011</v>
      </c>
      <c r="T22" s="3">
        <v>8232</v>
      </c>
      <c r="U22" s="3" t="str">
        <f t="shared" si="3"/>
        <v>Low</v>
      </c>
      <c r="V22">
        <v>0</v>
      </c>
      <c r="W22" t="s">
        <v>38</v>
      </c>
      <c r="X22" s="2">
        <v>18</v>
      </c>
      <c r="Y22" t="s">
        <v>60</v>
      </c>
      <c r="Z22" t="s">
        <v>62</v>
      </c>
      <c r="AA22">
        <v>1</v>
      </c>
      <c r="AB22">
        <v>5</v>
      </c>
      <c r="AC22">
        <v>5</v>
      </c>
      <c r="AD22">
        <v>2</v>
      </c>
      <c r="AE22">
        <v>4</v>
      </c>
      <c r="AF22">
        <v>2</v>
      </c>
      <c r="AG22">
        <v>1</v>
      </c>
      <c r="AH22">
        <v>3</v>
      </c>
      <c r="AI22" t="str">
        <f t="shared" si="0"/>
        <v>3-5 Years</v>
      </c>
      <c r="AJ22" t="str">
        <f t="shared" si="1"/>
        <v>0-2</v>
      </c>
    </row>
    <row r="23" spans="1:36" x14ac:dyDescent="0.35">
      <c r="A23">
        <v>22</v>
      </c>
      <c r="B23">
        <v>36</v>
      </c>
      <c r="C23" t="str">
        <f t="shared" si="2"/>
        <v>36-45</v>
      </c>
      <c r="D23" t="s">
        <v>31</v>
      </c>
      <c r="E23" t="s">
        <v>32</v>
      </c>
      <c r="F23" s="3">
        <v>1389</v>
      </c>
      <c r="G23" t="s">
        <v>33</v>
      </c>
      <c r="H23" s="1">
        <v>9</v>
      </c>
      <c r="I23" t="s">
        <v>60</v>
      </c>
      <c r="J23" t="s">
        <v>34</v>
      </c>
      <c r="K23" t="s">
        <v>60</v>
      </c>
      <c r="L23" t="s">
        <v>41</v>
      </c>
      <c r="M23" s="3">
        <v>82</v>
      </c>
      <c r="N23" t="s">
        <v>61</v>
      </c>
      <c r="O23" t="s">
        <v>59</v>
      </c>
      <c r="P23" t="s">
        <v>52</v>
      </c>
      <c r="Q23" t="s">
        <v>59</v>
      </c>
      <c r="R23" t="s">
        <v>37</v>
      </c>
      <c r="S23" s="3">
        <v>3407</v>
      </c>
      <c r="T23" s="3">
        <v>6986</v>
      </c>
      <c r="U23" s="3" t="str">
        <f t="shared" si="3"/>
        <v>Low</v>
      </c>
      <c r="V23">
        <v>7</v>
      </c>
      <c r="W23" t="s">
        <v>38</v>
      </c>
      <c r="X23" s="2">
        <v>23</v>
      </c>
      <c r="Y23" t="s">
        <v>62</v>
      </c>
      <c r="Z23" t="s">
        <v>61</v>
      </c>
      <c r="AA23">
        <v>0</v>
      </c>
      <c r="AB23">
        <v>10</v>
      </c>
      <c r="AC23">
        <v>4</v>
      </c>
      <c r="AD23">
        <v>3</v>
      </c>
      <c r="AE23">
        <v>5</v>
      </c>
      <c r="AF23">
        <v>3</v>
      </c>
      <c r="AG23">
        <v>0</v>
      </c>
      <c r="AH23">
        <v>3</v>
      </c>
      <c r="AI23" t="str">
        <f t="shared" si="0"/>
        <v>3-5 Years</v>
      </c>
      <c r="AJ23" t="str">
        <f t="shared" si="1"/>
        <v>0-2</v>
      </c>
    </row>
    <row r="24" spans="1:36" x14ac:dyDescent="0.35">
      <c r="A24">
        <v>23</v>
      </c>
      <c r="B24">
        <v>34</v>
      </c>
      <c r="C24" t="str">
        <f t="shared" si="2"/>
        <v>26-35</v>
      </c>
      <c r="D24" t="s">
        <v>38</v>
      </c>
      <c r="E24" t="s">
        <v>32</v>
      </c>
      <c r="F24" s="3">
        <v>1389</v>
      </c>
      <c r="G24" t="s">
        <v>40</v>
      </c>
      <c r="H24" s="1">
        <v>7</v>
      </c>
      <c r="I24" t="s">
        <v>60</v>
      </c>
      <c r="J24" t="s">
        <v>34</v>
      </c>
      <c r="K24" t="s">
        <v>59</v>
      </c>
      <c r="L24" t="s">
        <v>35</v>
      </c>
      <c r="M24" s="3">
        <v>53</v>
      </c>
      <c r="N24" t="s">
        <v>60</v>
      </c>
      <c r="O24" t="s">
        <v>60</v>
      </c>
      <c r="P24" t="s">
        <v>53</v>
      </c>
      <c r="Q24" t="s">
        <v>61</v>
      </c>
      <c r="R24" t="s">
        <v>37</v>
      </c>
      <c r="S24" s="3">
        <v>11994</v>
      </c>
      <c r="T24" s="3">
        <v>21293</v>
      </c>
      <c r="U24" s="3" t="str">
        <f t="shared" si="3"/>
        <v>High</v>
      </c>
      <c r="V24">
        <v>0</v>
      </c>
      <c r="W24" t="s">
        <v>38</v>
      </c>
      <c r="X24" s="2">
        <v>11</v>
      </c>
      <c r="Y24" t="s">
        <v>60</v>
      </c>
      <c r="Z24" t="s">
        <v>60</v>
      </c>
      <c r="AA24">
        <v>0</v>
      </c>
      <c r="AB24">
        <v>13</v>
      </c>
      <c r="AC24">
        <v>4</v>
      </c>
      <c r="AD24">
        <v>3</v>
      </c>
      <c r="AE24">
        <v>12</v>
      </c>
      <c r="AF24">
        <v>6</v>
      </c>
      <c r="AG24">
        <v>2</v>
      </c>
      <c r="AH24">
        <v>11</v>
      </c>
      <c r="AI24" t="str">
        <f t="shared" si="0"/>
        <v>10+ Years</v>
      </c>
      <c r="AJ24" t="str">
        <f t="shared" si="1"/>
        <v>0-2</v>
      </c>
    </row>
    <row r="25" spans="1:36" x14ac:dyDescent="0.35">
      <c r="A25">
        <v>24</v>
      </c>
      <c r="B25">
        <v>21</v>
      </c>
      <c r="C25" t="str">
        <f t="shared" si="2"/>
        <v>18-25</v>
      </c>
      <c r="D25" t="s">
        <v>38</v>
      </c>
      <c r="E25" t="s">
        <v>32</v>
      </c>
      <c r="F25" s="3">
        <v>1389</v>
      </c>
      <c r="G25" t="s">
        <v>40</v>
      </c>
      <c r="H25" s="1">
        <v>15</v>
      </c>
      <c r="I25" t="s">
        <v>58</v>
      </c>
      <c r="J25" t="s">
        <v>34</v>
      </c>
      <c r="K25" t="s">
        <v>60</v>
      </c>
      <c r="L25" t="s">
        <v>41</v>
      </c>
      <c r="M25" s="3">
        <v>96</v>
      </c>
      <c r="N25" t="s">
        <v>60</v>
      </c>
      <c r="O25" t="s">
        <v>59</v>
      </c>
      <c r="P25" t="s">
        <v>42</v>
      </c>
      <c r="Q25" t="s">
        <v>62</v>
      </c>
      <c r="R25" t="s">
        <v>37</v>
      </c>
      <c r="S25" s="3">
        <v>1232</v>
      </c>
      <c r="T25" s="3">
        <v>19281</v>
      </c>
      <c r="U25" s="3" t="str">
        <f t="shared" si="3"/>
        <v>Low</v>
      </c>
      <c r="V25">
        <v>1</v>
      </c>
      <c r="W25" t="s">
        <v>38</v>
      </c>
      <c r="X25" s="2">
        <v>14</v>
      </c>
      <c r="Y25" t="s">
        <v>60</v>
      </c>
      <c r="Z25" t="s">
        <v>62</v>
      </c>
      <c r="AA25">
        <v>0</v>
      </c>
      <c r="AB25">
        <v>0</v>
      </c>
      <c r="AC25">
        <v>6</v>
      </c>
      <c r="AD25">
        <v>3</v>
      </c>
      <c r="AE25">
        <v>0</v>
      </c>
      <c r="AF25">
        <v>0</v>
      </c>
      <c r="AG25">
        <v>0</v>
      </c>
      <c r="AH25">
        <v>0</v>
      </c>
      <c r="AI25" t="str">
        <f t="shared" si="0"/>
        <v>0-2 Years</v>
      </c>
      <c r="AJ25" t="str">
        <f t="shared" si="1"/>
        <v>0-2</v>
      </c>
    </row>
    <row r="26" spans="1:36" x14ac:dyDescent="0.35">
      <c r="A26">
        <v>25</v>
      </c>
      <c r="B26">
        <v>34</v>
      </c>
      <c r="C26" t="str">
        <f t="shared" si="2"/>
        <v>26-35</v>
      </c>
      <c r="D26" t="s">
        <v>31</v>
      </c>
      <c r="E26" t="s">
        <v>32</v>
      </c>
      <c r="F26" s="3">
        <v>1389</v>
      </c>
      <c r="G26" t="s">
        <v>40</v>
      </c>
      <c r="H26" s="1">
        <v>6</v>
      </c>
      <c r="I26" t="s">
        <v>59</v>
      </c>
      <c r="J26" t="s">
        <v>46</v>
      </c>
      <c r="K26" t="s">
        <v>61</v>
      </c>
      <c r="L26" t="s">
        <v>41</v>
      </c>
      <c r="M26" s="3">
        <v>83</v>
      </c>
      <c r="N26" t="s">
        <v>60</v>
      </c>
      <c r="O26" t="s">
        <v>59</v>
      </c>
      <c r="P26" t="s">
        <v>42</v>
      </c>
      <c r="Q26" t="s">
        <v>59</v>
      </c>
      <c r="R26" t="s">
        <v>37</v>
      </c>
      <c r="S26" s="3">
        <v>2960</v>
      </c>
      <c r="T26" s="3">
        <v>17102</v>
      </c>
      <c r="U26" s="3" t="str">
        <f t="shared" si="3"/>
        <v>Low</v>
      </c>
      <c r="V26">
        <v>2</v>
      </c>
      <c r="W26" t="s">
        <v>38</v>
      </c>
      <c r="X26" s="2">
        <v>11</v>
      </c>
      <c r="Y26" t="s">
        <v>60</v>
      </c>
      <c r="Z26" t="s">
        <v>60</v>
      </c>
      <c r="AA26">
        <v>0</v>
      </c>
      <c r="AB26">
        <v>8</v>
      </c>
      <c r="AC26">
        <v>2</v>
      </c>
      <c r="AD26">
        <v>3</v>
      </c>
      <c r="AE26">
        <v>4</v>
      </c>
      <c r="AF26">
        <v>2</v>
      </c>
      <c r="AG26">
        <v>1</v>
      </c>
      <c r="AH26">
        <v>3</v>
      </c>
      <c r="AI26" t="str">
        <f t="shared" si="0"/>
        <v>3-5 Years</v>
      </c>
      <c r="AJ26" t="str">
        <f t="shared" si="1"/>
        <v>0-2</v>
      </c>
    </row>
    <row r="27" spans="1:36" x14ac:dyDescent="0.35">
      <c r="A27">
        <v>26</v>
      </c>
      <c r="B27">
        <v>53</v>
      </c>
      <c r="C27" t="str">
        <f t="shared" si="2"/>
        <v>46-55</v>
      </c>
      <c r="D27" t="s">
        <v>38</v>
      </c>
      <c r="E27" t="s">
        <v>32</v>
      </c>
      <c r="F27" s="3">
        <v>1389</v>
      </c>
      <c r="G27" t="s">
        <v>40</v>
      </c>
      <c r="H27" s="1">
        <v>5</v>
      </c>
      <c r="I27" t="s">
        <v>61</v>
      </c>
      <c r="J27" t="s">
        <v>44</v>
      </c>
      <c r="K27" t="s">
        <v>60</v>
      </c>
      <c r="L27" t="s">
        <v>35</v>
      </c>
      <c r="M27" s="3">
        <v>58</v>
      </c>
      <c r="N27" t="s">
        <v>60</v>
      </c>
      <c r="O27" t="e">
        <v>#N/A</v>
      </c>
      <c r="P27" t="s">
        <v>51</v>
      </c>
      <c r="Q27" t="s">
        <v>60</v>
      </c>
      <c r="R27" t="s">
        <v>47</v>
      </c>
      <c r="S27" s="3">
        <v>19094</v>
      </c>
      <c r="T27" s="3">
        <v>10735</v>
      </c>
      <c r="U27" s="3" t="str">
        <f t="shared" si="3"/>
        <v>High</v>
      </c>
      <c r="V27">
        <v>4</v>
      </c>
      <c r="W27" t="s">
        <v>38</v>
      </c>
      <c r="X27" s="2">
        <v>11</v>
      </c>
      <c r="Y27" t="s">
        <v>60</v>
      </c>
      <c r="Z27" t="s">
        <v>62</v>
      </c>
      <c r="AA27">
        <v>1</v>
      </c>
      <c r="AB27">
        <v>26</v>
      </c>
      <c r="AC27">
        <v>3</v>
      </c>
      <c r="AD27">
        <v>2</v>
      </c>
      <c r="AE27">
        <v>14</v>
      </c>
      <c r="AF27">
        <v>13</v>
      </c>
      <c r="AG27">
        <v>4</v>
      </c>
      <c r="AH27">
        <v>8</v>
      </c>
      <c r="AI27" t="str">
        <f t="shared" si="0"/>
        <v>10+ Years</v>
      </c>
      <c r="AJ27" t="str">
        <f t="shared" si="1"/>
        <v>3-5</v>
      </c>
    </row>
    <row r="28" spans="1:36" x14ac:dyDescent="0.35">
      <c r="A28">
        <v>27</v>
      </c>
      <c r="B28">
        <v>32</v>
      </c>
      <c r="C28" t="str">
        <f t="shared" si="2"/>
        <v>26-35</v>
      </c>
      <c r="D28" t="s">
        <v>31</v>
      </c>
      <c r="E28" t="s">
        <v>39</v>
      </c>
      <c r="F28" s="3">
        <v>1389</v>
      </c>
      <c r="G28" t="s">
        <v>40</v>
      </c>
      <c r="H28" s="1">
        <v>16</v>
      </c>
      <c r="I28" t="s">
        <v>59</v>
      </c>
      <c r="J28" t="s">
        <v>34</v>
      </c>
      <c r="K28" t="s">
        <v>61</v>
      </c>
      <c r="L28" t="s">
        <v>35</v>
      </c>
      <c r="M28" s="3">
        <v>72</v>
      </c>
      <c r="N28" t="s">
        <v>59</v>
      </c>
      <c r="O28" t="s">
        <v>59</v>
      </c>
      <c r="P28" t="s">
        <v>42</v>
      </c>
      <c r="Q28" t="s">
        <v>59</v>
      </c>
      <c r="R28" t="s">
        <v>37</v>
      </c>
      <c r="S28" s="3">
        <v>3919</v>
      </c>
      <c r="T28" s="3">
        <v>4681</v>
      </c>
      <c r="U28" s="3" t="str">
        <f t="shared" si="3"/>
        <v>Low</v>
      </c>
      <c r="V28">
        <v>1</v>
      </c>
      <c r="W28" t="s">
        <v>31</v>
      </c>
      <c r="X28" s="2">
        <v>22</v>
      </c>
      <c r="Y28" t="s">
        <v>62</v>
      </c>
      <c r="Z28" t="s">
        <v>61</v>
      </c>
      <c r="AA28">
        <v>0</v>
      </c>
      <c r="AB28">
        <v>10</v>
      </c>
      <c r="AC28">
        <v>5</v>
      </c>
      <c r="AD28">
        <v>3</v>
      </c>
      <c r="AE28">
        <v>10</v>
      </c>
      <c r="AF28">
        <v>2</v>
      </c>
      <c r="AG28">
        <v>6</v>
      </c>
      <c r="AH28">
        <v>7</v>
      </c>
      <c r="AI28" t="str">
        <f t="shared" si="0"/>
        <v>6-10 Years</v>
      </c>
      <c r="AJ28" t="str">
        <f t="shared" si="1"/>
        <v>6+</v>
      </c>
    </row>
    <row r="29" spans="1:36" x14ac:dyDescent="0.35">
      <c r="A29">
        <v>28</v>
      </c>
      <c r="B29">
        <v>42</v>
      </c>
      <c r="C29" t="str">
        <f t="shared" si="2"/>
        <v>36-45</v>
      </c>
      <c r="D29" t="s">
        <v>38</v>
      </c>
      <c r="E29" t="s">
        <v>32</v>
      </c>
      <c r="F29" s="3">
        <v>1389</v>
      </c>
      <c r="G29" t="s">
        <v>33</v>
      </c>
      <c r="H29" s="1">
        <v>8</v>
      </c>
      <c r="I29" t="s">
        <v>60</v>
      </c>
      <c r="J29" t="s">
        <v>54</v>
      </c>
      <c r="K29" t="s">
        <v>60</v>
      </c>
      <c r="L29" t="s">
        <v>41</v>
      </c>
      <c r="M29" s="3">
        <v>48</v>
      </c>
      <c r="N29" t="s">
        <v>60</v>
      </c>
      <c r="O29" t="s">
        <v>61</v>
      </c>
      <c r="P29" t="s">
        <v>36</v>
      </c>
      <c r="Q29" t="s">
        <v>61</v>
      </c>
      <c r="R29" t="s">
        <v>43</v>
      </c>
      <c r="S29" s="3">
        <v>6825</v>
      </c>
      <c r="T29" s="3">
        <v>21173</v>
      </c>
      <c r="U29" s="3" t="str">
        <f t="shared" si="3"/>
        <v>Medium</v>
      </c>
      <c r="V29">
        <v>0</v>
      </c>
      <c r="W29" t="s">
        <v>38</v>
      </c>
      <c r="X29" s="2">
        <v>11</v>
      </c>
      <c r="Y29" t="s">
        <v>60</v>
      </c>
      <c r="Z29" t="s">
        <v>62</v>
      </c>
      <c r="AA29">
        <v>1</v>
      </c>
      <c r="AB29">
        <v>10</v>
      </c>
      <c r="AC29">
        <v>2</v>
      </c>
      <c r="AD29">
        <v>3</v>
      </c>
      <c r="AE29">
        <v>9</v>
      </c>
      <c r="AF29">
        <v>7</v>
      </c>
      <c r="AG29">
        <v>4</v>
      </c>
      <c r="AH29">
        <v>2</v>
      </c>
      <c r="AI29" t="str">
        <f t="shared" si="0"/>
        <v>6-10 Years</v>
      </c>
      <c r="AJ29" t="str">
        <f t="shared" si="1"/>
        <v>3-5</v>
      </c>
    </row>
    <row r="30" spans="1:36" x14ac:dyDescent="0.35">
      <c r="A30">
        <v>29</v>
      </c>
      <c r="B30">
        <v>44</v>
      </c>
      <c r="C30" t="str">
        <f t="shared" si="2"/>
        <v>36-45</v>
      </c>
      <c r="D30" t="s">
        <v>38</v>
      </c>
      <c r="E30" t="s">
        <v>32</v>
      </c>
      <c r="F30" s="3">
        <v>1389</v>
      </c>
      <c r="G30" t="s">
        <v>40</v>
      </c>
      <c r="H30" s="1">
        <v>7</v>
      </c>
      <c r="I30" t="s">
        <v>60</v>
      </c>
      <c r="J30" t="s">
        <v>46</v>
      </c>
      <c r="K30" t="s">
        <v>59</v>
      </c>
      <c r="L30" t="s">
        <v>35</v>
      </c>
      <c r="M30" s="3">
        <v>42</v>
      </c>
      <c r="N30" t="s">
        <v>61</v>
      </c>
      <c r="O30" t="s">
        <v>60</v>
      </c>
      <c r="P30" t="s">
        <v>49</v>
      </c>
      <c r="Q30" t="s">
        <v>62</v>
      </c>
      <c r="R30" t="s">
        <v>43</v>
      </c>
      <c r="S30" s="3">
        <v>10248</v>
      </c>
      <c r="T30" s="3">
        <v>2094</v>
      </c>
      <c r="U30" s="3" t="str">
        <f t="shared" si="3"/>
        <v>High</v>
      </c>
      <c r="V30">
        <v>3</v>
      </c>
      <c r="W30" t="s">
        <v>38</v>
      </c>
      <c r="X30" s="2">
        <v>14</v>
      </c>
      <c r="Y30" t="s">
        <v>60</v>
      </c>
      <c r="Z30" t="s">
        <v>62</v>
      </c>
      <c r="AA30">
        <v>1</v>
      </c>
      <c r="AB30">
        <v>24</v>
      </c>
      <c r="AC30">
        <v>4</v>
      </c>
      <c r="AD30">
        <v>3</v>
      </c>
      <c r="AE30">
        <v>22</v>
      </c>
      <c r="AF30">
        <v>6</v>
      </c>
      <c r="AG30">
        <v>5</v>
      </c>
      <c r="AH30">
        <v>17</v>
      </c>
      <c r="AI30" t="str">
        <f t="shared" si="0"/>
        <v>10+ Years</v>
      </c>
      <c r="AJ30" t="str">
        <f t="shared" si="1"/>
        <v>3-5</v>
      </c>
    </row>
    <row r="31" spans="1:36" x14ac:dyDescent="0.35">
      <c r="A31">
        <v>30</v>
      </c>
      <c r="B31">
        <v>46</v>
      </c>
      <c r="C31" t="str">
        <f t="shared" si="2"/>
        <v>46-55</v>
      </c>
      <c r="D31" t="s">
        <v>38</v>
      </c>
      <c r="E31" t="s">
        <v>32</v>
      </c>
      <c r="F31" s="3">
        <v>1389</v>
      </c>
      <c r="G31" t="s">
        <v>33</v>
      </c>
      <c r="H31" s="1">
        <v>2</v>
      </c>
      <c r="I31" t="s">
        <v>60</v>
      </c>
      <c r="J31" t="s">
        <v>54</v>
      </c>
      <c r="K31" t="s">
        <v>61</v>
      </c>
      <c r="L31" t="s">
        <v>35</v>
      </c>
      <c r="M31" s="3">
        <v>83</v>
      </c>
      <c r="N31" t="s">
        <v>60</v>
      </c>
      <c r="O31" t="e">
        <v>#N/A</v>
      </c>
      <c r="P31" t="s">
        <v>51</v>
      </c>
      <c r="Q31" t="s">
        <v>59</v>
      </c>
      <c r="R31" t="s">
        <v>37</v>
      </c>
      <c r="S31" s="3">
        <v>18947</v>
      </c>
      <c r="T31" s="3">
        <v>22822</v>
      </c>
      <c r="U31" s="3" t="str">
        <f t="shared" si="3"/>
        <v>High</v>
      </c>
      <c r="V31">
        <v>3</v>
      </c>
      <c r="W31" t="s">
        <v>38</v>
      </c>
      <c r="X31" s="2">
        <v>12</v>
      </c>
      <c r="Y31" t="s">
        <v>60</v>
      </c>
      <c r="Z31" t="s">
        <v>62</v>
      </c>
      <c r="AA31">
        <v>0</v>
      </c>
      <c r="AB31">
        <v>22</v>
      </c>
      <c r="AC31">
        <v>2</v>
      </c>
      <c r="AD31">
        <v>2</v>
      </c>
      <c r="AE31">
        <v>2</v>
      </c>
      <c r="AF31">
        <v>2</v>
      </c>
      <c r="AG31">
        <v>2</v>
      </c>
      <c r="AH31">
        <v>1</v>
      </c>
      <c r="AI31" t="str">
        <f t="shared" si="0"/>
        <v>0-2 Years</v>
      </c>
      <c r="AJ31" t="str">
        <f t="shared" si="1"/>
        <v>0-2</v>
      </c>
    </row>
    <row r="32" spans="1:36" x14ac:dyDescent="0.35">
      <c r="A32">
        <v>31</v>
      </c>
      <c r="B32">
        <v>33</v>
      </c>
      <c r="C32" t="str">
        <f t="shared" si="2"/>
        <v>26-35</v>
      </c>
      <c r="D32" t="s">
        <v>38</v>
      </c>
      <c r="E32" t="s">
        <v>32</v>
      </c>
      <c r="F32" s="3">
        <v>1389</v>
      </c>
      <c r="G32" t="s">
        <v>40</v>
      </c>
      <c r="H32" s="1">
        <v>2</v>
      </c>
      <c r="I32" t="s">
        <v>61</v>
      </c>
      <c r="J32" t="s">
        <v>46</v>
      </c>
      <c r="K32" t="s">
        <v>60</v>
      </c>
      <c r="L32" t="s">
        <v>41</v>
      </c>
      <c r="M32" s="3">
        <v>78</v>
      </c>
      <c r="N32" t="s">
        <v>60</v>
      </c>
      <c r="O32" t="s">
        <v>59</v>
      </c>
      <c r="P32" t="s">
        <v>45</v>
      </c>
      <c r="Q32" t="s">
        <v>62</v>
      </c>
      <c r="R32" t="s">
        <v>37</v>
      </c>
      <c r="S32" s="3">
        <v>2496</v>
      </c>
      <c r="T32" s="3">
        <v>6670</v>
      </c>
      <c r="U32" s="3" t="str">
        <f t="shared" si="3"/>
        <v>Low</v>
      </c>
      <c r="V32">
        <v>4</v>
      </c>
      <c r="W32" t="s">
        <v>38</v>
      </c>
      <c r="X32" s="2">
        <v>11</v>
      </c>
      <c r="Y32" t="s">
        <v>60</v>
      </c>
      <c r="Z32" t="s">
        <v>62</v>
      </c>
      <c r="AA32">
        <v>0</v>
      </c>
      <c r="AB32">
        <v>7</v>
      </c>
      <c r="AC32">
        <v>3</v>
      </c>
      <c r="AD32">
        <v>3</v>
      </c>
      <c r="AE32">
        <v>1</v>
      </c>
      <c r="AF32">
        <v>1</v>
      </c>
      <c r="AG32">
        <v>0</v>
      </c>
      <c r="AH32">
        <v>0</v>
      </c>
      <c r="AI32" t="str">
        <f t="shared" si="0"/>
        <v>0-2 Years</v>
      </c>
      <c r="AJ32" t="str">
        <f t="shared" si="1"/>
        <v>0-2</v>
      </c>
    </row>
    <row r="33" spans="1:36" x14ac:dyDescent="0.35">
      <c r="A33">
        <v>32</v>
      </c>
      <c r="B33">
        <v>44</v>
      </c>
      <c r="C33" t="str">
        <f t="shared" si="2"/>
        <v>36-45</v>
      </c>
      <c r="D33" t="s">
        <v>38</v>
      </c>
      <c r="E33" t="s">
        <v>32</v>
      </c>
      <c r="F33" s="3">
        <v>1389</v>
      </c>
      <c r="G33" t="s">
        <v>40</v>
      </c>
      <c r="H33" s="1">
        <v>10</v>
      </c>
      <c r="I33" t="s">
        <v>60</v>
      </c>
      <c r="J33" t="s">
        <v>44</v>
      </c>
      <c r="K33" t="s">
        <v>62</v>
      </c>
      <c r="L33" t="s">
        <v>41</v>
      </c>
      <c r="M33" s="3">
        <v>41</v>
      </c>
      <c r="N33" t="s">
        <v>60</v>
      </c>
      <c r="O33" t="s">
        <v>61</v>
      </c>
      <c r="P33" t="s">
        <v>49</v>
      </c>
      <c r="Q33" t="s">
        <v>62</v>
      </c>
      <c r="R33" t="s">
        <v>43</v>
      </c>
      <c r="S33" s="3">
        <v>6465</v>
      </c>
      <c r="T33" s="3">
        <v>19121</v>
      </c>
      <c r="U33" s="3" t="str">
        <f t="shared" si="3"/>
        <v>Medium</v>
      </c>
      <c r="V33">
        <v>2</v>
      </c>
      <c r="W33" t="s">
        <v>31</v>
      </c>
      <c r="X33" s="2">
        <v>13</v>
      </c>
      <c r="Y33" t="s">
        <v>60</v>
      </c>
      <c r="Z33" t="s">
        <v>62</v>
      </c>
      <c r="AA33">
        <v>0</v>
      </c>
      <c r="AB33">
        <v>9</v>
      </c>
      <c r="AC33">
        <v>5</v>
      </c>
      <c r="AD33">
        <v>4</v>
      </c>
      <c r="AE33">
        <v>4</v>
      </c>
      <c r="AF33">
        <v>2</v>
      </c>
      <c r="AG33">
        <v>1</v>
      </c>
      <c r="AH33">
        <v>3</v>
      </c>
      <c r="AI33" t="str">
        <f t="shared" si="0"/>
        <v>3-5 Years</v>
      </c>
      <c r="AJ33" t="str">
        <f t="shared" si="1"/>
        <v>0-2</v>
      </c>
    </row>
    <row r="34" spans="1:36" x14ac:dyDescent="0.35">
      <c r="A34">
        <v>33</v>
      </c>
      <c r="B34">
        <v>30</v>
      </c>
      <c r="C34" t="str">
        <f t="shared" si="2"/>
        <v>26-35</v>
      </c>
      <c r="D34" t="s">
        <v>38</v>
      </c>
      <c r="E34" t="s">
        <v>32</v>
      </c>
      <c r="F34" s="3">
        <v>1389</v>
      </c>
      <c r="G34" t="s">
        <v>40</v>
      </c>
      <c r="H34" s="1">
        <v>9</v>
      </c>
      <c r="I34" t="s">
        <v>58</v>
      </c>
      <c r="J34" t="s">
        <v>46</v>
      </c>
      <c r="K34" t="s">
        <v>62</v>
      </c>
      <c r="L34" t="s">
        <v>41</v>
      </c>
      <c r="M34" s="3">
        <v>83</v>
      </c>
      <c r="N34" t="s">
        <v>61</v>
      </c>
      <c r="O34" t="s">
        <v>59</v>
      </c>
      <c r="P34" t="s">
        <v>45</v>
      </c>
      <c r="Q34" t="s">
        <v>60</v>
      </c>
      <c r="R34" t="s">
        <v>37</v>
      </c>
      <c r="S34" s="3">
        <v>2206</v>
      </c>
      <c r="T34" s="3">
        <v>16117</v>
      </c>
      <c r="U34" s="3" t="str">
        <f t="shared" si="3"/>
        <v>Low</v>
      </c>
      <c r="V34">
        <v>1</v>
      </c>
      <c r="W34" t="s">
        <v>38</v>
      </c>
      <c r="X34" s="2">
        <v>13</v>
      </c>
      <c r="Y34" t="s">
        <v>60</v>
      </c>
      <c r="Z34" t="s">
        <v>59</v>
      </c>
      <c r="AA34">
        <v>0</v>
      </c>
      <c r="AB34">
        <v>10</v>
      </c>
      <c r="AC34">
        <v>5</v>
      </c>
      <c r="AD34">
        <v>3</v>
      </c>
      <c r="AE34">
        <v>10</v>
      </c>
      <c r="AF34">
        <v>0</v>
      </c>
      <c r="AG34">
        <v>1</v>
      </c>
      <c r="AH34">
        <v>8</v>
      </c>
      <c r="AI34" t="str">
        <f t="shared" si="0"/>
        <v>6-10 Years</v>
      </c>
      <c r="AJ34" t="str">
        <f t="shared" si="1"/>
        <v>0-2</v>
      </c>
    </row>
    <row r="35" spans="1:36" x14ac:dyDescent="0.35">
      <c r="A35">
        <v>34</v>
      </c>
      <c r="B35">
        <v>39</v>
      </c>
      <c r="C35" t="str">
        <f t="shared" si="2"/>
        <v>36-45</v>
      </c>
      <c r="D35" t="s">
        <v>31</v>
      </c>
      <c r="E35" t="s">
        <v>32</v>
      </c>
      <c r="F35" s="3">
        <v>1389</v>
      </c>
      <c r="G35" t="s">
        <v>33</v>
      </c>
      <c r="H35" s="1">
        <v>5</v>
      </c>
      <c r="I35" t="s">
        <v>61</v>
      </c>
      <c r="J35" t="s">
        <v>55</v>
      </c>
      <c r="K35" t="s">
        <v>62</v>
      </c>
      <c r="L35" t="s">
        <v>41</v>
      </c>
      <c r="M35" s="3">
        <v>56</v>
      </c>
      <c r="N35" t="s">
        <v>60</v>
      </c>
      <c r="O35" t="s">
        <v>61</v>
      </c>
      <c r="P35" t="s">
        <v>52</v>
      </c>
      <c r="Q35" t="s">
        <v>62</v>
      </c>
      <c r="R35" t="s">
        <v>43</v>
      </c>
      <c r="S35" s="3">
        <v>2086</v>
      </c>
      <c r="T35" s="3">
        <v>3335</v>
      </c>
      <c r="U35" s="3" t="str">
        <f t="shared" si="3"/>
        <v>Low</v>
      </c>
      <c r="V35">
        <v>3</v>
      </c>
      <c r="W35" t="s">
        <v>38</v>
      </c>
      <c r="X35" s="2">
        <v>14</v>
      </c>
      <c r="Y35" t="s">
        <v>60</v>
      </c>
      <c r="Z35" t="s">
        <v>60</v>
      </c>
      <c r="AA35">
        <v>1</v>
      </c>
      <c r="AB35">
        <v>19</v>
      </c>
      <c r="AC35">
        <v>6</v>
      </c>
      <c r="AD35">
        <v>4</v>
      </c>
      <c r="AE35">
        <v>1</v>
      </c>
      <c r="AF35">
        <v>0</v>
      </c>
      <c r="AG35">
        <v>0</v>
      </c>
      <c r="AH35">
        <v>0</v>
      </c>
      <c r="AI35" t="str">
        <f t="shared" si="0"/>
        <v>0-2 Years</v>
      </c>
      <c r="AJ35" t="str">
        <f t="shared" si="1"/>
        <v>0-2</v>
      </c>
    </row>
    <row r="36" spans="1:36" x14ac:dyDescent="0.35">
      <c r="A36">
        <v>35</v>
      </c>
      <c r="B36">
        <v>24</v>
      </c>
      <c r="C36" t="str">
        <f t="shared" si="2"/>
        <v>18-25</v>
      </c>
      <c r="D36" t="s">
        <v>31</v>
      </c>
      <c r="E36" t="s">
        <v>32</v>
      </c>
      <c r="F36" s="3">
        <v>1389</v>
      </c>
      <c r="G36" t="s">
        <v>40</v>
      </c>
      <c r="H36" s="1">
        <v>1</v>
      </c>
      <c r="I36" t="s">
        <v>61</v>
      </c>
      <c r="J36" t="s">
        <v>46</v>
      </c>
      <c r="K36" t="s">
        <v>61</v>
      </c>
      <c r="L36" t="s">
        <v>41</v>
      </c>
      <c r="M36" s="3">
        <v>61</v>
      </c>
      <c r="N36" t="s">
        <v>60</v>
      </c>
      <c r="O36" t="s">
        <v>59</v>
      </c>
      <c r="P36" t="s">
        <v>42</v>
      </c>
      <c r="Q36" t="s">
        <v>62</v>
      </c>
      <c r="R36" t="s">
        <v>43</v>
      </c>
      <c r="S36" s="3">
        <v>2293</v>
      </c>
      <c r="T36" s="3">
        <v>3020</v>
      </c>
      <c r="U36" s="3" t="str">
        <f t="shared" si="3"/>
        <v>Low</v>
      </c>
      <c r="V36">
        <v>2</v>
      </c>
      <c r="W36" t="s">
        <v>31</v>
      </c>
      <c r="X36" s="2">
        <v>16</v>
      </c>
      <c r="Y36" t="s">
        <v>60</v>
      </c>
      <c r="Z36" t="s">
        <v>59</v>
      </c>
      <c r="AA36">
        <v>1</v>
      </c>
      <c r="AB36">
        <v>6</v>
      </c>
      <c r="AC36">
        <v>2</v>
      </c>
      <c r="AD36">
        <v>2</v>
      </c>
      <c r="AE36">
        <v>2</v>
      </c>
      <c r="AF36">
        <v>0</v>
      </c>
      <c r="AG36">
        <v>2</v>
      </c>
      <c r="AH36">
        <v>0</v>
      </c>
      <c r="AI36" t="str">
        <f t="shared" si="0"/>
        <v>0-2 Years</v>
      </c>
      <c r="AJ36" t="str">
        <f t="shared" si="1"/>
        <v>0-2</v>
      </c>
    </row>
    <row r="37" spans="1:36" x14ac:dyDescent="0.35">
      <c r="A37">
        <v>36</v>
      </c>
      <c r="B37">
        <v>43</v>
      </c>
      <c r="C37" t="str">
        <f t="shared" si="2"/>
        <v>36-45</v>
      </c>
      <c r="D37" t="s">
        <v>38</v>
      </c>
      <c r="E37" t="s">
        <v>32</v>
      </c>
      <c r="F37" s="3">
        <v>1389</v>
      </c>
      <c r="G37" t="s">
        <v>40</v>
      </c>
      <c r="H37" s="1">
        <v>2</v>
      </c>
      <c r="I37" t="s">
        <v>58</v>
      </c>
      <c r="J37" t="s">
        <v>46</v>
      </c>
      <c r="K37" t="s">
        <v>62</v>
      </c>
      <c r="L37" t="s">
        <v>35</v>
      </c>
      <c r="M37" s="3">
        <v>72</v>
      </c>
      <c r="N37" t="s">
        <v>62</v>
      </c>
      <c r="O37" t="s">
        <v>59</v>
      </c>
      <c r="P37" t="s">
        <v>42</v>
      </c>
      <c r="Q37" t="s">
        <v>60</v>
      </c>
      <c r="R37" t="s">
        <v>47</v>
      </c>
      <c r="S37" s="3">
        <v>2645</v>
      </c>
      <c r="T37" s="3">
        <v>21923</v>
      </c>
      <c r="U37" s="3" t="str">
        <f t="shared" si="3"/>
        <v>Low</v>
      </c>
      <c r="V37">
        <v>1</v>
      </c>
      <c r="W37" t="s">
        <v>38</v>
      </c>
      <c r="X37" s="2">
        <v>12</v>
      </c>
      <c r="Y37" t="s">
        <v>60</v>
      </c>
      <c r="Z37" t="s">
        <v>62</v>
      </c>
      <c r="AA37">
        <v>2</v>
      </c>
      <c r="AB37">
        <v>6</v>
      </c>
      <c r="AC37">
        <v>3</v>
      </c>
      <c r="AD37">
        <v>2</v>
      </c>
      <c r="AE37">
        <v>5</v>
      </c>
      <c r="AF37">
        <v>3</v>
      </c>
      <c r="AG37">
        <v>1</v>
      </c>
      <c r="AH37">
        <v>4</v>
      </c>
      <c r="AI37" t="str">
        <f t="shared" si="0"/>
        <v>3-5 Years</v>
      </c>
      <c r="AJ37" t="str">
        <f t="shared" si="1"/>
        <v>0-2</v>
      </c>
    </row>
    <row r="38" spans="1:36" x14ac:dyDescent="0.35">
      <c r="A38">
        <v>37</v>
      </c>
      <c r="B38">
        <v>50</v>
      </c>
      <c r="C38" t="str">
        <f t="shared" si="2"/>
        <v>46-55</v>
      </c>
      <c r="D38" t="s">
        <v>31</v>
      </c>
      <c r="E38" t="s">
        <v>32</v>
      </c>
      <c r="F38" s="3">
        <v>1389</v>
      </c>
      <c r="G38" t="s">
        <v>33</v>
      </c>
      <c r="H38" s="1">
        <v>3</v>
      </c>
      <c r="I38" t="s">
        <v>58</v>
      </c>
      <c r="J38" t="s">
        <v>54</v>
      </c>
      <c r="K38" t="s">
        <v>59</v>
      </c>
      <c r="L38" t="s">
        <v>41</v>
      </c>
      <c r="M38" s="3">
        <v>86</v>
      </c>
      <c r="N38" t="s">
        <v>61</v>
      </c>
      <c r="O38" t="s">
        <v>59</v>
      </c>
      <c r="P38" t="s">
        <v>52</v>
      </c>
      <c r="Q38" t="s">
        <v>60</v>
      </c>
      <c r="R38" t="s">
        <v>43</v>
      </c>
      <c r="S38" s="3">
        <v>2683</v>
      </c>
      <c r="T38" s="3">
        <v>3810</v>
      </c>
      <c r="U38" s="3" t="str">
        <f t="shared" si="3"/>
        <v>Low</v>
      </c>
      <c r="V38">
        <v>1</v>
      </c>
      <c r="W38" t="s">
        <v>31</v>
      </c>
      <c r="X38" s="2">
        <v>14</v>
      </c>
      <c r="Y38" t="s">
        <v>60</v>
      </c>
      <c r="Z38" t="s">
        <v>60</v>
      </c>
      <c r="AA38">
        <v>0</v>
      </c>
      <c r="AB38">
        <v>3</v>
      </c>
      <c r="AC38">
        <v>2</v>
      </c>
      <c r="AD38">
        <v>3</v>
      </c>
      <c r="AE38">
        <v>3</v>
      </c>
      <c r="AF38">
        <v>2</v>
      </c>
      <c r="AG38">
        <v>0</v>
      </c>
      <c r="AH38">
        <v>2</v>
      </c>
      <c r="AI38" t="str">
        <f t="shared" si="0"/>
        <v>3-5 Years</v>
      </c>
      <c r="AJ38" t="str">
        <f t="shared" si="1"/>
        <v>0-2</v>
      </c>
    </row>
    <row r="39" spans="1:36" x14ac:dyDescent="0.35">
      <c r="A39">
        <v>38</v>
      </c>
      <c r="B39">
        <v>35</v>
      </c>
      <c r="C39" t="str">
        <f t="shared" si="2"/>
        <v>26-35</v>
      </c>
      <c r="D39" t="s">
        <v>38</v>
      </c>
      <c r="E39" t="s">
        <v>32</v>
      </c>
      <c r="F39" s="3">
        <v>1389</v>
      </c>
      <c r="G39" t="s">
        <v>33</v>
      </c>
      <c r="H39" s="1">
        <v>2</v>
      </c>
      <c r="I39" t="s">
        <v>61</v>
      </c>
      <c r="J39" t="s">
        <v>54</v>
      </c>
      <c r="K39" t="s">
        <v>62</v>
      </c>
      <c r="L39" t="s">
        <v>35</v>
      </c>
      <c r="M39" s="3">
        <v>97</v>
      </c>
      <c r="N39" t="s">
        <v>60</v>
      </c>
      <c r="O39" t="s">
        <v>59</v>
      </c>
      <c r="P39" t="s">
        <v>52</v>
      </c>
      <c r="Q39" t="s">
        <v>62</v>
      </c>
      <c r="R39" t="s">
        <v>43</v>
      </c>
      <c r="S39" s="3">
        <v>2014</v>
      </c>
      <c r="T39" s="3">
        <v>9687</v>
      </c>
      <c r="U39" s="3" t="str">
        <f t="shared" si="3"/>
        <v>Low</v>
      </c>
      <c r="V39">
        <v>1</v>
      </c>
      <c r="W39" t="s">
        <v>38</v>
      </c>
      <c r="X39" s="2">
        <v>13</v>
      </c>
      <c r="Y39" t="s">
        <v>60</v>
      </c>
      <c r="Z39" t="s">
        <v>59</v>
      </c>
      <c r="AA39">
        <v>0</v>
      </c>
      <c r="AB39">
        <v>2</v>
      </c>
      <c r="AC39">
        <v>3</v>
      </c>
      <c r="AD39">
        <v>3</v>
      </c>
      <c r="AE39">
        <v>2</v>
      </c>
      <c r="AF39">
        <v>2</v>
      </c>
      <c r="AG39">
        <v>2</v>
      </c>
      <c r="AH39">
        <v>2</v>
      </c>
      <c r="AI39" t="str">
        <f t="shared" si="0"/>
        <v>0-2 Years</v>
      </c>
      <c r="AJ39" t="str">
        <f t="shared" si="1"/>
        <v>0-2</v>
      </c>
    </row>
    <row r="40" spans="1:36" x14ac:dyDescent="0.35">
      <c r="A40">
        <v>39</v>
      </c>
      <c r="B40">
        <v>36</v>
      </c>
      <c r="C40" t="str">
        <f t="shared" si="2"/>
        <v>36-45</v>
      </c>
      <c r="D40" t="s">
        <v>38</v>
      </c>
      <c r="E40" t="s">
        <v>32</v>
      </c>
      <c r="F40" s="3">
        <v>1389</v>
      </c>
      <c r="G40" t="s">
        <v>40</v>
      </c>
      <c r="H40" s="1">
        <v>5</v>
      </c>
      <c r="I40" t="s">
        <v>60</v>
      </c>
      <c r="J40" t="s">
        <v>34</v>
      </c>
      <c r="K40" t="s">
        <v>61</v>
      </c>
      <c r="L40" t="s">
        <v>35</v>
      </c>
      <c r="M40" s="3">
        <v>82</v>
      </c>
      <c r="N40" t="s">
        <v>61</v>
      </c>
      <c r="O40" t="s">
        <v>59</v>
      </c>
      <c r="P40" t="s">
        <v>42</v>
      </c>
      <c r="Q40" t="s">
        <v>59</v>
      </c>
      <c r="R40" t="s">
        <v>43</v>
      </c>
      <c r="S40" s="3">
        <v>3419</v>
      </c>
      <c r="T40" s="3">
        <v>13072</v>
      </c>
      <c r="U40" s="3" t="str">
        <f t="shared" si="3"/>
        <v>Low</v>
      </c>
      <c r="V40">
        <v>9</v>
      </c>
      <c r="W40" t="s">
        <v>31</v>
      </c>
      <c r="X40" s="2">
        <v>14</v>
      </c>
      <c r="Y40" t="s">
        <v>60</v>
      </c>
      <c r="Z40" t="s">
        <v>62</v>
      </c>
      <c r="AA40">
        <v>1</v>
      </c>
      <c r="AB40">
        <v>6</v>
      </c>
      <c r="AC40">
        <v>3</v>
      </c>
      <c r="AD40">
        <v>4</v>
      </c>
      <c r="AE40">
        <v>1</v>
      </c>
      <c r="AF40">
        <v>1</v>
      </c>
      <c r="AG40">
        <v>0</v>
      </c>
      <c r="AH40">
        <v>0</v>
      </c>
      <c r="AI40" t="str">
        <f t="shared" si="0"/>
        <v>0-2 Years</v>
      </c>
      <c r="AJ40" t="str">
        <f t="shared" si="1"/>
        <v>0-2</v>
      </c>
    </row>
    <row r="41" spans="1:36" x14ac:dyDescent="0.35">
      <c r="A41">
        <v>40</v>
      </c>
      <c r="B41">
        <v>33</v>
      </c>
      <c r="C41" t="str">
        <f t="shared" si="2"/>
        <v>26-35</v>
      </c>
      <c r="D41" t="s">
        <v>38</v>
      </c>
      <c r="E41" t="s">
        <v>39</v>
      </c>
      <c r="F41" s="3">
        <v>1389</v>
      </c>
      <c r="G41" t="s">
        <v>33</v>
      </c>
      <c r="H41" s="1">
        <v>1</v>
      </c>
      <c r="I41" t="s">
        <v>61</v>
      </c>
      <c r="J41" t="s">
        <v>34</v>
      </c>
      <c r="K41" t="s">
        <v>60</v>
      </c>
      <c r="L41" t="s">
        <v>35</v>
      </c>
      <c r="M41" s="3">
        <v>42</v>
      </c>
      <c r="N41" t="s">
        <v>62</v>
      </c>
      <c r="O41" t="s">
        <v>61</v>
      </c>
      <c r="P41" t="s">
        <v>36</v>
      </c>
      <c r="Q41" t="s">
        <v>59</v>
      </c>
      <c r="R41" t="s">
        <v>43</v>
      </c>
      <c r="S41" s="3">
        <v>5376</v>
      </c>
      <c r="T41" s="3">
        <v>3193</v>
      </c>
      <c r="U41" s="3" t="str">
        <f t="shared" si="3"/>
        <v>Medium</v>
      </c>
      <c r="V41">
        <v>2</v>
      </c>
      <c r="W41" t="s">
        <v>38</v>
      </c>
      <c r="X41" s="2">
        <v>19</v>
      </c>
      <c r="Y41" t="s">
        <v>60</v>
      </c>
      <c r="Z41" t="s">
        <v>59</v>
      </c>
      <c r="AA41">
        <v>2</v>
      </c>
      <c r="AB41">
        <v>10</v>
      </c>
      <c r="AC41">
        <v>3</v>
      </c>
      <c r="AD41">
        <v>3</v>
      </c>
      <c r="AE41">
        <v>5</v>
      </c>
      <c r="AF41">
        <v>3</v>
      </c>
      <c r="AG41">
        <v>1</v>
      </c>
      <c r="AH41">
        <v>3</v>
      </c>
      <c r="AI41" t="str">
        <f t="shared" si="0"/>
        <v>3-5 Years</v>
      </c>
      <c r="AJ41" t="str">
        <f t="shared" si="1"/>
        <v>0-2</v>
      </c>
    </row>
    <row r="42" spans="1:36" x14ac:dyDescent="0.35">
      <c r="A42">
        <v>41</v>
      </c>
      <c r="B42">
        <v>35</v>
      </c>
      <c r="C42" t="str">
        <f t="shared" si="2"/>
        <v>26-35</v>
      </c>
      <c r="D42" t="s">
        <v>38</v>
      </c>
      <c r="E42" t="s">
        <v>32</v>
      </c>
      <c r="F42" s="3">
        <v>1389</v>
      </c>
      <c r="G42" t="s">
        <v>40</v>
      </c>
      <c r="H42" s="1">
        <v>4</v>
      </c>
      <c r="I42" t="s">
        <v>58</v>
      </c>
      <c r="J42" t="s">
        <v>44</v>
      </c>
      <c r="K42" t="s">
        <v>60</v>
      </c>
      <c r="L42" t="s">
        <v>41</v>
      </c>
      <c r="M42" s="3">
        <v>75</v>
      </c>
      <c r="N42" t="s">
        <v>60</v>
      </c>
      <c r="O42" t="s">
        <v>59</v>
      </c>
      <c r="P42" t="s">
        <v>45</v>
      </c>
      <c r="Q42" t="s">
        <v>62</v>
      </c>
      <c r="R42" t="s">
        <v>47</v>
      </c>
      <c r="S42" s="3">
        <v>1951</v>
      </c>
      <c r="T42" s="3">
        <v>10910</v>
      </c>
      <c r="U42" s="3" t="str">
        <f t="shared" si="3"/>
        <v>Low</v>
      </c>
      <c r="V42">
        <v>1</v>
      </c>
      <c r="W42" t="s">
        <v>38</v>
      </c>
      <c r="X42" s="2">
        <v>12</v>
      </c>
      <c r="Y42" t="s">
        <v>60</v>
      </c>
      <c r="Z42" t="s">
        <v>60</v>
      </c>
      <c r="AA42">
        <v>1</v>
      </c>
      <c r="AB42">
        <v>1</v>
      </c>
      <c r="AC42">
        <v>3</v>
      </c>
      <c r="AD42">
        <v>3</v>
      </c>
      <c r="AE42">
        <v>1</v>
      </c>
      <c r="AF42">
        <v>0</v>
      </c>
      <c r="AG42">
        <v>0</v>
      </c>
      <c r="AH42">
        <v>0</v>
      </c>
      <c r="AI42" t="str">
        <f t="shared" si="0"/>
        <v>0-2 Years</v>
      </c>
      <c r="AJ42" t="str">
        <f t="shared" si="1"/>
        <v>0-2</v>
      </c>
    </row>
    <row r="43" spans="1:36" x14ac:dyDescent="0.35">
      <c r="A43">
        <v>42</v>
      </c>
      <c r="B43">
        <v>27</v>
      </c>
      <c r="C43" t="str">
        <f t="shared" si="2"/>
        <v>26-35</v>
      </c>
      <c r="D43" t="s">
        <v>38</v>
      </c>
      <c r="E43" t="s">
        <v>32</v>
      </c>
      <c r="F43" s="3">
        <v>1389</v>
      </c>
      <c r="G43" t="s">
        <v>40</v>
      </c>
      <c r="H43" s="1">
        <v>2</v>
      </c>
      <c r="I43" t="s">
        <v>60</v>
      </c>
      <c r="J43" t="s">
        <v>34</v>
      </c>
      <c r="K43" t="s">
        <v>62</v>
      </c>
      <c r="L43" t="s">
        <v>35</v>
      </c>
      <c r="M43" s="3">
        <v>33</v>
      </c>
      <c r="N43" t="s">
        <v>60</v>
      </c>
      <c r="O43" t="s">
        <v>59</v>
      </c>
      <c r="P43" t="s">
        <v>45</v>
      </c>
      <c r="Q43" t="s">
        <v>59</v>
      </c>
      <c r="R43" t="s">
        <v>47</v>
      </c>
      <c r="S43" s="3">
        <v>2341</v>
      </c>
      <c r="T43" s="3">
        <v>19715</v>
      </c>
      <c r="U43" s="3" t="str">
        <f t="shared" si="3"/>
        <v>Low</v>
      </c>
      <c r="V43">
        <v>1</v>
      </c>
      <c r="W43" t="s">
        <v>38</v>
      </c>
      <c r="X43" s="2">
        <v>13</v>
      </c>
      <c r="Y43" t="s">
        <v>60</v>
      </c>
      <c r="Z43" t="s">
        <v>62</v>
      </c>
      <c r="AA43">
        <v>1</v>
      </c>
      <c r="AB43">
        <v>1</v>
      </c>
      <c r="AC43">
        <v>6</v>
      </c>
      <c r="AD43">
        <v>3</v>
      </c>
      <c r="AE43">
        <v>1</v>
      </c>
      <c r="AF43">
        <v>0</v>
      </c>
      <c r="AG43">
        <v>0</v>
      </c>
      <c r="AH43">
        <v>0</v>
      </c>
      <c r="AI43" t="str">
        <f t="shared" si="0"/>
        <v>0-2 Years</v>
      </c>
      <c r="AJ43" t="str">
        <f t="shared" si="1"/>
        <v>0-2</v>
      </c>
    </row>
    <row r="44" spans="1:36" x14ac:dyDescent="0.35">
      <c r="A44">
        <v>43</v>
      </c>
      <c r="B44">
        <v>26</v>
      </c>
      <c r="C44" t="str">
        <f t="shared" si="2"/>
        <v>26-35</v>
      </c>
      <c r="D44" t="s">
        <v>31</v>
      </c>
      <c r="E44" t="s">
        <v>32</v>
      </c>
      <c r="F44" s="3">
        <v>1389</v>
      </c>
      <c r="G44" t="s">
        <v>40</v>
      </c>
      <c r="H44" s="1">
        <v>25</v>
      </c>
      <c r="I44" t="s">
        <v>61</v>
      </c>
      <c r="J44" t="s">
        <v>34</v>
      </c>
      <c r="K44" t="s">
        <v>59</v>
      </c>
      <c r="L44" t="s">
        <v>41</v>
      </c>
      <c r="M44" s="3">
        <v>48</v>
      </c>
      <c r="N44" t="s">
        <v>59</v>
      </c>
      <c r="O44" t="s">
        <v>59</v>
      </c>
      <c r="P44" t="s">
        <v>45</v>
      </c>
      <c r="Q44" t="s">
        <v>60</v>
      </c>
      <c r="R44" t="s">
        <v>37</v>
      </c>
      <c r="S44" s="3">
        <v>2293</v>
      </c>
      <c r="T44" s="3">
        <v>10558</v>
      </c>
      <c r="U44" s="3" t="str">
        <f t="shared" si="3"/>
        <v>Low</v>
      </c>
      <c r="V44">
        <v>1</v>
      </c>
      <c r="W44" t="s">
        <v>38</v>
      </c>
      <c r="X44" s="2">
        <v>12</v>
      </c>
      <c r="Y44" t="s">
        <v>60</v>
      </c>
      <c r="Z44" t="s">
        <v>60</v>
      </c>
      <c r="AA44">
        <v>0</v>
      </c>
      <c r="AB44">
        <v>1</v>
      </c>
      <c r="AC44">
        <v>2</v>
      </c>
      <c r="AD44">
        <v>2</v>
      </c>
      <c r="AE44">
        <v>1</v>
      </c>
      <c r="AF44">
        <v>0</v>
      </c>
      <c r="AG44">
        <v>0</v>
      </c>
      <c r="AH44">
        <v>1</v>
      </c>
      <c r="AI44" t="str">
        <f t="shared" si="0"/>
        <v>0-2 Years</v>
      </c>
      <c r="AJ44" t="str">
        <f t="shared" si="1"/>
        <v>0-2</v>
      </c>
    </row>
    <row r="45" spans="1:36" x14ac:dyDescent="0.35">
      <c r="A45">
        <v>44</v>
      </c>
      <c r="B45">
        <v>27</v>
      </c>
      <c r="C45" t="str">
        <f t="shared" si="2"/>
        <v>26-35</v>
      </c>
      <c r="D45" t="s">
        <v>38</v>
      </c>
      <c r="E45" t="s">
        <v>39</v>
      </c>
      <c r="F45" s="3">
        <v>1389</v>
      </c>
      <c r="G45" t="s">
        <v>33</v>
      </c>
      <c r="H45" s="1">
        <v>8</v>
      </c>
      <c r="I45" t="s">
        <v>61</v>
      </c>
      <c r="J45" t="s">
        <v>34</v>
      </c>
      <c r="K45" t="s">
        <v>62</v>
      </c>
      <c r="L45" t="s">
        <v>41</v>
      </c>
      <c r="M45" s="3">
        <v>37</v>
      </c>
      <c r="N45" t="s">
        <v>60</v>
      </c>
      <c r="O45" t="s">
        <v>60</v>
      </c>
      <c r="P45" t="s">
        <v>36</v>
      </c>
      <c r="Q45" t="s">
        <v>60</v>
      </c>
      <c r="R45" t="s">
        <v>37</v>
      </c>
      <c r="S45" s="3">
        <v>8726</v>
      </c>
      <c r="T45" s="3">
        <v>2975</v>
      </c>
      <c r="U45" s="3" t="str">
        <f t="shared" si="3"/>
        <v>Medium</v>
      </c>
      <c r="V45">
        <v>1</v>
      </c>
      <c r="W45" t="s">
        <v>38</v>
      </c>
      <c r="X45" s="2">
        <v>15</v>
      </c>
      <c r="Y45" t="s">
        <v>60</v>
      </c>
      <c r="Z45" t="s">
        <v>62</v>
      </c>
      <c r="AA45">
        <v>0</v>
      </c>
      <c r="AB45">
        <v>9</v>
      </c>
      <c r="AC45">
        <v>0</v>
      </c>
      <c r="AD45">
        <v>3</v>
      </c>
      <c r="AE45">
        <v>9</v>
      </c>
      <c r="AF45">
        <v>8</v>
      </c>
      <c r="AG45">
        <v>1</v>
      </c>
      <c r="AH45">
        <v>7</v>
      </c>
      <c r="AI45" t="str">
        <f t="shared" si="0"/>
        <v>6-10 Years</v>
      </c>
      <c r="AJ45" t="str">
        <f t="shared" si="1"/>
        <v>0-2</v>
      </c>
    </row>
    <row r="46" spans="1:36" x14ac:dyDescent="0.35">
      <c r="A46">
        <v>45</v>
      </c>
      <c r="B46">
        <v>30</v>
      </c>
      <c r="C46" t="str">
        <f t="shared" si="2"/>
        <v>26-35</v>
      </c>
      <c r="D46" t="s">
        <v>38</v>
      </c>
      <c r="E46" t="s">
        <v>39</v>
      </c>
      <c r="F46" s="3">
        <v>1389</v>
      </c>
      <c r="G46" t="s">
        <v>40</v>
      </c>
      <c r="H46" s="1">
        <v>1</v>
      </c>
      <c r="I46" t="s">
        <v>58</v>
      </c>
      <c r="J46" t="s">
        <v>46</v>
      </c>
      <c r="K46" t="s">
        <v>60</v>
      </c>
      <c r="L46" t="s">
        <v>35</v>
      </c>
      <c r="M46" s="3">
        <v>58</v>
      </c>
      <c r="N46" t="s">
        <v>60</v>
      </c>
      <c r="O46" t="s">
        <v>61</v>
      </c>
      <c r="P46" t="s">
        <v>45</v>
      </c>
      <c r="Q46" t="s">
        <v>62</v>
      </c>
      <c r="R46" t="s">
        <v>37</v>
      </c>
      <c r="S46" s="3">
        <v>4011</v>
      </c>
      <c r="T46" s="3">
        <v>10781</v>
      </c>
      <c r="U46" s="3" t="str">
        <f t="shared" si="3"/>
        <v>Low</v>
      </c>
      <c r="V46">
        <v>1</v>
      </c>
      <c r="W46" t="s">
        <v>38</v>
      </c>
      <c r="X46" s="2">
        <v>23</v>
      </c>
      <c r="Y46" t="s">
        <v>62</v>
      </c>
      <c r="Z46" t="s">
        <v>62</v>
      </c>
      <c r="AA46">
        <v>0</v>
      </c>
      <c r="AB46">
        <v>12</v>
      </c>
      <c r="AC46">
        <v>2</v>
      </c>
      <c r="AD46">
        <v>3</v>
      </c>
      <c r="AE46">
        <v>12</v>
      </c>
      <c r="AF46">
        <v>8</v>
      </c>
      <c r="AG46">
        <v>3</v>
      </c>
      <c r="AH46">
        <v>7</v>
      </c>
      <c r="AI46" t="str">
        <f t="shared" si="0"/>
        <v>10+ Years</v>
      </c>
      <c r="AJ46" t="str">
        <f t="shared" si="1"/>
        <v>3-5</v>
      </c>
    </row>
    <row r="47" spans="1:36" x14ac:dyDescent="0.35">
      <c r="A47">
        <v>46</v>
      </c>
      <c r="B47">
        <v>41</v>
      </c>
      <c r="C47" t="str">
        <f t="shared" si="2"/>
        <v>36-45</v>
      </c>
      <c r="D47" t="s">
        <v>31</v>
      </c>
      <c r="E47" t="s">
        <v>32</v>
      </c>
      <c r="F47" s="3">
        <v>1389</v>
      </c>
      <c r="G47" t="s">
        <v>40</v>
      </c>
      <c r="H47" s="1">
        <v>12</v>
      </c>
      <c r="I47" t="s">
        <v>61</v>
      </c>
      <c r="J47" t="s">
        <v>55</v>
      </c>
      <c r="K47" t="s">
        <v>61</v>
      </c>
      <c r="L47" t="s">
        <v>35</v>
      </c>
      <c r="M47" s="3">
        <v>49</v>
      </c>
      <c r="N47" t="s">
        <v>60</v>
      </c>
      <c r="O47" t="e">
        <v>#N/A</v>
      </c>
      <c r="P47" t="s">
        <v>53</v>
      </c>
      <c r="Q47" t="s">
        <v>60</v>
      </c>
      <c r="R47" t="s">
        <v>43</v>
      </c>
      <c r="S47" s="3">
        <v>19545</v>
      </c>
      <c r="T47" s="3">
        <v>16280</v>
      </c>
      <c r="U47" s="3" t="str">
        <f t="shared" si="3"/>
        <v>High</v>
      </c>
      <c r="V47">
        <v>1</v>
      </c>
      <c r="W47" t="s">
        <v>38</v>
      </c>
      <c r="X47" s="2">
        <v>12</v>
      </c>
      <c r="Y47" t="s">
        <v>60</v>
      </c>
      <c r="Z47" t="s">
        <v>62</v>
      </c>
      <c r="AA47">
        <v>0</v>
      </c>
      <c r="AB47">
        <v>23</v>
      </c>
      <c r="AC47">
        <v>0</v>
      </c>
      <c r="AD47">
        <v>3</v>
      </c>
      <c r="AE47">
        <v>22</v>
      </c>
      <c r="AF47">
        <v>15</v>
      </c>
      <c r="AG47">
        <v>15</v>
      </c>
      <c r="AH47">
        <v>8</v>
      </c>
      <c r="AI47" t="str">
        <f t="shared" si="0"/>
        <v>10+ Years</v>
      </c>
      <c r="AJ47" t="str">
        <f t="shared" si="1"/>
        <v>6+</v>
      </c>
    </row>
    <row r="48" spans="1:36" x14ac:dyDescent="0.35">
      <c r="A48">
        <v>47</v>
      </c>
      <c r="B48">
        <v>34</v>
      </c>
      <c r="C48" t="str">
        <f t="shared" si="2"/>
        <v>26-35</v>
      </c>
      <c r="D48" t="s">
        <v>38</v>
      </c>
      <c r="E48" t="s">
        <v>50</v>
      </c>
      <c r="F48" s="3">
        <v>1389</v>
      </c>
      <c r="G48" t="s">
        <v>33</v>
      </c>
      <c r="H48" s="1">
        <v>23</v>
      </c>
      <c r="I48" t="s">
        <v>60</v>
      </c>
      <c r="J48" t="s">
        <v>54</v>
      </c>
      <c r="K48" t="s">
        <v>61</v>
      </c>
      <c r="L48" t="s">
        <v>41</v>
      </c>
      <c r="M48" s="3">
        <v>72</v>
      </c>
      <c r="N48" t="s">
        <v>60</v>
      </c>
      <c r="O48" t="s">
        <v>61</v>
      </c>
      <c r="P48" t="s">
        <v>36</v>
      </c>
      <c r="Q48" t="s">
        <v>60</v>
      </c>
      <c r="R48" t="s">
        <v>37</v>
      </c>
      <c r="S48" s="3">
        <v>4568</v>
      </c>
      <c r="T48" s="3">
        <v>10034</v>
      </c>
      <c r="U48" s="3" t="str">
        <f t="shared" si="3"/>
        <v>Low</v>
      </c>
      <c r="V48">
        <v>0</v>
      </c>
      <c r="W48" t="s">
        <v>38</v>
      </c>
      <c r="X48" s="2">
        <v>20</v>
      </c>
      <c r="Y48" t="s">
        <v>62</v>
      </c>
      <c r="Z48" t="s">
        <v>60</v>
      </c>
      <c r="AA48">
        <v>0</v>
      </c>
      <c r="AB48">
        <v>10</v>
      </c>
      <c r="AC48">
        <v>2</v>
      </c>
      <c r="AD48">
        <v>3</v>
      </c>
      <c r="AE48">
        <v>9</v>
      </c>
      <c r="AF48">
        <v>5</v>
      </c>
      <c r="AG48">
        <v>8</v>
      </c>
      <c r="AH48">
        <v>7</v>
      </c>
      <c r="AI48" t="str">
        <f t="shared" si="0"/>
        <v>6-10 Years</v>
      </c>
      <c r="AJ48" t="str">
        <f t="shared" si="1"/>
        <v>6+</v>
      </c>
    </row>
    <row r="49" spans="1:36" x14ac:dyDescent="0.35">
      <c r="A49">
        <v>48</v>
      </c>
      <c r="B49">
        <v>37</v>
      </c>
      <c r="C49" t="str">
        <f t="shared" si="2"/>
        <v>36-45</v>
      </c>
      <c r="D49" t="s">
        <v>38</v>
      </c>
      <c r="E49" t="s">
        <v>32</v>
      </c>
      <c r="F49" s="3">
        <v>1389</v>
      </c>
      <c r="G49" t="s">
        <v>40</v>
      </c>
      <c r="H49" s="1">
        <v>19</v>
      </c>
      <c r="I49" t="s">
        <v>58</v>
      </c>
      <c r="J49" t="s">
        <v>34</v>
      </c>
      <c r="K49" t="s">
        <v>61</v>
      </c>
      <c r="L49" t="s">
        <v>41</v>
      </c>
      <c r="M49" s="3">
        <v>73</v>
      </c>
      <c r="N49" t="s">
        <v>60</v>
      </c>
      <c r="O49" t="s">
        <v>59</v>
      </c>
      <c r="P49" t="s">
        <v>42</v>
      </c>
      <c r="Q49" t="s">
        <v>61</v>
      </c>
      <c r="R49" t="s">
        <v>43</v>
      </c>
      <c r="S49" s="3">
        <v>3022</v>
      </c>
      <c r="T49" s="3">
        <v>10227</v>
      </c>
      <c r="U49" s="3" t="str">
        <f t="shared" si="3"/>
        <v>Low</v>
      </c>
      <c r="V49">
        <v>4</v>
      </c>
      <c r="W49" t="s">
        <v>38</v>
      </c>
      <c r="X49" s="2">
        <v>21</v>
      </c>
      <c r="Y49" t="s">
        <v>62</v>
      </c>
      <c r="Z49" t="s">
        <v>59</v>
      </c>
      <c r="AA49">
        <v>0</v>
      </c>
      <c r="AB49">
        <v>8</v>
      </c>
      <c r="AC49">
        <v>1</v>
      </c>
      <c r="AD49">
        <v>3</v>
      </c>
      <c r="AE49">
        <v>1</v>
      </c>
      <c r="AF49">
        <v>0</v>
      </c>
      <c r="AG49">
        <v>0</v>
      </c>
      <c r="AH49">
        <v>0</v>
      </c>
      <c r="AI49" t="str">
        <f t="shared" si="0"/>
        <v>0-2 Years</v>
      </c>
      <c r="AJ49" t="str">
        <f t="shared" si="1"/>
        <v>0-2</v>
      </c>
    </row>
    <row r="50" spans="1:36" x14ac:dyDescent="0.35">
      <c r="A50">
        <v>49</v>
      </c>
      <c r="B50">
        <v>46</v>
      </c>
      <c r="C50" t="str">
        <f t="shared" si="2"/>
        <v>46-55</v>
      </c>
      <c r="D50" t="s">
        <v>38</v>
      </c>
      <c r="E50" t="s">
        <v>39</v>
      </c>
      <c r="F50" s="3">
        <v>1389</v>
      </c>
      <c r="G50" t="s">
        <v>33</v>
      </c>
      <c r="H50" s="1">
        <v>5</v>
      </c>
      <c r="I50" t="s">
        <v>60</v>
      </c>
      <c r="J50" t="s">
        <v>54</v>
      </c>
      <c r="K50" t="s">
        <v>59</v>
      </c>
      <c r="L50" t="s">
        <v>41</v>
      </c>
      <c r="M50" s="3">
        <v>98</v>
      </c>
      <c r="N50" t="s">
        <v>60</v>
      </c>
      <c r="O50" t="s">
        <v>61</v>
      </c>
      <c r="P50" t="s">
        <v>36</v>
      </c>
      <c r="Q50" t="s">
        <v>62</v>
      </c>
      <c r="R50" t="s">
        <v>37</v>
      </c>
      <c r="S50" s="3">
        <v>5772</v>
      </c>
      <c r="T50" s="3">
        <v>20445</v>
      </c>
      <c r="U50" s="3" t="str">
        <f t="shared" si="3"/>
        <v>Medium</v>
      </c>
      <c r="V50">
        <v>4</v>
      </c>
      <c r="W50" t="s">
        <v>31</v>
      </c>
      <c r="X50" s="2">
        <v>21</v>
      </c>
      <c r="Y50" t="s">
        <v>62</v>
      </c>
      <c r="Z50" t="s">
        <v>60</v>
      </c>
      <c r="AA50">
        <v>0</v>
      </c>
      <c r="AB50">
        <v>14</v>
      </c>
      <c r="AC50">
        <v>4</v>
      </c>
      <c r="AD50">
        <v>3</v>
      </c>
      <c r="AE50">
        <v>9</v>
      </c>
      <c r="AF50">
        <v>6</v>
      </c>
      <c r="AG50">
        <v>0</v>
      </c>
      <c r="AH50">
        <v>8</v>
      </c>
      <c r="AI50" t="str">
        <f t="shared" si="0"/>
        <v>6-10 Years</v>
      </c>
      <c r="AJ50" t="str">
        <f t="shared" si="1"/>
        <v>0-2</v>
      </c>
    </row>
    <row r="51" spans="1:36" x14ac:dyDescent="0.35">
      <c r="A51">
        <v>50</v>
      </c>
      <c r="B51">
        <v>35</v>
      </c>
      <c r="C51" t="str">
        <f t="shared" si="2"/>
        <v>26-35</v>
      </c>
      <c r="D51" t="s">
        <v>38</v>
      </c>
      <c r="E51" t="s">
        <v>32</v>
      </c>
      <c r="F51" s="3">
        <v>1389</v>
      </c>
      <c r="G51" t="s">
        <v>40</v>
      </c>
      <c r="H51" s="1">
        <v>8</v>
      </c>
      <c r="I51" t="s">
        <v>59</v>
      </c>
      <c r="J51" t="s">
        <v>34</v>
      </c>
      <c r="K51" t="s">
        <v>62</v>
      </c>
      <c r="L51" t="s">
        <v>41</v>
      </c>
      <c r="M51" s="3">
        <v>36</v>
      </c>
      <c r="N51" t="s">
        <v>62</v>
      </c>
      <c r="O51" t="s">
        <v>59</v>
      </c>
      <c r="P51" t="s">
        <v>45</v>
      </c>
      <c r="Q51" t="s">
        <v>62</v>
      </c>
      <c r="R51" t="s">
        <v>43</v>
      </c>
      <c r="S51" s="3">
        <v>2269</v>
      </c>
      <c r="T51" s="3">
        <v>4892</v>
      </c>
      <c r="U51" s="3" t="str">
        <f t="shared" si="3"/>
        <v>Low</v>
      </c>
      <c r="V51">
        <v>1</v>
      </c>
      <c r="W51" t="s">
        <v>38</v>
      </c>
      <c r="X51" s="2">
        <v>19</v>
      </c>
      <c r="Y51" t="s">
        <v>60</v>
      </c>
      <c r="Z51" t="s">
        <v>62</v>
      </c>
      <c r="AA51">
        <v>0</v>
      </c>
      <c r="AB51">
        <v>1</v>
      </c>
      <c r="AC51">
        <v>2</v>
      </c>
      <c r="AD51">
        <v>3</v>
      </c>
      <c r="AE51">
        <v>1</v>
      </c>
      <c r="AF51">
        <v>0</v>
      </c>
      <c r="AG51">
        <v>0</v>
      </c>
      <c r="AH51">
        <v>1</v>
      </c>
      <c r="AI51" t="str">
        <f t="shared" si="0"/>
        <v>0-2 Years</v>
      </c>
      <c r="AJ51" t="str">
        <f t="shared" si="1"/>
        <v>0-2</v>
      </c>
    </row>
    <row r="52" spans="1:36" x14ac:dyDescent="0.35">
      <c r="A52">
        <v>51</v>
      </c>
      <c r="B52">
        <v>48</v>
      </c>
      <c r="C52" t="str">
        <f t="shared" si="2"/>
        <v>46-55</v>
      </c>
      <c r="D52" t="s">
        <v>31</v>
      </c>
      <c r="E52" t="s">
        <v>32</v>
      </c>
      <c r="F52" s="3">
        <v>1389</v>
      </c>
      <c r="G52" t="s">
        <v>40</v>
      </c>
      <c r="H52" s="1">
        <v>1</v>
      </c>
      <c r="I52" t="s">
        <v>58</v>
      </c>
      <c r="J52" t="s">
        <v>34</v>
      </c>
      <c r="K52" t="s">
        <v>59</v>
      </c>
      <c r="L52" t="s">
        <v>41</v>
      </c>
      <c r="M52" s="3">
        <v>98</v>
      </c>
      <c r="N52" t="s">
        <v>61</v>
      </c>
      <c r="O52" t="s">
        <v>60</v>
      </c>
      <c r="P52" t="s">
        <v>45</v>
      </c>
      <c r="Q52" t="s">
        <v>60</v>
      </c>
      <c r="R52" t="s">
        <v>37</v>
      </c>
      <c r="S52" s="3">
        <v>5381</v>
      </c>
      <c r="T52" s="3">
        <v>19294</v>
      </c>
      <c r="U52" s="3" t="str">
        <f t="shared" si="3"/>
        <v>Medium</v>
      </c>
      <c r="V52">
        <v>9</v>
      </c>
      <c r="W52" t="s">
        <v>31</v>
      </c>
      <c r="X52" s="2">
        <v>13</v>
      </c>
      <c r="Y52" t="s">
        <v>60</v>
      </c>
      <c r="Z52" t="s">
        <v>62</v>
      </c>
      <c r="AA52">
        <v>0</v>
      </c>
      <c r="AB52">
        <v>23</v>
      </c>
      <c r="AC52">
        <v>2</v>
      </c>
      <c r="AD52">
        <v>3</v>
      </c>
      <c r="AE52">
        <v>1</v>
      </c>
      <c r="AF52">
        <v>0</v>
      </c>
      <c r="AG52">
        <v>0</v>
      </c>
      <c r="AH52">
        <v>0</v>
      </c>
      <c r="AI52" t="str">
        <f t="shared" si="0"/>
        <v>0-2 Years</v>
      </c>
      <c r="AJ52" t="str">
        <f t="shared" si="1"/>
        <v>0-2</v>
      </c>
    </row>
    <row r="53" spans="1:36" x14ac:dyDescent="0.35">
      <c r="A53">
        <v>52</v>
      </c>
      <c r="B53">
        <v>28</v>
      </c>
      <c r="C53" t="str">
        <f t="shared" si="2"/>
        <v>26-35</v>
      </c>
      <c r="D53" t="s">
        <v>31</v>
      </c>
      <c r="E53" t="s">
        <v>32</v>
      </c>
      <c r="F53" s="3">
        <v>1389</v>
      </c>
      <c r="G53" t="s">
        <v>40</v>
      </c>
      <c r="H53" s="1">
        <v>5</v>
      </c>
      <c r="I53" t="s">
        <v>60</v>
      </c>
      <c r="J53" t="s">
        <v>55</v>
      </c>
      <c r="K53" t="s">
        <v>60</v>
      </c>
      <c r="L53" t="s">
        <v>41</v>
      </c>
      <c r="M53" s="3">
        <v>50</v>
      </c>
      <c r="N53" t="s">
        <v>60</v>
      </c>
      <c r="O53" t="s">
        <v>59</v>
      </c>
      <c r="P53" t="s">
        <v>45</v>
      </c>
      <c r="Q53" t="s">
        <v>60</v>
      </c>
      <c r="R53" t="s">
        <v>37</v>
      </c>
      <c r="S53" s="3">
        <v>3441</v>
      </c>
      <c r="T53" s="3">
        <v>11179</v>
      </c>
      <c r="U53" s="3" t="str">
        <f t="shared" si="3"/>
        <v>Low</v>
      </c>
      <c r="V53">
        <v>1</v>
      </c>
      <c r="W53" t="s">
        <v>31</v>
      </c>
      <c r="X53" s="2">
        <v>13</v>
      </c>
      <c r="Y53" t="s">
        <v>60</v>
      </c>
      <c r="Z53" t="s">
        <v>60</v>
      </c>
      <c r="AA53">
        <v>0</v>
      </c>
      <c r="AB53">
        <v>2</v>
      </c>
      <c r="AC53">
        <v>3</v>
      </c>
      <c r="AD53">
        <v>2</v>
      </c>
      <c r="AE53">
        <v>2</v>
      </c>
      <c r="AF53">
        <v>2</v>
      </c>
      <c r="AG53">
        <v>2</v>
      </c>
      <c r="AH53">
        <v>2</v>
      </c>
      <c r="AI53" t="str">
        <f t="shared" si="0"/>
        <v>0-2 Years</v>
      </c>
      <c r="AJ53" t="str">
        <f t="shared" si="1"/>
        <v>0-2</v>
      </c>
    </row>
    <row r="54" spans="1:36" x14ac:dyDescent="0.35">
      <c r="A54">
        <v>53</v>
      </c>
      <c r="B54">
        <v>44</v>
      </c>
      <c r="C54" t="str">
        <f t="shared" si="2"/>
        <v>36-45</v>
      </c>
      <c r="D54" t="s">
        <v>38</v>
      </c>
      <c r="E54" t="s">
        <v>32</v>
      </c>
      <c r="F54" s="3">
        <v>1389</v>
      </c>
      <c r="G54" t="s">
        <v>33</v>
      </c>
      <c r="H54" s="1">
        <v>1</v>
      </c>
      <c r="I54" t="s">
        <v>62</v>
      </c>
      <c r="J54" t="s">
        <v>54</v>
      </c>
      <c r="K54" t="s">
        <v>61</v>
      </c>
      <c r="L54" t="s">
        <v>35</v>
      </c>
      <c r="M54" s="3">
        <v>75</v>
      </c>
      <c r="N54" t="s">
        <v>60</v>
      </c>
      <c r="O54" t="s">
        <v>61</v>
      </c>
      <c r="P54" t="s">
        <v>36</v>
      </c>
      <c r="Q54" t="s">
        <v>59</v>
      </c>
      <c r="R54" t="s">
        <v>47</v>
      </c>
      <c r="S54" s="3">
        <v>5454</v>
      </c>
      <c r="T54" s="3">
        <v>4009</v>
      </c>
      <c r="U54" s="3" t="str">
        <f t="shared" si="3"/>
        <v>Medium</v>
      </c>
      <c r="V54">
        <v>5</v>
      </c>
      <c r="W54" t="s">
        <v>31</v>
      </c>
      <c r="X54" s="2">
        <v>21</v>
      </c>
      <c r="Y54" t="s">
        <v>62</v>
      </c>
      <c r="Z54" t="s">
        <v>60</v>
      </c>
      <c r="AA54">
        <v>1</v>
      </c>
      <c r="AB54">
        <v>9</v>
      </c>
      <c r="AC54">
        <v>2</v>
      </c>
      <c r="AD54">
        <v>2</v>
      </c>
      <c r="AE54">
        <v>4</v>
      </c>
      <c r="AF54">
        <v>3</v>
      </c>
      <c r="AG54">
        <v>1</v>
      </c>
      <c r="AH54">
        <v>3</v>
      </c>
      <c r="AI54" t="str">
        <f t="shared" si="0"/>
        <v>3-5 Years</v>
      </c>
      <c r="AJ54" t="str">
        <f t="shared" si="1"/>
        <v>0-2</v>
      </c>
    </row>
    <row r="55" spans="1:36" x14ac:dyDescent="0.35">
      <c r="A55">
        <v>54</v>
      </c>
      <c r="B55">
        <v>35</v>
      </c>
      <c r="C55" t="str">
        <f t="shared" si="2"/>
        <v>26-35</v>
      </c>
      <c r="D55" t="s">
        <v>38</v>
      </c>
      <c r="E55" t="s">
        <v>50</v>
      </c>
      <c r="F55" s="3">
        <v>1389</v>
      </c>
      <c r="G55" t="s">
        <v>40</v>
      </c>
      <c r="H55" s="1">
        <v>11</v>
      </c>
      <c r="I55" t="s">
        <v>58</v>
      </c>
      <c r="J55" t="s">
        <v>46</v>
      </c>
      <c r="K55" t="s">
        <v>60</v>
      </c>
      <c r="L55" t="s">
        <v>41</v>
      </c>
      <c r="M55" s="3">
        <v>79</v>
      </c>
      <c r="N55" t="s">
        <v>61</v>
      </c>
      <c r="O55" t="s">
        <v>60</v>
      </c>
      <c r="P55" t="s">
        <v>49</v>
      </c>
      <c r="Q55" t="s">
        <v>59</v>
      </c>
      <c r="R55" t="s">
        <v>43</v>
      </c>
      <c r="S55" s="3">
        <v>9884</v>
      </c>
      <c r="T55" s="3">
        <v>8302</v>
      </c>
      <c r="U55" s="3" t="str">
        <f t="shared" si="3"/>
        <v>Medium</v>
      </c>
      <c r="V55">
        <v>2</v>
      </c>
      <c r="W55" t="s">
        <v>31</v>
      </c>
      <c r="X55" s="2">
        <v>13</v>
      </c>
      <c r="Y55" t="s">
        <v>60</v>
      </c>
      <c r="Z55" t="s">
        <v>60</v>
      </c>
      <c r="AA55">
        <v>1</v>
      </c>
      <c r="AB55">
        <v>10</v>
      </c>
      <c r="AC55">
        <v>3</v>
      </c>
      <c r="AD55">
        <v>3</v>
      </c>
      <c r="AE55">
        <v>4</v>
      </c>
      <c r="AF55">
        <v>0</v>
      </c>
      <c r="AG55">
        <v>2</v>
      </c>
      <c r="AH55">
        <v>3</v>
      </c>
      <c r="AI55" t="str">
        <f t="shared" si="0"/>
        <v>3-5 Years</v>
      </c>
      <c r="AJ55" t="str">
        <f t="shared" si="1"/>
        <v>0-2</v>
      </c>
    </row>
    <row r="56" spans="1:36" x14ac:dyDescent="0.35">
      <c r="A56">
        <v>55</v>
      </c>
      <c r="B56">
        <v>26</v>
      </c>
      <c r="C56" t="str">
        <f t="shared" si="2"/>
        <v>26-35</v>
      </c>
      <c r="D56" t="s">
        <v>38</v>
      </c>
      <c r="E56" t="s">
        <v>32</v>
      </c>
      <c r="F56" s="3">
        <v>1389</v>
      </c>
      <c r="G56" t="s">
        <v>33</v>
      </c>
      <c r="H56" s="1">
        <v>23</v>
      </c>
      <c r="I56" t="s">
        <v>61</v>
      </c>
      <c r="J56" t="s">
        <v>54</v>
      </c>
      <c r="K56" t="s">
        <v>60</v>
      </c>
      <c r="L56" t="s">
        <v>35</v>
      </c>
      <c r="M56" s="3">
        <v>47</v>
      </c>
      <c r="N56" t="s">
        <v>61</v>
      </c>
      <c r="O56" t="s">
        <v>61</v>
      </c>
      <c r="P56" t="s">
        <v>36</v>
      </c>
      <c r="Q56" t="s">
        <v>62</v>
      </c>
      <c r="R56" t="s">
        <v>43</v>
      </c>
      <c r="S56" s="3">
        <v>4157</v>
      </c>
      <c r="T56" s="3">
        <v>21436</v>
      </c>
      <c r="U56" s="3" t="str">
        <f t="shared" si="3"/>
        <v>Low</v>
      </c>
      <c r="V56">
        <v>7</v>
      </c>
      <c r="W56" t="s">
        <v>31</v>
      </c>
      <c r="X56" s="2">
        <v>19</v>
      </c>
      <c r="Y56" t="s">
        <v>60</v>
      </c>
      <c r="Z56" t="s">
        <v>60</v>
      </c>
      <c r="AA56">
        <v>1</v>
      </c>
      <c r="AB56">
        <v>5</v>
      </c>
      <c r="AC56">
        <v>2</v>
      </c>
      <c r="AD56">
        <v>2</v>
      </c>
      <c r="AE56">
        <v>2</v>
      </c>
      <c r="AF56">
        <v>2</v>
      </c>
      <c r="AG56">
        <v>0</v>
      </c>
      <c r="AH56">
        <v>0</v>
      </c>
      <c r="AI56" t="str">
        <f t="shared" si="0"/>
        <v>0-2 Years</v>
      </c>
      <c r="AJ56" t="str">
        <f t="shared" si="1"/>
        <v>0-2</v>
      </c>
    </row>
    <row r="57" spans="1:36" x14ac:dyDescent="0.35">
      <c r="A57">
        <v>56</v>
      </c>
      <c r="B57">
        <v>33</v>
      </c>
      <c r="C57" t="str">
        <f t="shared" si="2"/>
        <v>26-35</v>
      </c>
      <c r="D57" t="s">
        <v>38</v>
      </c>
      <c r="E57" t="s">
        <v>39</v>
      </c>
      <c r="F57" s="3">
        <v>1389</v>
      </c>
      <c r="G57" t="s">
        <v>40</v>
      </c>
      <c r="H57" s="1">
        <v>1</v>
      </c>
      <c r="I57" t="s">
        <v>58</v>
      </c>
      <c r="J57" t="s">
        <v>34</v>
      </c>
      <c r="K57" t="s">
        <v>59</v>
      </c>
      <c r="L57" t="s">
        <v>35</v>
      </c>
      <c r="M57" s="3">
        <v>98</v>
      </c>
      <c r="N57" t="s">
        <v>60</v>
      </c>
      <c r="O57" t="s">
        <v>60</v>
      </c>
      <c r="P57" t="s">
        <v>53</v>
      </c>
      <c r="Q57" t="s">
        <v>62</v>
      </c>
      <c r="R57" t="s">
        <v>37</v>
      </c>
      <c r="S57" s="3">
        <v>13458</v>
      </c>
      <c r="T57" s="3">
        <v>15146</v>
      </c>
      <c r="U57" s="3" t="str">
        <f t="shared" si="3"/>
        <v>High</v>
      </c>
      <c r="V57">
        <v>1</v>
      </c>
      <c r="W57" t="s">
        <v>31</v>
      </c>
      <c r="X57" s="2">
        <v>12</v>
      </c>
      <c r="Y57" t="s">
        <v>60</v>
      </c>
      <c r="Z57" t="s">
        <v>60</v>
      </c>
      <c r="AA57">
        <v>0</v>
      </c>
      <c r="AB57">
        <v>15</v>
      </c>
      <c r="AC57">
        <v>1</v>
      </c>
      <c r="AD57">
        <v>3</v>
      </c>
      <c r="AE57">
        <v>15</v>
      </c>
      <c r="AF57">
        <v>14</v>
      </c>
      <c r="AG57">
        <v>8</v>
      </c>
      <c r="AH57">
        <v>12</v>
      </c>
      <c r="AI57" t="str">
        <f t="shared" si="0"/>
        <v>10+ Years</v>
      </c>
      <c r="AJ57" t="str">
        <f t="shared" si="1"/>
        <v>6+</v>
      </c>
    </row>
    <row r="58" spans="1:36" x14ac:dyDescent="0.35">
      <c r="A58">
        <v>57</v>
      </c>
      <c r="B58">
        <v>35</v>
      </c>
      <c r="C58" t="str">
        <f t="shared" si="2"/>
        <v>26-35</v>
      </c>
      <c r="D58" t="s">
        <v>38</v>
      </c>
      <c r="E58" t="s">
        <v>39</v>
      </c>
      <c r="F58" s="3">
        <v>1389</v>
      </c>
      <c r="G58" t="s">
        <v>33</v>
      </c>
      <c r="H58" s="1">
        <v>18</v>
      </c>
      <c r="I58" t="s">
        <v>62</v>
      </c>
      <c r="J58" t="s">
        <v>34</v>
      </c>
      <c r="K58" t="s">
        <v>61</v>
      </c>
      <c r="L58" t="s">
        <v>41</v>
      </c>
      <c r="M58" s="3">
        <v>71</v>
      </c>
      <c r="N58" t="s">
        <v>60</v>
      </c>
      <c r="O58" t="s">
        <v>60</v>
      </c>
      <c r="P58" t="s">
        <v>36</v>
      </c>
      <c r="Q58" t="s">
        <v>59</v>
      </c>
      <c r="R58" t="s">
        <v>43</v>
      </c>
      <c r="S58" s="3">
        <v>9069</v>
      </c>
      <c r="T58" s="3">
        <v>11031</v>
      </c>
      <c r="U58" s="3" t="str">
        <f t="shared" si="3"/>
        <v>Medium</v>
      </c>
      <c r="V58">
        <v>1</v>
      </c>
      <c r="W58" t="s">
        <v>38</v>
      </c>
      <c r="X58" s="2">
        <v>22</v>
      </c>
      <c r="Y58" t="s">
        <v>62</v>
      </c>
      <c r="Z58" t="s">
        <v>62</v>
      </c>
      <c r="AA58">
        <v>1</v>
      </c>
      <c r="AB58">
        <v>9</v>
      </c>
      <c r="AC58">
        <v>3</v>
      </c>
      <c r="AD58">
        <v>2</v>
      </c>
      <c r="AE58">
        <v>9</v>
      </c>
      <c r="AF58">
        <v>8</v>
      </c>
      <c r="AG58">
        <v>1</v>
      </c>
      <c r="AH58">
        <v>8</v>
      </c>
      <c r="AI58" t="str">
        <f t="shared" si="0"/>
        <v>6-10 Years</v>
      </c>
      <c r="AJ58" t="str">
        <f t="shared" si="1"/>
        <v>0-2</v>
      </c>
    </row>
    <row r="59" spans="1:36" x14ac:dyDescent="0.35">
      <c r="A59">
        <v>58</v>
      </c>
      <c r="B59">
        <v>35</v>
      </c>
      <c r="C59" t="str">
        <f t="shared" si="2"/>
        <v>26-35</v>
      </c>
      <c r="D59" t="s">
        <v>38</v>
      </c>
      <c r="E59" t="s">
        <v>32</v>
      </c>
      <c r="F59" s="3">
        <v>1389</v>
      </c>
      <c r="G59" t="s">
        <v>40</v>
      </c>
      <c r="H59" s="1">
        <v>23</v>
      </c>
      <c r="I59" t="s">
        <v>60</v>
      </c>
      <c r="J59" t="s">
        <v>46</v>
      </c>
      <c r="K59" t="s">
        <v>60</v>
      </c>
      <c r="L59" t="s">
        <v>35</v>
      </c>
      <c r="M59" s="3">
        <v>30</v>
      </c>
      <c r="N59" t="s">
        <v>60</v>
      </c>
      <c r="O59" t="s">
        <v>59</v>
      </c>
      <c r="P59" t="s">
        <v>45</v>
      </c>
      <c r="Q59" t="s">
        <v>59</v>
      </c>
      <c r="R59" t="s">
        <v>43</v>
      </c>
      <c r="S59" s="3">
        <v>4014</v>
      </c>
      <c r="T59" s="3">
        <v>16002</v>
      </c>
      <c r="U59" s="3" t="str">
        <f t="shared" si="3"/>
        <v>Low</v>
      </c>
      <c r="V59">
        <v>3</v>
      </c>
      <c r="W59" t="s">
        <v>31</v>
      </c>
      <c r="X59" s="2">
        <v>15</v>
      </c>
      <c r="Y59" t="s">
        <v>60</v>
      </c>
      <c r="Z59" t="s">
        <v>60</v>
      </c>
      <c r="AA59">
        <v>1</v>
      </c>
      <c r="AB59">
        <v>4</v>
      </c>
      <c r="AC59">
        <v>3</v>
      </c>
      <c r="AD59">
        <v>3</v>
      </c>
      <c r="AE59">
        <v>2</v>
      </c>
      <c r="AF59">
        <v>2</v>
      </c>
      <c r="AG59">
        <v>2</v>
      </c>
      <c r="AH59">
        <v>2</v>
      </c>
      <c r="AI59" t="str">
        <f t="shared" si="0"/>
        <v>0-2 Years</v>
      </c>
      <c r="AJ59" t="str">
        <f t="shared" si="1"/>
        <v>0-2</v>
      </c>
    </row>
    <row r="60" spans="1:36" x14ac:dyDescent="0.35">
      <c r="A60">
        <v>59</v>
      </c>
      <c r="B60">
        <v>31</v>
      </c>
      <c r="C60" t="str">
        <f t="shared" si="2"/>
        <v>26-35</v>
      </c>
      <c r="D60" t="s">
        <v>38</v>
      </c>
      <c r="E60" t="s">
        <v>32</v>
      </c>
      <c r="F60" s="3">
        <v>1389</v>
      </c>
      <c r="G60" t="s">
        <v>40</v>
      </c>
      <c r="H60" s="1">
        <v>7</v>
      </c>
      <c r="I60" t="s">
        <v>60</v>
      </c>
      <c r="J60" t="s">
        <v>34</v>
      </c>
      <c r="K60" t="s">
        <v>62</v>
      </c>
      <c r="L60" t="s">
        <v>41</v>
      </c>
      <c r="M60" s="3">
        <v>48</v>
      </c>
      <c r="N60" t="s">
        <v>60</v>
      </c>
      <c r="O60" t="s">
        <v>61</v>
      </c>
      <c r="P60" t="s">
        <v>45</v>
      </c>
      <c r="Q60" t="s">
        <v>62</v>
      </c>
      <c r="R60" t="s">
        <v>47</v>
      </c>
      <c r="S60" s="3">
        <v>5915</v>
      </c>
      <c r="T60" s="3">
        <v>9528</v>
      </c>
      <c r="U60" s="3" t="str">
        <f t="shared" si="3"/>
        <v>Medium</v>
      </c>
      <c r="V60">
        <v>3</v>
      </c>
      <c r="W60" t="s">
        <v>38</v>
      </c>
      <c r="X60" s="2">
        <v>22</v>
      </c>
      <c r="Y60" t="s">
        <v>62</v>
      </c>
      <c r="Z60" t="s">
        <v>62</v>
      </c>
      <c r="AA60">
        <v>1</v>
      </c>
      <c r="AB60">
        <v>10</v>
      </c>
      <c r="AC60">
        <v>3</v>
      </c>
      <c r="AD60">
        <v>2</v>
      </c>
      <c r="AE60">
        <v>7</v>
      </c>
      <c r="AF60">
        <v>7</v>
      </c>
      <c r="AG60">
        <v>1</v>
      </c>
      <c r="AH60">
        <v>7</v>
      </c>
      <c r="AI60" t="str">
        <f t="shared" si="0"/>
        <v>6-10 Years</v>
      </c>
      <c r="AJ60" t="str">
        <f t="shared" si="1"/>
        <v>0-2</v>
      </c>
    </row>
    <row r="61" spans="1:36" x14ac:dyDescent="0.35">
      <c r="A61">
        <v>60</v>
      </c>
      <c r="B61">
        <v>37</v>
      </c>
      <c r="C61" t="str">
        <f t="shared" si="2"/>
        <v>36-45</v>
      </c>
      <c r="D61" t="s">
        <v>38</v>
      </c>
      <c r="E61" t="s">
        <v>32</v>
      </c>
      <c r="F61" s="3">
        <v>1389</v>
      </c>
      <c r="G61" t="s">
        <v>40</v>
      </c>
      <c r="H61" s="1">
        <v>1</v>
      </c>
      <c r="I61" t="s">
        <v>60</v>
      </c>
      <c r="J61" t="s">
        <v>34</v>
      </c>
      <c r="K61" t="s">
        <v>59</v>
      </c>
      <c r="L61" t="s">
        <v>41</v>
      </c>
      <c r="M61" s="3">
        <v>51</v>
      </c>
      <c r="N61" t="s">
        <v>61</v>
      </c>
      <c r="O61" t="s">
        <v>61</v>
      </c>
      <c r="P61" t="s">
        <v>48</v>
      </c>
      <c r="Q61" t="s">
        <v>60</v>
      </c>
      <c r="R61" t="s">
        <v>47</v>
      </c>
      <c r="S61" s="3">
        <v>5993</v>
      </c>
      <c r="T61" s="3">
        <v>2689</v>
      </c>
      <c r="U61" s="3" t="str">
        <f t="shared" si="3"/>
        <v>Medium</v>
      </c>
      <c r="V61">
        <v>1</v>
      </c>
      <c r="W61" t="s">
        <v>38</v>
      </c>
      <c r="X61" s="2">
        <v>18</v>
      </c>
      <c r="Y61" t="s">
        <v>60</v>
      </c>
      <c r="Z61" t="s">
        <v>60</v>
      </c>
      <c r="AA61">
        <v>1</v>
      </c>
      <c r="AB61">
        <v>7</v>
      </c>
      <c r="AC61">
        <v>2</v>
      </c>
      <c r="AD61">
        <v>4</v>
      </c>
      <c r="AE61">
        <v>7</v>
      </c>
      <c r="AF61">
        <v>5</v>
      </c>
      <c r="AG61">
        <v>0</v>
      </c>
      <c r="AH61">
        <v>7</v>
      </c>
      <c r="AI61" t="str">
        <f t="shared" si="0"/>
        <v>6-10 Years</v>
      </c>
      <c r="AJ61" t="str">
        <f t="shared" si="1"/>
        <v>0-2</v>
      </c>
    </row>
    <row r="62" spans="1:36" x14ac:dyDescent="0.35">
      <c r="A62">
        <v>61</v>
      </c>
      <c r="B62">
        <v>32</v>
      </c>
      <c r="C62" t="str">
        <f t="shared" si="2"/>
        <v>26-35</v>
      </c>
      <c r="D62" t="s">
        <v>38</v>
      </c>
      <c r="E62" t="s">
        <v>32</v>
      </c>
      <c r="F62" s="3">
        <v>1389</v>
      </c>
      <c r="G62" t="s">
        <v>40</v>
      </c>
      <c r="H62" s="1">
        <v>1</v>
      </c>
      <c r="I62" t="s">
        <v>61</v>
      </c>
      <c r="J62" t="s">
        <v>46</v>
      </c>
      <c r="K62" t="s">
        <v>59</v>
      </c>
      <c r="L62" t="s">
        <v>41</v>
      </c>
      <c r="M62" s="3">
        <v>33</v>
      </c>
      <c r="N62" t="s">
        <v>60</v>
      </c>
      <c r="O62" t="s">
        <v>61</v>
      </c>
      <c r="P62" t="s">
        <v>48</v>
      </c>
      <c r="Q62" t="s">
        <v>62</v>
      </c>
      <c r="R62" t="s">
        <v>43</v>
      </c>
      <c r="S62" s="3">
        <v>6162</v>
      </c>
      <c r="T62" s="3">
        <v>10877</v>
      </c>
      <c r="U62" s="3" t="str">
        <f t="shared" si="3"/>
        <v>Medium</v>
      </c>
      <c r="V62">
        <v>1</v>
      </c>
      <c r="W62" t="s">
        <v>31</v>
      </c>
      <c r="X62" s="2">
        <v>22</v>
      </c>
      <c r="Y62" t="s">
        <v>62</v>
      </c>
      <c r="Z62" t="s">
        <v>61</v>
      </c>
      <c r="AA62">
        <v>1</v>
      </c>
      <c r="AB62">
        <v>9</v>
      </c>
      <c r="AC62">
        <v>3</v>
      </c>
      <c r="AD62">
        <v>3</v>
      </c>
      <c r="AE62">
        <v>9</v>
      </c>
      <c r="AF62">
        <v>8</v>
      </c>
      <c r="AG62">
        <v>7</v>
      </c>
      <c r="AH62">
        <v>8</v>
      </c>
      <c r="AI62" t="str">
        <f t="shared" si="0"/>
        <v>6-10 Years</v>
      </c>
      <c r="AJ62" t="str">
        <f t="shared" si="1"/>
        <v>6+</v>
      </c>
    </row>
    <row r="63" spans="1:36" x14ac:dyDescent="0.35">
      <c r="A63">
        <v>62</v>
      </c>
      <c r="B63">
        <v>38</v>
      </c>
      <c r="C63" t="str">
        <f t="shared" si="2"/>
        <v>36-45</v>
      </c>
      <c r="D63" t="s">
        <v>38</v>
      </c>
      <c r="E63" t="s">
        <v>39</v>
      </c>
      <c r="F63" s="3">
        <v>1389</v>
      </c>
      <c r="G63" t="s">
        <v>40</v>
      </c>
      <c r="H63" s="1">
        <v>29</v>
      </c>
      <c r="I63" t="s">
        <v>62</v>
      </c>
      <c r="J63" t="s">
        <v>34</v>
      </c>
      <c r="K63" t="s">
        <v>62</v>
      </c>
      <c r="L63" t="s">
        <v>35</v>
      </c>
      <c r="M63" s="3">
        <v>50</v>
      </c>
      <c r="N63" t="s">
        <v>60</v>
      </c>
      <c r="O63" t="s">
        <v>61</v>
      </c>
      <c r="P63" t="s">
        <v>45</v>
      </c>
      <c r="Q63" t="s">
        <v>62</v>
      </c>
      <c r="R63" t="s">
        <v>37</v>
      </c>
      <c r="S63" s="3">
        <v>2406</v>
      </c>
      <c r="T63" s="3">
        <v>5456</v>
      </c>
      <c r="U63" s="3" t="str">
        <f t="shared" si="3"/>
        <v>Low</v>
      </c>
      <c r="V63">
        <v>1</v>
      </c>
      <c r="W63" t="s">
        <v>38</v>
      </c>
      <c r="X63" s="2">
        <v>11</v>
      </c>
      <c r="Y63" t="s">
        <v>60</v>
      </c>
      <c r="Z63" t="s">
        <v>62</v>
      </c>
      <c r="AA63">
        <v>0</v>
      </c>
      <c r="AB63">
        <v>10</v>
      </c>
      <c r="AC63">
        <v>2</v>
      </c>
      <c r="AD63">
        <v>3</v>
      </c>
      <c r="AE63">
        <v>10</v>
      </c>
      <c r="AF63">
        <v>3</v>
      </c>
      <c r="AG63">
        <v>9</v>
      </c>
      <c r="AH63">
        <v>9</v>
      </c>
      <c r="AI63" t="str">
        <f t="shared" si="0"/>
        <v>6-10 Years</v>
      </c>
      <c r="AJ63" t="str">
        <f t="shared" si="1"/>
        <v>6+</v>
      </c>
    </row>
    <row r="64" spans="1:36" x14ac:dyDescent="0.35">
      <c r="A64">
        <v>63</v>
      </c>
      <c r="B64">
        <v>50</v>
      </c>
      <c r="C64" t="str">
        <f t="shared" si="2"/>
        <v>46-55</v>
      </c>
      <c r="D64" t="s">
        <v>38</v>
      </c>
      <c r="E64" t="s">
        <v>32</v>
      </c>
      <c r="F64" s="3">
        <v>1389</v>
      </c>
      <c r="G64" t="s">
        <v>40</v>
      </c>
      <c r="H64" s="1">
        <v>7</v>
      </c>
      <c r="I64" t="s">
        <v>58</v>
      </c>
      <c r="J64" t="s">
        <v>46</v>
      </c>
      <c r="K64" t="s">
        <v>61</v>
      </c>
      <c r="L64" t="s">
        <v>35</v>
      </c>
      <c r="M64" s="3">
        <v>43</v>
      </c>
      <c r="N64" t="s">
        <v>61</v>
      </c>
      <c r="O64" t="e">
        <v>#N/A</v>
      </c>
      <c r="P64" t="s">
        <v>53</v>
      </c>
      <c r="Q64" t="s">
        <v>60</v>
      </c>
      <c r="R64" t="s">
        <v>47</v>
      </c>
      <c r="S64" s="3">
        <v>18740</v>
      </c>
      <c r="T64" s="3">
        <v>16701</v>
      </c>
      <c r="U64" s="3" t="str">
        <f t="shared" si="3"/>
        <v>High</v>
      </c>
      <c r="V64">
        <v>5</v>
      </c>
      <c r="W64" t="s">
        <v>31</v>
      </c>
      <c r="X64" s="2">
        <v>12</v>
      </c>
      <c r="Y64" t="s">
        <v>60</v>
      </c>
      <c r="Z64" t="s">
        <v>62</v>
      </c>
      <c r="AA64">
        <v>1</v>
      </c>
      <c r="AB64">
        <v>29</v>
      </c>
      <c r="AC64">
        <v>2</v>
      </c>
      <c r="AD64">
        <v>2</v>
      </c>
      <c r="AE64">
        <v>27</v>
      </c>
      <c r="AF64">
        <v>3</v>
      </c>
      <c r="AG64">
        <v>13</v>
      </c>
      <c r="AH64">
        <v>8</v>
      </c>
      <c r="AI64" t="str">
        <f t="shared" si="0"/>
        <v>10+ Years</v>
      </c>
      <c r="AJ64" t="str">
        <f t="shared" si="1"/>
        <v>6+</v>
      </c>
    </row>
    <row r="65" spans="1:36" x14ac:dyDescent="0.35">
      <c r="A65">
        <v>64</v>
      </c>
      <c r="B65">
        <v>59</v>
      </c>
      <c r="C65" t="str">
        <f t="shared" si="2"/>
        <v>55+</v>
      </c>
      <c r="D65" t="s">
        <v>38</v>
      </c>
      <c r="E65" t="s">
        <v>32</v>
      </c>
      <c r="F65" s="3">
        <v>1389</v>
      </c>
      <c r="G65" t="s">
        <v>33</v>
      </c>
      <c r="H65" s="1">
        <v>25</v>
      </c>
      <c r="I65" t="s">
        <v>61</v>
      </c>
      <c r="J65" t="s">
        <v>34</v>
      </c>
      <c r="K65" t="s">
        <v>59</v>
      </c>
      <c r="L65" t="s">
        <v>35</v>
      </c>
      <c r="M65" s="3">
        <v>99</v>
      </c>
      <c r="N65" t="s">
        <v>60</v>
      </c>
      <c r="O65" t="s">
        <v>60</v>
      </c>
      <c r="P65" t="s">
        <v>36</v>
      </c>
      <c r="Q65" t="s">
        <v>59</v>
      </c>
      <c r="R65" t="s">
        <v>37</v>
      </c>
      <c r="S65" s="3">
        <v>7637</v>
      </c>
      <c r="T65" s="3">
        <v>2354</v>
      </c>
      <c r="U65" s="3" t="str">
        <f t="shared" si="3"/>
        <v>Medium</v>
      </c>
      <c r="V65">
        <v>7</v>
      </c>
      <c r="W65" t="s">
        <v>38</v>
      </c>
      <c r="X65" s="2">
        <v>11</v>
      </c>
      <c r="Y65" t="s">
        <v>60</v>
      </c>
      <c r="Z65" t="s">
        <v>62</v>
      </c>
      <c r="AA65">
        <v>0</v>
      </c>
      <c r="AB65">
        <v>28</v>
      </c>
      <c r="AC65">
        <v>3</v>
      </c>
      <c r="AD65">
        <v>2</v>
      </c>
      <c r="AE65">
        <v>21</v>
      </c>
      <c r="AF65">
        <v>16</v>
      </c>
      <c r="AG65">
        <v>7</v>
      </c>
      <c r="AH65">
        <v>9</v>
      </c>
      <c r="AI65" t="str">
        <f t="shared" si="0"/>
        <v>10+ Years</v>
      </c>
      <c r="AJ65" t="str">
        <f t="shared" si="1"/>
        <v>6+</v>
      </c>
    </row>
    <row r="66" spans="1:36" x14ac:dyDescent="0.35">
      <c r="A66">
        <v>65</v>
      </c>
      <c r="B66">
        <v>36</v>
      </c>
      <c r="C66" t="str">
        <f t="shared" si="2"/>
        <v>36-45</v>
      </c>
      <c r="D66" t="s">
        <v>38</v>
      </c>
      <c r="E66" t="s">
        <v>32</v>
      </c>
      <c r="F66" s="3">
        <v>1389</v>
      </c>
      <c r="G66" t="s">
        <v>40</v>
      </c>
      <c r="H66" s="1">
        <v>8</v>
      </c>
      <c r="I66" t="s">
        <v>61</v>
      </c>
      <c r="J66" t="s">
        <v>55</v>
      </c>
      <c r="K66" t="s">
        <v>60</v>
      </c>
      <c r="L66" t="s">
        <v>35</v>
      </c>
      <c r="M66" s="3">
        <v>59</v>
      </c>
      <c r="N66" t="s">
        <v>60</v>
      </c>
      <c r="O66" t="s">
        <v>60</v>
      </c>
      <c r="P66" t="s">
        <v>49</v>
      </c>
      <c r="Q66" t="s">
        <v>60</v>
      </c>
      <c r="R66" t="s">
        <v>47</v>
      </c>
      <c r="S66" s="3">
        <v>10096</v>
      </c>
      <c r="T66" s="3">
        <v>8202</v>
      </c>
      <c r="U66" s="3" t="str">
        <f t="shared" si="3"/>
        <v>High</v>
      </c>
      <c r="V66">
        <v>1</v>
      </c>
      <c r="W66" t="s">
        <v>38</v>
      </c>
      <c r="X66" s="2">
        <v>13</v>
      </c>
      <c r="Y66" t="s">
        <v>60</v>
      </c>
      <c r="Z66" t="s">
        <v>61</v>
      </c>
      <c r="AA66">
        <v>3</v>
      </c>
      <c r="AB66">
        <v>17</v>
      </c>
      <c r="AC66">
        <v>2</v>
      </c>
      <c r="AD66">
        <v>3</v>
      </c>
      <c r="AE66">
        <v>17</v>
      </c>
      <c r="AF66">
        <v>14</v>
      </c>
      <c r="AG66">
        <v>12</v>
      </c>
      <c r="AH66">
        <v>8</v>
      </c>
      <c r="AI66" t="str">
        <f t="shared" ref="AI66:AI129" si="4">IF(AE66&lt;=2,"0-2 Years",
IF(AE66&lt;=5,"3-5 Years",
IF(AE66&lt;=10,"6-10 Years","10+ Years")))</f>
        <v>10+ Years</v>
      </c>
      <c r="AJ66" t="str">
        <f t="shared" ref="AJ66:AJ129" si="5">IF(AG66&lt;=2,"0-2",
IF(AG66&lt;=5,"3-5","6+"))</f>
        <v>6+</v>
      </c>
    </row>
    <row r="67" spans="1:36" x14ac:dyDescent="0.35">
      <c r="A67">
        <v>66</v>
      </c>
      <c r="B67">
        <v>55</v>
      </c>
      <c r="C67" t="str">
        <f t="shared" ref="C67:C130" si="6">IF(B67&lt;=25,"18-25",
IF(B67&lt;=35,"26-35",
IF(B67&lt;=45,"36-45",
IF(B67&lt;=55,"46-55","55+"))))</f>
        <v>46-55</v>
      </c>
      <c r="D67" t="s">
        <v>38</v>
      </c>
      <c r="E67" t="s">
        <v>32</v>
      </c>
      <c r="F67" s="3">
        <v>1389</v>
      </c>
      <c r="G67" t="s">
        <v>40</v>
      </c>
      <c r="H67" s="1">
        <v>8</v>
      </c>
      <c r="I67" t="s">
        <v>61</v>
      </c>
      <c r="J67" t="s">
        <v>46</v>
      </c>
      <c r="K67" t="s">
        <v>62</v>
      </c>
      <c r="L67" t="s">
        <v>35</v>
      </c>
      <c r="M67" s="3">
        <v>33</v>
      </c>
      <c r="N67" t="s">
        <v>60</v>
      </c>
      <c r="O67" t="s">
        <v>62</v>
      </c>
      <c r="P67" t="s">
        <v>51</v>
      </c>
      <c r="Q67" t="s">
        <v>60</v>
      </c>
      <c r="R67" t="s">
        <v>47</v>
      </c>
      <c r="S67" s="3">
        <v>14756</v>
      </c>
      <c r="T67" s="3">
        <v>19730</v>
      </c>
      <c r="U67" s="3" t="str">
        <f t="shared" ref="U67:U130" si="7">_xlfn.IFS(S67&lt;5000,"Low",S67&lt;10000,"Medium",S67&gt;10000,"High")</f>
        <v>High</v>
      </c>
      <c r="V67">
        <v>2</v>
      </c>
      <c r="W67" t="s">
        <v>31</v>
      </c>
      <c r="X67" s="2">
        <v>14</v>
      </c>
      <c r="Y67" t="s">
        <v>60</v>
      </c>
      <c r="Z67" t="s">
        <v>60</v>
      </c>
      <c r="AA67">
        <v>3</v>
      </c>
      <c r="AB67">
        <v>21</v>
      </c>
      <c r="AC67">
        <v>2</v>
      </c>
      <c r="AD67">
        <v>3</v>
      </c>
      <c r="AE67">
        <v>5</v>
      </c>
      <c r="AF67">
        <v>0</v>
      </c>
      <c r="AG67">
        <v>0</v>
      </c>
      <c r="AH67">
        <v>2</v>
      </c>
      <c r="AI67" t="str">
        <f t="shared" si="4"/>
        <v>3-5 Years</v>
      </c>
      <c r="AJ67" t="str">
        <f t="shared" si="5"/>
        <v>0-2</v>
      </c>
    </row>
    <row r="68" spans="1:36" x14ac:dyDescent="0.35">
      <c r="A68">
        <v>67</v>
      </c>
      <c r="B68">
        <v>36</v>
      </c>
      <c r="C68" t="str">
        <f t="shared" si="6"/>
        <v>36-45</v>
      </c>
      <c r="D68" t="s">
        <v>38</v>
      </c>
      <c r="E68" t="s">
        <v>39</v>
      </c>
      <c r="F68" s="3">
        <v>1389</v>
      </c>
      <c r="G68" t="s">
        <v>40</v>
      </c>
      <c r="H68" s="1">
        <v>11</v>
      </c>
      <c r="I68" t="s">
        <v>61</v>
      </c>
      <c r="J68" t="s">
        <v>34</v>
      </c>
      <c r="K68" t="s">
        <v>61</v>
      </c>
      <c r="L68" t="s">
        <v>41</v>
      </c>
      <c r="M68" s="3">
        <v>95</v>
      </c>
      <c r="N68" t="s">
        <v>61</v>
      </c>
      <c r="O68" t="s">
        <v>61</v>
      </c>
      <c r="P68" t="s">
        <v>48</v>
      </c>
      <c r="Q68" t="s">
        <v>61</v>
      </c>
      <c r="R68" t="s">
        <v>37</v>
      </c>
      <c r="S68" s="3">
        <v>6499</v>
      </c>
      <c r="T68" s="3">
        <v>22656</v>
      </c>
      <c r="U68" s="3" t="str">
        <f t="shared" si="7"/>
        <v>Medium</v>
      </c>
      <c r="V68">
        <v>1</v>
      </c>
      <c r="W68" t="s">
        <v>38</v>
      </c>
      <c r="X68" s="2">
        <v>13</v>
      </c>
      <c r="Y68" t="s">
        <v>60</v>
      </c>
      <c r="Z68" t="s">
        <v>60</v>
      </c>
      <c r="AA68">
        <v>0</v>
      </c>
      <c r="AB68">
        <v>6</v>
      </c>
      <c r="AC68">
        <v>3</v>
      </c>
      <c r="AD68">
        <v>3</v>
      </c>
      <c r="AE68">
        <v>6</v>
      </c>
      <c r="AF68">
        <v>5</v>
      </c>
      <c r="AG68">
        <v>0</v>
      </c>
      <c r="AH68">
        <v>3</v>
      </c>
      <c r="AI68" t="str">
        <f t="shared" si="4"/>
        <v>6-10 Years</v>
      </c>
      <c r="AJ68" t="str">
        <f t="shared" si="5"/>
        <v>0-2</v>
      </c>
    </row>
    <row r="69" spans="1:36" x14ac:dyDescent="0.35">
      <c r="A69">
        <v>68</v>
      </c>
      <c r="B69">
        <v>45</v>
      </c>
      <c r="C69" t="str">
        <f t="shared" si="6"/>
        <v>36-45</v>
      </c>
      <c r="D69" t="s">
        <v>38</v>
      </c>
      <c r="E69" t="s">
        <v>32</v>
      </c>
      <c r="F69" s="3">
        <v>1389</v>
      </c>
      <c r="G69" t="s">
        <v>40</v>
      </c>
      <c r="H69" s="1">
        <v>7</v>
      </c>
      <c r="I69" t="s">
        <v>61</v>
      </c>
      <c r="J69" t="s">
        <v>34</v>
      </c>
      <c r="K69" t="s">
        <v>61</v>
      </c>
      <c r="L69" t="s">
        <v>41</v>
      </c>
      <c r="M69" s="3">
        <v>59</v>
      </c>
      <c r="N69" t="s">
        <v>60</v>
      </c>
      <c r="O69" t="s">
        <v>60</v>
      </c>
      <c r="P69" t="s">
        <v>42</v>
      </c>
      <c r="Q69" t="s">
        <v>59</v>
      </c>
      <c r="R69" t="s">
        <v>47</v>
      </c>
      <c r="S69" s="3">
        <v>9724</v>
      </c>
      <c r="T69" s="3">
        <v>18787</v>
      </c>
      <c r="U69" s="3" t="str">
        <f t="shared" si="7"/>
        <v>Medium</v>
      </c>
      <c r="V69">
        <v>2</v>
      </c>
      <c r="W69" t="s">
        <v>38</v>
      </c>
      <c r="X69" s="2">
        <v>17</v>
      </c>
      <c r="Y69" t="s">
        <v>60</v>
      </c>
      <c r="Z69" t="s">
        <v>60</v>
      </c>
      <c r="AA69">
        <v>1</v>
      </c>
      <c r="AB69">
        <v>25</v>
      </c>
      <c r="AC69">
        <v>2</v>
      </c>
      <c r="AD69">
        <v>3</v>
      </c>
      <c r="AE69">
        <v>1</v>
      </c>
      <c r="AF69">
        <v>0</v>
      </c>
      <c r="AG69">
        <v>0</v>
      </c>
      <c r="AH69">
        <v>0</v>
      </c>
      <c r="AI69" t="str">
        <f t="shared" si="4"/>
        <v>0-2 Years</v>
      </c>
      <c r="AJ69" t="str">
        <f t="shared" si="5"/>
        <v>0-2</v>
      </c>
    </row>
    <row r="70" spans="1:36" x14ac:dyDescent="0.35">
      <c r="A70">
        <v>69</v>
      </c>
      <c r="B70">
        <v>35</v>
      </c>
      <c r="C70" t="str">
        <f t="shared" si="6"/>
        <v>26-35</v>
      </c>
      <c r="D70" t="s">
        <v>38</v>
      </c>
      <c r="E70" t="s">
        <v>39</v>
      </c>
      <c r="F70" s="3">
        <v>1389</v>
      </c>
      <c r="G70" t="s">
        <v>40</v>
      </c>
      <c r="H70" s="1">
        <v>1</v>
      </c>
      <c r="I70" t="s">
        <v>61</v>
      </c>
      <c r="J70" t="s">
        <v>46</v>
      </c>
      <c r="K70" t="s">
        <v>61</v>
      </c>
      <c r="L70" t="s">
        <v>41</v>
      </c>
      <c r="M70" s="3">
        <v>79</v>
      </c>
      <c r="N70" t="s">
        <v>60</v>
      </c>
      <c r="O70" t="s">
        <v>59</v>
      </c>
      <c r="P70" t="s">
        <v>42</v>
      </c>
      <c r="Q70" t="s">
        <v>59</v>
      </c>
      <c r="R70" t="s">
        <v>43</v>
      </c>
      <c r="S70" s="3">
        <v>2194</v>
      </c>
      <c r="T70" s="3">
        <v>5868</v>
      </c>
      <c r="U70" s="3" t="str">
        <f t="shared" si="7"/>
        <v>Low</v>
      </c>
      <c r="V70">
        <v>4</v>
      </c>
      <c r="W70" t="s">
        <v>38</v>
      </c>
      <c r="X70" s="2">
        <v>13</v>
      </c>
      <c r="Y70" t="s">
        <v>60</v>
      </c>
      <c r="Z70" t="s">
        <v>62</v>
      </c>
      <c r="AA70">
        <v>1</v>
      </c>
      <c r="AB70">
        <v>5</v>
      </c>
      <c r="AC70">
        <v>2</v>
      </c>
      <c r="AD70">
        <v>2</v>
      </c>
      <c r="AE70">
        <v>3</v>
      </c>
      <c r="AF70">
        <v>2</v>
      </c>
      <c r="AG70">
        <v>1</v>
      </c>
      <c r="AH70">
        <v>2</v>
      </c>
      <c r="AI70" t="str">
        <f t="shared" si="4"/>
        <v>3-5 Years</v>
      </c>
      <c r="AJ70" t="str">
        <f t="shared" si="5"/>
        <v>0-2</v>
      </c>
    </row>
    <row r="71" spans="1:36" x14ac:dyDescent="0.35">
      <c r="A71">
        <v>70</v>
      </c>
      <c r="B71">
        <v>36</v>
      </c>
      <c r="C71" t="str">
        <f t="shared" si="6"/>
        <v>36-45</v>
      </c>
      <c r="D71" t="s">
        <v>31</v>
      </c>
      <c r="E71" t="s">
        <v>32</v>
      </c>
      <c r="F71" s="3">
        <v>1389</v>
      </c>
      <c r="G71" t="s">
        <v>40</v>
      </c>
      <c r="H71" s="1">
        <v>9</v>
      </c>
      <c r="I71" t="s">
        <v>61</v>
      </c>
      <c r="J71" t="s">
        <v>46</v>
      </c>
      <c r="K71" t="s">
        <v>62</v>
      </c>
      <c r="L71" t="s">
        <v>41</v>
      </c>
      <c r="M71" s="3">
        <v>79</v>
      </c>
      <c r="N71" t="s">
        <v>61</v>
      </c>
      <c r="O71" t="s">
        <v>59</v>
      </c>
      <c r="P71" t="s">
        <v>42</v>
      </c>
      <c r="Q71" t="s">
        <v>60</v>
      </c>
      <c r="R71" t="s">
        <v>43</v>
      </c>
      <c r="S71" s="3">
        <v>3388</v>
      </c>
      <c r="T71" s="3">
        <v>21777</v>
      </c>
      <c r="U71" s="3" t="str">
        <f t="shared" si="7"/>
        <v>Low</v>
      </c>
      <c r="V71">
        <v>0</v>
      </c>
      <c r="W71" t="s">
        <v>31</v>
      </c>
      <c r="X71" s="2">
        <v>17</v>
      </c>
      <c r="Y71" t="s">
        <v>60</v>
      </c>
      <c r="Z71" t="s">
        <v>59</v>
      </c>
      <c r="AA71">
        <v>1</v>
      </c>
      <c r="AB71">
        <v>2</v>
      </c>
      <c r="AC71">
        <v>0</v>
      </c>
      <c r="AD71">
        <v>2</v>
      </c>
      <c r="AE71">
        <v>1</v>
      </c>
      <c r="AF71">
        <v>0</v>
      </c>
      <c r="AG71">
        <v>0</v>
      </c>
      <c r="AH71">
        <v>0</v>
      </c>
      <c r="AI71" t="str">
        <f t="shared" si="4"/>
        <v>0-2 Years</v>
      </c>
      <c r="AJ71" t="str">
        <f t="shared" si="5"/>
        <v>0-2</v>
      </c>
    </row>
    <row r="72" spans="1:36" x14ac:dyDescent="0.35">
      <c r="A72">
        <v>71</v>
      </c>
      <c r="B72">
        <v>59</v>
      </c>
      <c r="C72" t="str">
        <f t="shared" si="6"/>
        <v>55+</v>
      </c>
      <c r="D72" t="s">
        <v>38</v>
      </c>
      <c r="E72" t="s">
        <v>39</v>
      </c>
      <c r="F72" s="3">
        <v>1389</v>
      </c>
      <c r="G72" t="s">
        <v>33</v>
      </c>
      <c r="H72" s="1">
        <v>1</v>
      </c>
      <c r="I72" t="s">
        <v>59</v>
      </c>
      <c r="J72" t="s">
        <v>34</v>
      </c>
      <c r="K72" t="s">
        <v>59</v>
      </c>
      <c r="L72" t="s">
        <v>35</v>
      </c>
      <c r="M72" s="3">
        <v>57</v>
      </c>
      <c r="N72" t="s">
        <v>61</v>
      </c>
      <c r="O72" t="s">
        <v>61</v>
      </c>
      <c r="P72" t="s">
        <v>36</v>
      </c>
      <c r="Q72" t="s">
        <v>60</v>
      </c>
      <c r="R72" t="s">
        <v>37</v>
      </c>
      <c r="S72" s="3">
        <v>5473</v>
      </c>
      <c r="T72" s="3">
        <v>24668</v>
      </c>
      <c r="U72" s="3" t="str">
        <f t="shared" si="7"/>
        <v>Medium</v>
      </c>
      <c r="V72">
        <v>7</v>
      </c>
      <c r="W72" t="s">
        <v>38</v>
      </c>
      <c r="X72" s="2">
        <v>11</v>
      </c>
      <c r="Y72" t="s">
        <v>60</v>
      </c>
      <c r="Z72" t="s">
        <v>62</v>
      </c>
      <c r="AA72">
        <v>0</v>
      </c>
      <c r="AB72">
        <v>20</v>
      </c>
      <c r="AC72">
        <v>2</v>
      </c>
      <c r="AD72">
        <v>2</v>
      </c>
      <c r="AE72">
        <v>4</v>
      </c>
      <c r="AF72">
        <v>3</v>
      </c>
      <c r="AG72">
        <v>1</v>
      </c>
      <c r="AH72">
        <v>3</v>
      </c>
      <c r="AI72" t="str">
        <f t="shared" si="4"/>
        <v>3-5 Years</v>
      </c>
      <c r="AJ72" t="str">
        <f t="shared" si="5"/>
        <v>0-2</v>
      </c>
    </row>
    <row r="73" spans="1:36" x14ac:dyDescent="0.35">
      <c r="A73">
        <v>72</v>
      </c>
      <c r="B73">
        <v>29</v>
      </c>
      <c r="C73" t="str">
        <f t="shared" si="6"/>
        <v>26-35</v>
      </c>
      <c r="D73" t="s">
        <v>38</v>
      </c>
      <c r="E73" t="s">
        <v>32</v>
      </c>
      <c r="F73" s="3">
        <v>1389</v>
      </c>
      <c r="G73" t="s">
        <v>40</v>
      </c>
      <c r="H73" s="1">
        <v>2</v>
      </c>
      <c r="I73" t="s">
        <v>61</v>
      </c>
      <c r="J73" t="s">
        <v>34</v>
      </c>
      <c r="K73" t="s">
        <v>60</v>
      </c>
      <c r="L73" t="s">
        <v>41</v>
      </c>
      <c r="M73" s="3">
        <v>76</v>
      </c>
      <c r="N73" t="s">
        <v>60</v>
      </c>
      <c r="O73" t="s">
        <v>59</v>
      </c>
      <c r="P73" t="s">
        <v>42</v>
      </c>
      <c r="Q73" t="s">
        <v>61</v>
      </c>
      <c r="R73" t="s">
        <v>43</v>
      </c>
      <c r="S73" s="3">
        <v>2703</v>
      </c>
      <c r="T73" s="3">
        <v>4956</v>
      </c>
      <c r="U73" s="3" t="str">
        <f t="shared" si="7"/>
        <v>Low</v>
      </c>
      <c r="V73">
        <v>0</v>
      </c>
      <c r="W73" t="s">
        <v>38</v>
      </c>
      <c r="X73" s="2">
        <v>23</v>
      </c>
      <c r="Y73" t="s">
        <v>62</v>
      </c>
      <c r="Z73" t="s">
        <v>62</v>
      </c>
      <c r="AA73">
        <v>1</v>
      </c>
      <c r="AB73">
        <v>6</v>
      </c>
      <c r="AC73">
        <v>3</v>
      </c>
      <c r="AD73">
        <v>3</v>
      </c>
      <c r="AE73">
        <v>5</v>
      </c>
      <c r="AF73">
        <v>4</v>
      </c>
      <c r="AG73">
        <v>0</v>
      </c>
      <c r="AH73">
        <v>4</v>
      </c>
      <c r="AI73" t="str">
        <f t="shared" si="4"/>
        <v>3-5 Years</v>
      </c>
      <c r="AJ73" t="str">
        <f t="shared" si="5"/>
        <v>0-2</v>
      </c>
    </row>
    <row r="74" spans="1:36" x14ac:dyDescent="0.35">
      <c r="A74">
        <v>73</v>
      </c>
      <c r="B74">
        <v>31</v>
      </c>
      <c r="C74" t="str">
        <f t="shared" si="6"/>
        <v>26-35</v>
      </c>
      <c r="D74" t="s">
        <v>38</v>
      </c>
      <c r="E74" t="s">
        <v>32</v>
      </c>
      <c r="F74" s="3">
        <v>1389</v>
      </c>
      <c r="G74" t="s">
        <v>40</v>
      </c>
      <c r="H74" s="1">
        <v>1</v>
      </c>
      <c r="I74" t="s">
        <v>60</v>
      </c>
      <c r="J74" t="s">
        <v>46</v>
      </c>
      <c r="K74" t="s">
        <v>60</v>
      </c>
      <c r="L74" t="s">
        <v>41</v>
      </c>
      <c r="M74" s="3">
        <v>87</v>
      </c>
      <c r="N74" t="s">
        <v>60</v>
      </c>
      <c r="O74" t="s">
        <v>59</v>
      </c>
      <c r="P74" t="s">
        <v>42</v>
      </c>
      <c r="Q74" t="s">
        <v>61</v>
      </c>
      <c r="R74" t="s">
        <v>37</v>
      </c>
      <c r="S74" s="3">
        <v>2501</v>
      </c>
      <c r="T74" s="3">
        <v>18775</v>
      </c>
      <c r="U74" s="3" t="str">
        <f t="shared" si="7"/>
        <v>Low</v>
      </c>
      <c r="V74">
        <v>1</v>
      </c>
      <c r="W74" t="s">
        <v>38</v>
      </c>
      <c r="X74" s="2">
        <v>17</v>
      </c>
      <c r="Y74" t="s">
        <v>60</v>
      </c>
      <c r="Z74" t="s">
        <v>61</v>
      </c>
      <c r="AA74">
        <v>0</v>
      </c>
      <c r="AB74">
        <v>1</v>
      </c>
      <c r="AC74">
        <v>4</v>
      </c>
      <c r="AD74">
        <v>3</v>
      </c>
      <c r="AE74">
        <v>1</v>
      </c>
      <c r="AF74">
        <v>1</v>
      </c>
      <c r="AG74">
        <v>1</v>
      </c>
      <c r="AH74">
        <v>0</v>
      </c>
      <c r="AI74" t="str">
        <f t="shared" si="4"/>
        <v>0-2 Years</v>
      </c>
      <c r="AJ74" t="str">
        <f t="shared" si="5"/>
        <v>0-2</v>
      </c>
    </row>
    <row r="75" spans="1:36" x14ac:dyDescent="0.35">
      <c r="A75">
        <v>74</v>
      </c>
      <c r="B75">
        <v>32</v>
      </c>
      <c r="C75" t="str">
        <f t="shared" si="6"/>
        <v>26-35</v>
      </c>
      <c r="D75" t="s">
        <v>38</v>
      </c>
      <c r="E75" t="s">
        <v>32</v>
      </c>
      <c r="F75" s="3">
        <v>1389</v>
      </c>
      <c r="G75" t="s">
        <v>40</v>
      </c>
      <c r="H75" s="1">
        <v>1</v>
      </c>
      <c r="I75" t="s">
        <v>61</v>
      </c>
      <c r="J75" t="s">
        <v>34</v>
      </c>
      <c r="K75" t="s">
        <v>61</v>
      </c>
      <c r="L75" t="s">
        <v>41</v>
      </c>
      <c r="M75" s="3">
        <v>66</v>
      </c>
      <c r="N75" t="s">
        <v>60</v>
      </c>
      <c r="O75" t="s">
        <v>61</v>
      </c>
      <c r="P75" t="s">
        <v>42</v>
      </c>
      <c r="Q75" t="s">
        <v>61</v>
      </c>
      <c r="R75" t="s">
        <v>43</v>
      </c>
      <c r="S75" s="3">
        <v>6220</v>
      </c>
      <c r="T75" s="3">
        <v>7346</v>
      </c>
      <c r="U75" s="3" t="str">
        <f t="shared" si="7"/>
        <v>Medium</v>
      </c>
      <c r="V75">
        <v>1</v>
      </c>
      <c r="W75" t="s">
        <v>38</v>
      </c>
      <c r="X75" s="2">
        <v>17</v>
      </c>
      <c r="Y75" t="s">
        <v>60</v>
      </c>
      <c r="Z75" t="s">
        <v>61</v>
      </c>
      <c r="AA75">
        <v>2</v>
      </c>
      <c r="AB75">
        <v>10</v>
      </c>
      <c r="AC75">
        <v>3</v>
      </c>
      <c r="AD75">
        <v>3</v>
      </c>
      <c r="AE75">
        <v>10</v>
      </c>
      <c r="AF75">
        <v>4</v>
      </c>
      <c r="AG75">
        <v>0</v>
      </c>
      <c r="AH75">
        <v>9</v>
      </c>
      <c r="AI75" t="str">
        <f t="shared" si="4"/>
        <v>6-10 Years</v>
      </c>
      <c r="AJ75" t="str">
        <f t="shared" si="5"/>
        <v>0-2</v>
      </c>
    </row>
    <row r="76" spans="1:36" x14ac:dyDescent="0.35">
      <c r="A76">
        <v>75</v>
      </c>
      <c r="B76">
        <v>36</v>
      </c>
      <c r="C76" t="str">
        <f t="shared" si="6"/>
        <v>36-45</v>
      </c>
      <c r="D76" t="s">
        <v>38</v>
      </c>
      <c r="E76" t="s">
        <v>32</v>
      </c>
      <c r="F76" s="3">
        <v>1389</v>
      </c>
      <c r="G76" t="s">
        <v>40</v>
      </c>
      <c r="H76" s="1">
        <v>6</v>
      </c>
      <c r="I76" t="s">
        <v>61</v>
      </c>
      <c r="J76" t="s">
        <v>34</v>
      </c>
      <c r="K76" t="s">
        <v>61</v>
      </c>
      <c r="L76" t="s">
        <v>35</v>
      </c>
      <c r="M76" s="3">
        <v>55</v>
      </c>
      <c r="N76" t="s">
        <v>62</v>
      </c>
      <c r="O76" t="s">
        <v>59</v>
      </c>
      <c r="P76" t="s">
        <v>45</v>
      </c>
      <c r="Q76" t="s">
        <v>62</v>
      </c>
      <c r="R76" t="s">
        <v>43</v>
      </c>
      <c r="S76" s="3">
        <v>3038</v>
      </c>
      <c r="T76" s="3">
        <v>22002</v>
      </c>
      <c r="U76" s="3" t="str">
        <f t="shared" si="7"/>
        <v>Low</v>
      </c>
      <c r="V76">
        <v>3</v>
      </c>
      <c r="W76" t="s">
        <v>38</v>
      </c>
      <c r="X76" s="2">
        <v>12</v>
      </c>
      <c r="Y76" t="s">
        <v>60</v>
      </c>
      <c r="Z76" t="s">
        <v>61</v>
      </c>
      <c r="AA76">
        <v>0</v>
      </c>
      <c r="AB76">
        <v>5</v>
      </c>
      <c r="AC76">
        <v>3</v>
      </c>
      <c r="AD76">
        <v>3</v>
      </c>
      <c r="AE76">
        <v>1</v>
      </c>
      <c r="AF76">
        <v>0</v>
      </c>
      <c r="AG76">
        <v>0</v>
      </c>
      <c r="AH76">
        <v>0</v>
      </c>
      <c r="AI76" t="str">
        <f t="shared" si="4"/>
        <v>0-2 Years</v>
      </c>
      <c r="AJ76" t="str">
        <f t="shared" si="5"/>
        <v>0-2</v>
      </c>
    </row>
    <row r="77" spans="1:36" x14ac:dyDescent="0.35">
      <c r="A77">
        <v>76</v>
      </c>
      <c r="B77">
        <v>31</v>
      </c>
      <c r="C77" t="str">
        <f t="shared" si="6"/>
        <v>26-35</v>
      </c>
      <c r="D77" t="s">
        <v>38</v>
      </c>
      <c r="E77" t="s">
        <v>32</v>
      </c>
      <c r="F77" s="3">
        <v>1389</v>
      </c>
      <c r="G77" t="s">
        <v>40</v>
      </c>
      <c r="H77" s="1">
        <v>8</v>
      </c>
      <c r="I77" t="s">
        <v>60</v>
      </c>
      <c r="J77" t="s">
        <v>34</v>
      </c>
      <c r="K77" t="s">
        <v>60</v>
      </c>
      <c r="L77" t="s">
        <v>35</v>
      </c>
      <c r="M77" s="3">
        <v>61</v>
      </c>
      <c r="N77" t="s">
        <v>60</v>
      </c>
      <c r="O77" t="s">
        <v>61</v>
      </c>
      <c r="P77" t="s">
        <v>48</v>
      </c>
      <c r="Q77" t="s">
        <v>62</v>
      </c>
      <c r="R77" t="s">
        <v>37</v>
      </c>
      <c r="S77" s="3">
        <v>4424</v>
      </c>
      <c r="T77" s="3">
        <v>20682</v>
      </c>
      <c r="U77" s="3" t="str">
        <f t="shared" si="7"/>
        <v>Low</v>
      </c>
      <c r="V77">
        <v>1</v>
      </c>
      <c r="W77" t="s">
        <v>38</v>
      </c>
      <c r="X77" s="2">
        <v>23</v>
      </c>
      <c r="Y77" t="s">
        <v>62</v>
      </c>
      <c r="Z77" t="s">
        <v>62</v>
      </c>
      <c r="AA77">
        <v>0</v>
      </c>
      <c r="AB77">
        <v>11</v>
      </c>
      <c r="AC77">
        <v>2</v>
      </c>
      <c r="AD77">
        <v>3</v>
      </c>
      <c r="AE77">
        <v>11</v>
      </c>
      <c r="AF77">
        <v>7</v>
      </c>
      <c r="AG77">
        <v>1</v>
      </c>
      <c r="AH77">
        <v>8</v>
      </c>
      <c r="AI77" t="str">
        <f t="shared" si="4"/>
        <v>10+ Years</v>
      </c>
      <c r="AJ77" t="str">
        <f t="shared" si="5"/>
        <v>0-2</v>
      </c>
    </row>
    <row r="78" spans="1:36" x14ac:dyDescent="0.35">
      <c r="A78">
        <v>77</v>
      </c>
      <c r="B78">
        <v>35</v>
      </c>
      <c r="C78" t="str">
        <f t="shared" si="6"/>
        <v>26-35</v>
      </c>
      <c r="D78" t="s">
        <v>38</v>
      </c>
      <c r="E78" t="s">
        <v>32</v>
      </c>
      <c r="F78" s="3">
        <v>1389</v>
      </c>
      <c r="G78" t="s">
        <v>33</v>
      </c>
      <c r="H78" s="1">
        <v>1</v>
      </c>
      <c r="I78" t="s">
        <v>60</v>
      </c>
      <c r="J78" t="s">
        <v>54</v>
      </c>
      <c r="K78" t="s">
        <v>60</v>
      </c>
      <c r="L78" t="s">
        <v>41</v>
      </c>
      <c r="M78" s="3">
        <v>32</v>
      </c>
      <c r="N78" t="s">
        <v>61</v>
      </c>
      <c r="O78" t="s">
        <v>61</v>
      </c>
      <c r="P78" t="s">
        <v>36</v>
      </c>
      <c r="Q78" t="s">
        <v>59</v>
      </c>
      <c r="R78" t="s">
        <v>37</v>
      </c>
      <c r="S78" s="3">
        <v>4312</v>
      </c>
      <c r="T78" s="3">
        <v>23016</v>
      </c>
      <c r="U78" s="3" t="str">
        <f t="shared" si="7"/>
        <v>Low</v>
      </c>
      <c r="V78">
        <v>0</v>
      </c>
      <c r="W78" t="s">
        <v>38</v>
      </c>
      <c r="X78" s="2">
        <v>14</v>
      </c>
      <c r="Y78" t="s">
        <v>60</v>
      </c>
      <c r="Z78" t="s">
        <v>61</v>
      </c>
      <c r="AA78">
        <v>0</v>
      </c>
      <c r="AB78">
        <v>16</v>
      </c>
      <c r="AC78">
        <v>2</v>
      </c>
      <c r="AD78">
        <v>3</v>
      </c>
      <c r="AE78">
        <v>15</v>
      </c>
      <c r="AF78">
        <v>13</v>
      </c>
      <c r="AG78">
        <v>2</v>
      </c>
      <c r="AH78">
        <v>8</v>
      </c>
      <c r="AI78" t="str">
        <f t="shared" si="4"/>
        <v>10+ Years</v>
      </c>
      <c r="AJ78" t="str">
        <f t="shared" si="5"/>
        <v>0-2</v>
      </c>
    </row>
    <row r="79" spans="1:36" x14ac:dyDescent="0.35">
      <c r="A79">
        <v>78</v>
      </c>
      <c r="B79">
        <v>45</v>
      </c>
      <c r="C79" t="str">
        <f t="shared" si="6"/>
        <v>36-45</v>
      </c>
      <c r="D79" t="s">
        <v>38</v>
      </c>
      <c r="E79" t="s">
        <v>32</v>
      </c>
      <c r="F79" s="3">
        <v>1389</v>
      </c>
      <c r="G79" t="s">
        <v>40</v>
      </c>
      <c r="H79" s="1">
        <v>6</v>
      </c>
      <c r="I79" t="s">
        <v>60</v>
      </c>
      <c r="J79" t="s">
        <v>44</v>
      </c>
      <c r="K79" t="s">
        <v>62</v>
      </c>
      <c r="L79" t="s">
        <v>41</v>
      </c>
      <c r="M79" s="3">
        <v>52</v>
      </c>
      <c r="N79" t="s">
        <v>60</v>
      </c>
      <c r="O79" t="s">
        <v>60</v>
      </c>
      <c r="P79" t="s">
        <v>53</v>
      </c>
      <c r="Q79" t="s">
        <v>59</v>
      </c>
      <c r="R79" t="s">
        <v>43</v>
      </c>
      <c r="S79" s="3">
        <v>13245</v>
      </c>
      <c r="T79" s="3">
        <v>15067</v>
      </c>
      <c r="U79" s="3" t="str">
        <f t="shared" si="7"/>
        <v>High</v>
      </c>
      <c r="V79">
        <v>4</v>
      </c>
      <c r="W79" t="s">
        <v>31</v>
      </c>
      <c r="X79" s="2">
        <v>14</v>
      </c>
      <c r="Y79" t="s">
        <v>60</v>
      </c>
      <c r="Z79" t="s">
        <v>61</v>
      </c>
      <c r="AA79">
        <v>0</v>
      </c>
      <c r="AB79">
        <v>17</v>
      </c>
      <c r="AC79">
        <v>3</v>
      </c>
      <c r="AD79">
        <v>4</v>
      </c>
      <c r="AE79">
        <v>0</v>
      </c>
      <c r="AF79">
        <v>0</v>
      </c>
      <c r="AG79">
        <v>0</v>
      </c>
      <c r="AH79">
        <v>0</v>
      </c>
      <c r="AI79" t="str">
        <f t="shared" si="4"/>
        <v>0-2 Years</v>
      </c>
      <c r="AJ79" t="str">
        <f t="shared" si="5"/>
        <v>0-2</v>
      </c>
    </row>
    <row r="80" spans="1:36" x14ac:dyDescent="0.35">
      <c r="A80">
        <v>79</v>
      </c>
      <c r="B80">
        <v>37</v>
      </c>
      <c r="C80" t="str">
        <f t="shared" si="6"/>
        <v>36-45</v>
      </c>
      <c r="D80" t="s">
        <v>38</v>
      </c>
      <c r="E80" t="s">
        <v>32</v>
      </c>
      <c r="F80" s="3">
        <v>1389</v>
      </c>
      <c r="G80" t="s">
        <v>40</v>
      </c>
      <c r="H80" s="1">
        <v>7</v>
      </c>
      <c r="I80" t="s">
        <v>60</v>
      </c>
      <c r="J80" t="s">
        <v>46</v>
      </c>
      <c r="K80" t="s">
        <v>59</v>
      </c>
      <c r="L80" t="s">
        <v>41</v>
      </c>
      <c r="M80" s="3">
        <v>30</v>
      </c>
      <c r="N80" t="s">
        <v>60</v>
      </c>
      <c r="O80" t="s">
        <v>60</v>
      </c>
      <c r="P80" t="s">
        <v>53</v>
      </c>
      <c r="Q80" t="s">
        <v>60</v>
      </c>
      <c r="R80" t="s">
        <v>37</v>
      </c>
      <c r="S80" s="3">
        <v>13664</v>
      </c>
      <c r="T80" s="3">
        <v>25258</v>
      </c>
      <c r="U80" s="3" t="str">
        <f t="shared" si="7"/>
        <v>High</v>
      </c>
      <c r="V80">
        <v>4</v>
      </c>
      <c r="W80" t="s">
        <v>38</v>
      </c>
      <c r="X80" s="2">
        <v>13</v>
      </c>
      <c r="Y80" t="s">
        <v>60</v>
      </c>
      <c r="Z80" t="s">
        <v>59</v>
      </c>
      <c r="AA80">
        <v>0</v>
      </c>
      <c r="AB80">
        <v>16</v>
      </c>
      <c r="AC80">
        <v>3</v>
      </c>
      <c r="AD80">
        <v>4</v>
      </c>
      <c r="AE80">
        <v>5</v>
      </c>
      <c r="AF80">
        <v>2</v>
      </c>
      <c r="AG80">
        <v>0</v>
      </c>
      <c r="AH80">
        <v>2</v>
      </c>
      <c r="AI80" t="str">
        <f t="shared" si="4"/>
        <v>3-5 Years</v>
      </c>
      <c r="AJ80" t="str">
        <f t="shared" si="5"/>
        <v>0-2</v>
      </c>
    </row>
    <row r="81" spans="1:36" x14ac:dyDescent="0.35">
      <c r="A81">
        <v>80</v>
      </c>
      <c r="B81">
        <v>46</v>
      </c>
      <c r="C81" t="str">
        <f t="shared" si="6"/>
        <v>46-55</v>
      </c>
      <c r="D81" t="s">
        <v>38</v>
      </c>
      <c r="E81" t="s">
        <v>32</v>
      </c>
      <c r="F81" s="3">
        <v>1389</v>
      </c>
      <c r="G81" t="s">
        <v>56</v>
      </c>
      <c r="H81" s="1">
        <v>5</v>
      </c>
      <c r="I81" t="s">
        <v>58</v>
      </c>
      <c r="J81" t="s">
        <v>46</v>
      </c>
      <c r="K81" t="s">
        <v>61</v>
      </c>
      <c r="L81" t="s">
        <v>41</v>
      </c>
      <c r="M81" s="3">
        <v>80</v>
      </c>
      <c r="N81" t="s">
        <v>60</v>
      </c>
      <c r="O81" t="s">
        <v>61</v>
      </c>
      <c r="P81" t="s">
        <v>56</v>
      </c>
      <c r="Q81" t="s">
        <v>61</v>
      </c>
      <c r="R81" t="s">
        <v>47</v>
      </c>
      <c r="S81" s="3">
        <v>5021</v>
      </c>
      <c r="T81" s="3">
        <v>10425</v>
      </c>
      <c r="U81" s="3" t="str">
        <f t="shared" si="7"/>
        <v>Medium</v>
      </c>
      <c r="V81">
        <v>8</v>
      </c>
      <c r="W81" t="s">
        <v>31</v>
      </c>
      <c r="X81" s="2">
        <v>22</v>
      </c>
      <c r="Y81" t="s">
        <v>62</v>
      </c>
      <c r="Z81" t="s">
        <v>62</v>
      </c>
      <c r="AA81">
        <v>1</v>
      </c>
      <c r="AB81">
        <v>16</v>
      </c>
      <c r="AC81">
        <v>2</v>
      </c>
      <c r="AD81">
        <v>3</v>
      </c>
      <c r="AE81">
        <v>4</v>
      </c>
      <c r="AF81">
        <v>2</v>
      </c>
      <c r="AG81">
        <v>0</v>
      </c>
      <c r="AH81">
        <v>2</v>
      </c>
      <c r="AI81" t="str">
        <f t="shared" si="4"/>
        <v>3-5 Years</v>
      </c>
      <c r="AJ81" t="str">
        <f t="shared" si="5"/>
        <v>0-2</v>
      </c>
    </row>
    <row r="82" spans="1:36" x14ac:dyDescent="0.35">
      <c r="A82">
        <v>81</v>
      </c>
      <c r="B82">
        <v>30</v>
      </c>
      <c r="C82" t="str">
        <f t="shared" si="6"/>
        <v>26-35</v>
      </c>
      <c r="D82" t="s">
        <v>38</v>
      </c>
      <c r="E82" t="s">
        <v>32</v>
      </c>
      <c r="F82" s="3">
        <v>1389</v>
      </c>
      <c r="G82" t="s">
        <v>40</v>
      </c>
      <c r="H82" s="1">
        <v>1</v>
      </c>
      <c r="I82" t="s">
        <v>59</v>
      </c>
      <c r="J82" t="s">
        <v>34</v>
      </c>
      <c r="K82" t="s">
        <v>62</v>
      </c>
      <c r="L82" t="s">
        <v>41</v>
      </c>
      <c r="M82" s="3">
        <v>55</v>
      </c>
      <c r="N82" t="s">
        <v>61</v>
      </c>
      <c r="O82" t="s">
        <v>61</v>
      </c>
      <c r="P82" t="s">
        <v>45</v>
      </c>
      <c r="Q82" t="s">
        <v>62</v>
      </c>
      <c r="R82" t="s">
        <v>43</v>
      </c>
      <c r="S82" s="3">
        <v>5126</v>
      </c>
      <c r="T82" s="3">
        <v>15998</v>
      </c>
      <c r="U82" s="3" t="str">
        <f t="shared" si="7"/>
        <v>Medium</v>
      </c>
      <c r="V82">
        <v>1</v>
      </c>
      <c r="W82" t="s">
        <v>31</v>
      </c>
      <c r="X82" s="2">
        <v>12</v>
      </c>
      <c r="Y82" t="s">
        <v>60</v>
      </c>
      <c r="Z82" t="s">
        <v>60</v>
      </c>
      <c r="AA82">
        <v>2</v>
      </c>
      <c r="AB82">
        <v>10</v>
      </c>
      <c r="AC82">
        <v>1</v>
      </c>
      <c r="AD82">
        <v>2</v>
      </c>
      <c r="AE82">
        <v>10</v>
      </c>
      <c r="AF82">
        <v>8</v>
      </c>
      <c r="AG82">
        <v>3</v>
      </c>
      <c r="AH82">
        <v>0</v>
      </c>
      <c r="AI82" t="str">
        <f t="shared" si="4"/>
        <v>6-10 Years</v>
      </c>
      <c r="AJ82" t="str">
        <f t="shared" si="5"/>
        <v>3-5</v>
      </c>
    </row>
    <row r="83" spans="1:36" x14ac:dyDescent="0.35">
      <c r="A83">
        <v>82</v>
      </c>
      <c r="B83">
        <v>35</v>
      </c>
      <c r="C83" t="str">
        <f t="shared" si="6"/>
        <v>26-35</v>
      </c>
      <c r="D83" t="s">
        <v>38</v>
      </c>
      <c r="E83" t="s">
        <v>32</v>
      </c>
      <c r="F83" s="3">
        <v>1389</v>
      </c>
      <c r="G83" t="s">
        <v>40</v>
      </c>
      <c r="H83" s="1">
        <v>1</v>
      </c>
      <c r="I83" t="s">
        <v>61</v>
      </c>
      <c r="J83" t="s">
        <v>46</v>
      </c>
      <c r="K83" t="s">
        <v>61</v>
      </c>
      <c r="L83" t="s">
        <v>41</v>
      </c>
      <c r="M83" s="3">
        <v>30</v>
      </c>
      <c r="N83" t="s">
        <v>61</v>
      </c>
      <c r="O83" t="s">
        <v>59</v>
      </c>
      <c r="P83" t="s">
        <v>42</v>
      </c>
      <c r="Q83" t="s">
        <v>60</v>
      </c>
      <c r="R83" t="s">
        <v>37</v>
      </c>
      <c r="S83" s="3">
        <v>2859</v>
      </c>
      <c r="T83" s="3">
        <v>26278</v>
      </c>
      <c r="U83" s="3" t="str">
        <f t="shared" si="7"/>
        <v>Low</v>
      </c>
      <c r="V83">
        <v>1</v>
      </c>
      <c r="W83" t="s">
        <v>38</v>
      </c>
      <c r="X83" s="2">
        <v>18</v>
      </c>
      <c r="Y83" t="s">
        <v>60</v>
      </c>
      <c r="Z83" t="s">
        <v>59</v>
      </c>
      <c r="AA83">
        <v>0</v>
      </c>
      <c r="AB83">
        <v>6</v>
      </c>
      <c r="AC83">
        <v>3</v>
      </c>
      <c r="AD83">
        <v>3</v>
      </c>
      <c r="AE83">
        <v>6</v>
      </c>
      <c r="AF83">
        <v>4</v>
      </c>
      <c r="AG83">
        <v>0</v>
      </c>
      <c r="AH83">
        <v>4</v>
      </c>
      <c r="AI83" t="str">
        <f t="shared" si="4"/>
        <v>6-10 Years</v>
      </c>
      <c r="AJ83" t="str">
        <f t="shared" si="5"/>
        <v>0-2</v>
      </c>
    </row>
    <row r="84" spans="1:36" x14ac:dyDescent="0.35">
      <c r="A84">
        <v>83</v>
      </c>
      <c r="B84">
        <v>55</v>
      </c>
      <c r="C84" t="str">
        <f t="shared" si="6"/>
        <v>46-55</v>
      </c>
      <c r="D84" t="s">
        <v>38</v>
      </c>
      <c r="E84" t="s">
        <v>32</v>
      </c>
      <c r="F84" s="3">
        <v>1389</v>
      </c>
      <c r="G84" t="s">
        <v>33</v>
      </c>
      <c r="H84" s="1">
        <v>1</v>
      </c>
      <c r="I84" t="s">
        <v>58</v>
      </c>
      <c r="J84" t="s">
        <v>34</v>
      </c>
      <c r="K84" t="s">
        <v>59</v>
      </c>
      <c r="L84" t="s">
        <v>41</v>
      </c>
      <c r="M84" s="3">
        <v>70</v>
      </c>
      <c r="N84" t="s">
        <v>60</v>
      </c>
      <c r="O84" t="s">
        <v>60</v>
      </c>
      <c r="P84" t="s">
        <v>36</v>
      </c>
      <c r="Q84" t="s">
        <v>62</v>
      </c>
      <c r="R84" t="s">
        <v>43</v>
      </c>
      <c r="S84" s="3">
        <v>10239</v>
      </c>
      <c r="T84" s="3">
        <v>18092</v>
      </c>
      <c r="U84" s="3" t="str">
        <f t="shared" si="7"/>
        <v>High</v>
      </c>
      <c r="V84">
        <v>3</v>
      </c>
      <c r="W84" t="s">
        <v>38</v>
      </c>
      <c r="X84" s="2">
        <v>14</v>
      </c>
      <c r="Y84" t="s">
        <v>60</v>
      </c>
      <c r="Z84" t="s">
        <v>62</v>
      </c>
      <c r="AA84">
        <v>1</v>
      </c>
      <c r="AB84">
        <v>24</v>
      </c>
      <c r="AC84">
        <v>4</v>
      </c>
      <c r="AD84">
        <v>3</v>
      </c>
      <c r="AE84">
        <v>1</v>
      </c>
      <c r="AF84">
        <v>0</v>
      </c>
      <c r="AG84">
        <v>1</v>
      </c>
      <c r="AH84">
        <v>0</v>
      </c>
      <c r="AI84" t="str">
        <f t="shared" si="4"/>
        <v>0-2 Years</v>
      </c>
      <c r="AJ84" t="str">
        <f t="shared" si="5"/>
        <v>0-2</v>
      </c>
    </row>
    <row r="85" spans="1:36" x14ac:dyDescent="0.35">
      <c r="A85">
        <v>84</v>
      </c>
      <c r="B85">
        <v>38</v>
      </c>
      <c r="C85" t="str">
        <f t="shared" si="6"/>
        <v>36-45</v>
      </c>
      <c r="D85" t="s">
        <v>38</v>
      </c>
      <c r="E85" t="s">
        <v>50</v>
      </c>
      <c r="F85" s="3">
        <v>1389</v>
      </c>
      <c r="G85" t="s">
        <v>40</v>
      </c>
      <c r="H85" s="1">
        <v>6</v>
      </c>
      <c r="I85" t="s">
        <v>61</v>
      </c>
      <c r="J85" t="s">
        <v>46</v>
      </c>
      <c r="K85" t="s">
        <v>61</v>
      </c>
      <c r="L85" t="s">
        <v>35</v>
      </c>
      <c r="M85" s="3">
        <v>79</v>
      </c>
      <c r="N85" t="s">
        <v>59</v>
      </c>
      <c r="O85" t="s">
        <v>61</v>
      </c>
      <c r="P85" t="s">
        <v>42</v>
      </c>
      <c r="Q85" t="s">
        <v>62</v>
      </c>
      <c r="R85" t="s">
        <v>47</v>
      </c>
      <c r="S85" s="3">
        <v>5329</v>
      </c>
      <c r="T85" s="3">
        <v>15717</v>
      </c>
      <c r="U85" s="3" t="str">
        <f t="shared" si="7"/>
        <v>Medium</v>
      </c>
      <c r="V85">
        <v>7</v>
      </c>
      <c r="W85" t="s">
        <v>31</v>
      </c>
      <c r="X85" s="2">
        <v>12</v>
      </c>
      <c r="Y85" t="s">
        <v>60</v>
      </c>
      <c r="Z85" t="s">
        <v>62</v>
      </c>
      <c r="AA85">
        <v>3</v>
      </c>
      <c r="AB85">
        <v>17</v>
      </c>
      <c r="AC85">
        <v>3</v>
      </c>
      <c r="AD85">
        <v>3</v>
      </c>
      <c r="AE85">
        <v>13</v>
      </c>
      <c r="AF85">
        <v>11</v>
      </c>
      <c r="AG85">
        <v>1</v>
      </c>
      <c r="AH85">
        <v>9</v>
      </c>
      <c r="AI85" t="str">
        <f t="shared" si="4"/>
        <v>10+ Years</v>
      </c>
      <c r="AJ85" t="str">
        <f t="shared" si="5"/>
        <v>0-2</v>
      </c>
    </row>
    <row r="86" spans="1:36" x14ac:dyDescent="0.35">
      <c r="A86">
        <v>85</v>
      </c>
      <c r="B86">
        <v>34</v>
      </c>
      <c r="C86" t="str">
        <f t="shared" si="6"/>
        <v>26-35</v>
      </c>
      <c r="D86" t="s">
        <v>38</v>
      </c>
      <c r="E86" t="s">
        <v>32</v>
      </c>
      <c r="F86" s="3">
        <v>1389</v>
      </c>
      <c r="G86" t="s">
        <v>40</v>
      </c>
      <c r="H86" s="1">
        <v>1</v>
      </c>
      <c r="I86" t="s">
        <v>58</v>
      </c>
      <c r="J86" t="s">
        <v>46</v>
      </c>
      <c r="K86" t="s">
        <v>59</v>
      </c>
      <c r="L86" t="s">
        <v>41</v>
      </c>
      <c r="M86" s="3">
        <v>94</v>
      </c>
      <c r="N86" t="s">
        <v>60</v>
      </c>
      <c r="O86" t="s">
        <v>61</v>
      </c>
      <c r="P86" t="s">
        <v>48</v>
      </c>
      <c r="Q86" t="s">
        <v>61</v>
      </c>
      <c r="R86" t="s">
        <v>43</v>
      </c>
      <c r="S86" s="3">
        <v>4325</v>
      </c>
      <c r="T86" s="3">
        <v>17736</v>
      </c>
      <c r="U86" s="3" t="str">
        <f t="shared" si="7"/>
        <v>Low</v>
      </c>
      <c r="V86">
        <v>1</v>
      </c>
      <c r="W86" t="s">
        <v>38</v>
      </c>
      <c r="X86" s="2">
        <v>15</v>
      </c>
      <c r="Y86" t="s">
        <v>60</v>
      </c>
      <c r="Z86" t="s">
        <v>60</v>
      </c>
      <c r="AA86">
        <v>0</v>
      </c>
      <c r="AB86">
        <v>5</v>
      </c>
      <c r="AC86">
        <v>2</v>
      </c>
      <c r="AD86">
        <v>3</v>
      </c>
      <c r="AE86">
        <v>5</v>
      </c>
      <c r="AF86">
        <v>2</v>
      </c>
      <c r="AG86">
        <v>1</v>
      </c>
      <c r="AH86">
        <v>3</v>
      </c>
      <c r="AI86" t="str">
        <f t="shared" si="4"/>
        <v>3-5 Years</v>
      </c>
      <c r="AJ86" t="str">
        <f t="shared" si="5"/>
        <v>0-2</v>
      </c>
    </row>
    <row r="87" spans="1:36" x14ac:dyDescent="0.35">
      <c r="A87">
        <v>86</v>
      </c>
      <c r="B87">
        <v>56</v>
      </c>
      <c r="C87" t="str">
        <f t="shared" si="6"/>
        <v>55+</v>
      </c>
      <c r="D87" t="s">
        <v>38</v>
      </c>
      <c r="E87" t="s">
        <v>32</v>
      </c>
      <c r="F87" s="3">
        <v>1389</v>
      </c>
      <c r="G87" t="s">
        <v>40</v>
      </c>
      <c r="H87" s="1">
        <v>7</v>
      </c>
      <c r="I87" t="s">
        <v>61</v>
      </c>
      <c r="J87" t="s">
        <v>34</v>
      </c>
      <c r="K87" t="s">
        <v>62</v>
      </c>
      <c r="L87" t="s">
        <v>41</v>
      </c>
      <c r="M87" s="3">
        <v>49</v>
      </c>
      <c r="N87" t="s">
        <v>59</v>
      </c>
      <c r="O87" t="s">
        <v>60</v>
      </c>
      <c r="P87" t="s">
        <v>48</v>
      </c>
      <c r="Q87" t="s">
        <v>62</v>
      </c>
      <c r="R87" t="s">
        <v>37</v>
      </c>
      <c r="S87" s="3">
        <v>7260</v>
      </c>
      <c r="T87" s="3">
        <v>21698</v>
      </c>
      <c r="U87" s="3" t="str">
        <f t="shared" si="7"/>
        <v>Medium</v>
      </c>
      <c r="V87">
        <v>4</v>
      </c>
      <c r="W87" t="s">
        <v>38</v>
      </c>
      <c r="X87" s="2">
        <v>11</v>
      </c>
      <c r="Y87" t="s">
        <v>60</v>
      </c>
      <c r="Z87" t="s">
        <v>59</v>
      </c>
      <c r="AA87">
        <v>0</v>
      </c>
      <c r="AB87">
        <v>37</v>
      </c>
      <c r="AC87">
        <v>3</v>
      </c>
      <c r="AD87">
        <v>2</v>
      </c>
      <c r="AE87">
        <v>6</v>
      </c>
      <c r="AF87">
        <v>4</v>
      </c>
      <c r="AG87">
        <v>0</v>
      </c>
      <c r="AH87">
        <v>2</v>
      </c>
      <c r="AI87" t="str">
        <f t="shared" si="4"/>
        <v>6-10 Years</v>
      </c>
      <c r="AJ87" t="str">
        <f t="shared" si="5"/>
        <v>0-2</v>
      </c>
    </row>
    <row r="88" spans="1:36" x14ac:dyDescent="0.35">
      <c r="A88">
        <v>87</v>
      </c>
      <c r="B88">
        <v>23</v>
      </c>
      <c r="C88" t="str">
        <f t="shared" si="6"/>
        <v>18-25</v>
      </c>
      <c r="D88" t="s">
        <v>38</v>
      </c>
      <c r="E88" t="s">
        <v>32</v>
      </c>
      <c r="F88" s="3">
        <v>1389</v>
      </c>
      <c r="G88" t="s">
        <v>33</v>
      </c>
      <c r="H88" s="1">
        <v>2</v>
      </c>
      <c r="I88" t="s">
        <v>59</v>
      </c>
      <c r="J88" t="s">
        <v>55</v>
      </c>
      <c r="K88" t="s">
        <v>60</v>
      </c>
      <c r="L88" t="s">
        <v>41</v>
      </c>
      <c r="M88" s="3">
        <v>62</v>
      </c>
      <c r="N88" t="s">
        <v>60</v>
      </c>
      <c r="O88" t="s">
        <v>59</v>
      </c>
      <c r="P88" t="s">
        <v>52</v>
      </c>
      <c r="Q88" t="s">
        <v>59</v>
      </c>
      <c r="R88" t="s">
        <v>47</v>
      </c>
      <c r="S88" s="3">
        <v>2322</v>
      </c>
      <c r="T88" s="3">
        <v>9518</v>
      </c>
      <c r="U88" s="3" t="str">
        <f t="shared" si="7"/>
        <v>Low</v>
      </c>
      <c r="V88">
        <v>3</v>
      </c>
      <c r="W88" t="s">
        <v>38</v>
      </c>
      <c r="X88" s="2">
        <v>13</v>
      </c>
      <c r="Y88" t="s">
        <v>60</v>
      </c>
      <c r="Z88" t="s">
        <v>60</v>
      </c>
      <c r="AA88">
        <v>1</v>
      </c>
      <c r="AB88">
        <v>3</v>
      </c>
      <c r="AC88">
        <v>3</v>
      </c>
      <c r="AD88">
        <v>3</v>
      </c>
      <c r="AE88">
        <v>0</v>
      </c>
      <c r="AF88">
        <v>0</v>
      </c>
      <c r="AG88">
        <v>0</v>
      </c>
      <c r="AH88">
        <v>0</v>
      </c>
      <c r="AI88" t="str">
        <f t="shared" si="4"/>
        <v>0-2 Years</v>
      </c>
      <c r="AJ88" t="str">
        <f t="shared" si="5"/>
        <v>0-2</v>
      </c>
    </row>
    <row r="89" spans="1:36" x14ac:dyDescent="0.35">
      <c r="A89">
        <v>88</v>
      </c>
      <c r="B89">
        <v>51</v>
      </c>
      <c r="C89" t="str">
        <f t="shared" si="6"/>
        <v>46-55</v>
      </c>
      <c r="D89" t="s">
        <v>38</v>
      </c>
      <c r="E89" t="s">
        <v>32</v>
      </c>
      <c r="F89" s="3">
        <v>1389</v>
      </c>
      <c r="G89" t="s">
        <v>40</v>
      </c>
      <c r="H89" s="1">
        <v>9</v>
      </c>
      <c r="I89" t="s">
        <v>60</v>
      </c>
      <c r="J89" t="s">
        <v>34</v>
      </c>
      <c r="K89" t="s">
        <v>62</v>
      </c>
      <c r="L89" t="s">
        <v>41</v>
      </c>
      <c r="M89" s="3">
        <v>96</v>
      </c>
      <c r="N89" t="s">
        <v>60</v>
      </c>
      <c r="O89" t="s">
        <v>59</v>
      </c>
      <c r="P89" t="s">
        <v>45</v>
      </c>
      <c r="Q89" t="s">
        <v>62</v>
      </c>
      <c r="R89" t="s">
        <v>43</v>
      </c>
      <c r="S89" s="3">
        <v>2075</v>
      </c>
      <c r="T89" s="3">
        <v>18725</v>
      </c>
      <c r="U89" s="3" t="str">
        <f t="shared" si="7"/>
        <v>Low</v>
      </c>
      <c r="V89">
        <v>3</v>
      </c>
      <c r="W89" t="s">
        <v>38</v>
      </c>
      <c r="X89" s="2">
        <v>23</v>
      </c>
      <c r="Y89" t="s">
        <v>62</v>
      </c>
      <c r="Z89" t="s">
        <v>61</v>
      </c>
      <c r="AA89">
        <v>2</v>
      </c>
      <c r="AB89">
        <v>10</v>
      </c>
      <c r="AC89">
        <v>4</v>
      </c>
      <c r="AD89">
        <v>3</v>
      </c>
      <c r="AE89">
        <v>4</v>
      </c>
      <c r="AF89">
        <v>2</v>
      </c>
      <c r="AG89">
        <v>0</v>
      </c>
      <c r="AH89">
        <v>3</v>
      </c>
      <c r="AI89" t="str">
        <f t="shared" si="4"/>
        <v>3-5 Years</v>
      </c>
      <c r="AJ89" t="str">
        <f t="shared" si="5"/>
        <v>0-2</v>
      </c>
    </row>
    <row r="90" spans="1:36" x14ac:dyDescent="0.35">
      <c r="A90">
        <v>89</v>
      </c>
      <c r="B90">
        <v>30</v>
      </c>
      <c r="C90" t="str">
        <f t="shared" si="6"/>
        <v>26-35</v>
      </c>
      <c r="D90" t="s">
        <v>38</v>
      </c>
      <c r="E90" t="s">
        <v>32</v>
      </c>
      <c r="F90" s="3">
        <v>1389</v>
      </c>
      <c r="G90" t="s">
        <v>40</v>
      </c>
      <c r="H90" s="1">
        <v>2</v>
      </c>
      <c r="I90" t="s">
        <v>61</v>
      </c>
      <c r="J90" t="s">
        <v>34</v>
      </c>
      <c r="K90" t="s">
        <v>60</v>
      </c>
      <c r="L90" t="s">
        <v>41</v>
      </c>
      <c r="M90" s="3">
        <v>99</v>
      </c>
      <c r="N90" t="s">
        <v>61</v>
      </c>
      <c r="O90" t="s">
        <v>61</v>
      </c>
      <c r="P90" t="s">
        <v>49</v>
      </c>
      <c r="Q90" t="s">
        <v>62</v>
      </c>
      <c r="R90" t="s">
        <v>43</v>
      </c>
      <c r="S90" s="3">
        <v>4152</v>
      </c>
      <c r="T90" s="3">
        <v>15830</v>
      </c>
      <c r="U90" s="3" t="str">
        <f t="shared" si="7"/>
        <v>Low</v>
      </c>
      <c r="V90">
        <v>1</v>
      </c>
      <c r="W90" t="s">
        <v>38</v>
      </c>
      <c r="X90" s="2">
        <v>19</v>
      </c>
      <c r="Y90" t="s">
        <v>60</v>
      </c>
      <c r="Z90" t="s">
        <v>59</v>
      </c>
      <c r="AA90">
        <v>3</v>
      </c>
      <c r="AB90">
        <v>11</v>
      </c>
      <c r="AC90">
        <v>3</v>
      </c>
      <c r="AD90">
        <v>3</v>
      </c>
      <c r="AE90">
        <v>11</v>
      </c>
      <c r="AF90">
        <v>10</v>
      </c>
      <c r="AG90">
        <v>10</v>
      </c>
      <c r="AH90">
        <v>8</v>
      </c>
      <c r="AI90" t="str">
        <f t="shared" si="4"/>
        <v>10+ Years</v>
      </c>
      <c r="AJ90" t="str">
        <f t="shared" si="5"/>
        <v>6+</v>
      </c>
    </row>
    <row r="91" spans="1:36" x14ac:dyDescent="0.35">
      <c r="A91">
        <v>90</v>
      </c>
      <c r="B91">
        <v>46</v>
      </c>
      <c r="C91" t="str">
        <f t="shared" si="6"/>
        <v>46-55</v>
      </c>
      <c r="D91" t="s">
        <v>31</v>
      </c>
      <c r="E91" t="s">
        <v>32</v>
      </c>
      <c r="F91" s="3">
        <v>1389</v>
      </c>
      <c r="G91" t="s">
        <v>33</v>
      </c>
      <c r="H91" s="1">
        <v>9</v>
      </c>
      <c r="I91" t="s">
        <v>58</v>
      </c>
      <c r="J91" t="s">
        <v>46</v>
      </c>
      <c r="K91" t="s">
        <v>60</v>
      </c>
      <c r="L91" t="s">
        <v>41</v>
      </c>
      <c r="M91" s="3">
        <v>64</v>
      </c>
      <c r="N91" t="s">
        <v>61</v>
      </c>
      <c r="O91" t="s">
        <v>60</v>
      </c>
      <c r="P91" t="s">
        <v>36</v>
      </c>
      <c r="Q91" t="s">
        <v>62</v>
      </c>
      <c r="R91" t="s">
        <v>37</v>
      </c>
      <c r="S91" s="3">
        <v>9619</v>
      </c>
      <c r="T91" s="3">
        <v>13596</v>
      </c>
      <c r="U91" s="3" t="str">
        <f t="shared" si="7"/>
        <v>Medium</v>
      </c>
      <c r="V91">
        <v>1</v>
      </c>
      <c r="W91" t="s">
        <v>38</v>
      </c>
      <c r="X91" s="2">
        <v>16</v>
      </c>
      <c r="Y91" t="s">
        <v>60</v>
      </c>
      <c r="Z91" t="s">
        <v>62</v>
      </c>
      <c r="AA91">
        <v>0</v>
      </c>
      <c r="AB91">
        <v>9</v>
      </c>
      <c r="AC91">
        <v>3</v>
      </c>
      <c r="AD91">
        <v>3</v>
      </c>
      <c r="AE91">
        <v>9</v>
      </c>
      <c r="AF91">
        <v>8</v>
      </c>
      <c r="AG91">
        <v>4</v>
      </c>
      <c r="AH91">
        <v>7</v>
      </c>
      <c r="AI91" t="str">
        <f t="shared" si="4"/>
        <v>6-10 Years</v>
      </c>
      <c r="AJ91" t="str">
        <f t="shared" si="5"/>
        <v>3-5</v>
      </c>
    </row>
    <row r="92" spans="1:36" x14ac:dyDescent="0.35">
      <c r="A92">
        <v>91</v>
      </c>
      <c r="B92">
        <v>40</v>
      </c>
      <c r="C92" t="str">
        <f t="shared" si="6"/>
        <v>36-45</v>
      </c>
      <c r="D92" t="s">
        <v>38</v>
      </c>
      <c r="E92" t="s">
        <v>39</v>
      </c>
      <c r="F92" s="3">
        <v>1389</v>
      </c>
      <c r="G92" t="s">
        <v>40</v>
      </c>
      <c r="H92" s="1">
        <v>1</v>
      </c>
      <c r="I92" t="s">
        <v>60</v>
      </c>
      <c r="J92" t="s">
        <v>34</v>
      </c>
      <c r="K92" t="s">
        <v>60</v>
      </c>
      <c r="L92" t="s">
        <v>41</v>
      </c>
      <c r="M92" s="3">
        <v>78</v>
      </c>
      <c r="N92" t="s">
        <v>61</v>
      </c>
      <c r="O92" t="s">
        <v>62</v>
      </c>
      <c r="P92" t="s">
        <v>49</v>
      </c>
      <c r="Q92" t="s">
        <v>61</v>
      </c>
      <c r="R92" t="s">
        <v>43</v>
      </c>
      <c r="S92" s="3">
        <v>13503</v>
      </c>
      <c r="T92" s="3">
        <v>14115</v>
      </c>
      <c r="U92" s="3" t="str">
        <f t="shared" si="7"/>
        <v>High</v>
      </c>
      <c r="V92">
        <v>1</v>
      </c>
      <c r="W92" t="s">
        <v>38</v>
      </c>
      <c r="X92" s="2">
        <v>22</v>
      </c>
      <c r="Y92" t="s">
        <v>62</v>
      </c>
      <c r="Z92" t="s">
        <v>62</v>
      </c>
      <c r="AA92">
        <v>1</v>
      </c>
      <c r="AB92">
        <v>22</v>
      </c>
      <c r="AC92">
        <v>3</v>
      </c>
      <c r="AD92">
        <v>2</v>
      </c>
      <c r="AE92">
        <v>22</v>
      </c>
      <c r="AF92">
        <v>3</v>
      </c>
      <c r="AG92">
        <v>11</v>
      </c>
      <c r="AH92">
        <v>11</v>
      </c>
      <c r="AI92" t="str">
        <f t="shared" si="4"/>
        <v>10+ Years</v>
      </c>
      <c r="AJ92" t="str">
        <f t="shared" si="5"/>
        <v>6+</v>
      </c>
    </row>
    <row r="93" spans="1:36" x14ac:dyDescent="0.35">
      <c r="A93">
        <v>92</v>
      </c>
      <c r="B93">
        <v>51</v>
      </c>
      <c r="C93" t="str">
        <f t="shared" si="6"/>
        <v>46-55</v>
      </c>
      <c r="D93" t="s">
        <v>38</v>
      </c>
      <c r="E93" t="s">
        <v>32</v>
      </c>
      <c r="F93" s="3">
        <v>1389</v>
      </c>
      <c r="G93" t="s">
        <v>33</v>
      </c>
      <c r="H93" s="1">
        <v>21</v>
      </c>
      <c r="I93" t="s">
        <v>60</v>
      </c>
      <c r="J93" t="s">
        <v>54</v>
      </c>
      <c r="K93" t="s">
        <v>60</v>
      </c>
      <c r="L93" t="s">
        <v>41</v>
      </c>
      <c r="M93" s="3">
        <v>71</v>
      </c>
      <c r="N93" t="s">
        <v>60</v>
      </c>
      <c r="O93" t="s">
        <v>61</v>
      </c>
      <c r="P93" t="s">
        <v>36</v>
      </c>
      <c r="Q93" t="s">
        <v>62</v>
      </c>
      <c r="R93" t="s">
        <v>37</v>
      </c>
      <c r="S93" s="3">
        <v>5441</v>
      </c>
      <c r="T93" s="3">
        <v>8423</v>
      </c>
      <c r="U93" s="3" t="str">
        <f t="shared" si="7"/>
        <v>Medium</v>
      </c>
      <c r="V93">
        <v>0</v>
      </c>
      <c r="W93" t="s">
        <v>31</v>
      </c>
      <c r="X93" s="2">
        <v>22</v>
      </c>
      <c r="Y93" t="s">
        <v>62</v>
      </c>
      <c r="Z93" t="s">
        <v>62</v>
      </c>
      <c r="AA93">
        <v>0</v>
      </c>
      <c r="AB93">
        <v>11</v>
      </c>
      <c r="AC93">
        <v>2</v>
      </c>
      <c r="AD93">
        <v>1</v>
      </c>
      <c r="AE93">
        <v>10</v>
      </c>
      <c r="AF93">
        <v>7</v>
      </c>
      <c r="AG93">
        <v>1</v>
      </c>
      <c r="AH93">
        <v>0</v>
      </c>
      <c r="AI93" t="str">
        <f t="shared" si="4"/>
        <v>6-10 Years</v>
      </c>
      <c r="AJ93" t="str">
        <f t="shared" si="5"/>
        <v>0-2</v>
      </c>
    </row>
    <row r="94" spans="1:36" x14ac:dyDescent="0.35">
      <c r="A94">
        <v>93</v>
      </c>
      <c r="B94">
        <v>30</v>
      </c>
      <c r="C94" t="str">
        <f t="shared" si="6"/>
        <v>26-35</v>
      </c>
      <c r="D94" t="s">
        <v>38</v>
      </c>
      <c r="E94" t="s">
        <v>32</v>
      </c>
      <c r="F94" s="3">
        <v>1389</v>
      </c>
      <c r="G94" t="s">
        <v>33</v>
      </c>
      <c r="H94" s="1">
        <v>4</v>
      </c>
      <c r="I94" t="s">
        <v>58</v>
      </c>
      <c r="J94" t="s">
        <v>46</v>
      </c>
      <c r="K94" t="s">
        <v>60</v>
      </c>
      <c r="L94" t="s">
        <v>35</v>
      </c>
      <c r="M94" s="3">
        <v>63</v>
      </c>
      <c r="N94" t="s">
        <v>61</v>
      </c>
      <c r="O94" t="s">
        <v>61</v>
      </c>
      <c r="P94" t="s">
        <v>36</v>
      </c>
      <c r="Q94" t="s">
        <v>61</v>
      </c>
      <c r="R94" t="s">
        <v>47</v>
      </c>
      <c r="S94" s="3">
        <v>5209</v>
      </c>
      <c r="T94" s="3">
        <v>19760</v>
      </c>
      <c r="U94" s="3" t="str">
        <f t="shared" si="7"/>
        <v>Medium</v>
      </c>
      <c r="V94">
        <v>1</v>
      </c>
      <c r="W94" t="s">
        <v>31</v>
      </c>
      <c r="X94" s="2">
        <v>12</v>
      </c>
      <c r="Y94" t="s">
        <v>60</v>
      </c>
      <c r="Z94" t="s">
        <v>61</v>
      </c>
      <c r="AA94">
        <v>3</v>
      </c>
      <c r="AB94">
        <v>11</v>
      </c>
      <c r="AC94">
        <v>4</v>
      </c>
      <c r="AD94">
        <v>2</v>
      </c>
      <c r="AE94">
        <v>11</v>
      </c>
      <c r="AF94">
        <v>8</v>
      </c>
      <c r="AG94">
        <v>2</v>
      </c>
      <c r="AH94">
        <v>7</v>
      </c>
      <c r="AI94" t="str">
        <f t="shared" si="4"/>
        <v>10+ Years</v>
      </c>
      <c r="AJ94" t="str">
        <f t="shared" si="5"/>
        <v>0-2</v>
      </c>
    </row>
    <row r="95" spans="1:36" x14ac:dyDescent="0.35">
      <c r="A95">
        <v>94</v>
      </c>
      <c r="B95">
        <v>46</v>
      </c>
      <c r="C95" t="str">
        <f t="shared" si="6"/>
        <v>46-55</v>
      </c>
      <c r="D95" t="s">
        <v>38</v>
      </c>
      <c r="E95" t="s">
        <v>39</v>
      </c>
      <c r="F95" s="3">
        <v>1389</v>
      </c>
      <c r="G95" t="s">
        <v>40</v>
      </c>
      <c r="H95" s="1">
        <v>1</v>
      </c>
      <c r="I95" t="s">
        <v>61</v>
      </c>
      <c r="J95" t="s">
        <v>46</v>
      </c>
      <c r="K95" t="s">
        <v>60</v>
      </c>
      <c r="L95" t="s">
        <v>41</v>
      </c>
      <c r="M95" s="3">
        <v>40</v>
      </c>
      <c r="N95" t="s">
        <v>61</v>
      </c>
      <c r="O95" t="s">
        <v>60</v>
      </c>
      <c r="P95" t="s">
        <v>49</v>
      </c>
      <c r="Q95" t="s">
        <v>59</v>
      </c>
      <c r="R95" t="s">
        <v>43</v>
      </c>
      <c r="S95" s="3">
        <v>10673</v>
      </c>
      <c r="T95" s="3">
        <v>3142</v>
      </c>
      <c r="U95" s="3" t="str">
        <f t="shared" si="7"/>
        <v>High</v>
      </c>
      <c r="V95">
        <v>2</v>
      </c>
      <c r="W95" t="s">
        <v>31</v>
      </c>
      <c r="X95" s="2">
        <v>13</v>
      </c>
      <c r="Y95" t="s">
        <v>60</v>
      </c>
      <c r="Z95" t="s">
        <v>60</v>
      </c>
      <c r="AA95">
        <v>1</v>
      </c>
      <c r="AB95">
        <v>21</v>
      </c>
      <c r="AC95">
        <v>5</v>
      </c>
      <c r="AD95">
        <v>2</v>
      </c>
      <c r="AE95">
        <v>10</v>
      </c>
      <c r="AF95">
        <v>9</v>
      </c>
      <c r="AG95">
        <v>9</v>
      </c>
      <c r="AH95">
        <v>5</v>
      </c>
      <c r="AI95" t="str">
        <f t="shared" si="4"/>
        <v>6-10 Years</v>
      </c>
      <c r="AJ95" t="str">
        <f t="shared" si="5"/>
        <v>6+</v>
      </c>
    </row>
    <row r="96" spans="1:36" x14ac:dyDescent="0.35">
      <c r="A96">
        <v>95</v>
      </c>
      <c r="B96">
        <v>32</v>
      </c>
      <c r="C96" t="str">
        <f t="shared" si="6"/>
        <v>26-35</v>
      </c>
      <c r="D96" t="s">
        <v>38</v>
      </c>
      <c r="E96" t="s">
        <v>32</v>
      </c>
      <c r="F96" s="3">
        <v>1389</v>
      </c>
      <c r="G96" t="s">
        <v>33</v>
      </c>
      <c r="H96" s="1">
        <v>6</v>
      </c>
      <c r="I96" t="s">
        <v>60</v>
      </c>
      <c r="J96" t="s">
        <v>46</v>
      </c>
      <c r="K96" t="s">
        <v>61</v>
      </c>
      <c r="L96" t="s">
        <v>41</v>
      </c>
      <c r="M96" s="3">
        <v>87</v>
      </c>
      <c r="N96" t="s">
        <v>60</v>
      </c>
      <c r="O96" t="s">
        <v>61</v>
      </c>
      <c r="P96" t="s">
        <v>36</v>
      </c>
      <c r="Q96" t="s">
        <v>60</v>
      </c>
      <c r="R96" t="s">
        <v>37</v>
      </c>
      <c r="S96" s="3">
        <v>5010</v>
      </c>
      <c r="T96" s="3">
        <v>24301</v>
      </c>
      <c r="U96" s="3" t="str">
        <f t="shared" si="7"/>
        <v>Medium</v>
      </c>
      <c r="V96">
        <v>1</v>
      </c>
      <c r="W96" t="s">
        <v>38</v>
      </c>
      <c r="X96" s="2">
        <v>16</v>
      </c>
      <c r="Y96" t="s">
        <v>60</v>
      </c>
      <c r="Z96" t="s">
        <v>59</v>
      </c>
      <c r="AA96">
        <v>0</v>
      </c>
      <c r="AB96">
        <v>12</v>
      </c>
      <c r="AC96">
        <v>0</v>
      </c>
      <c r="AD96">
        <v>3</v>
      </c>
      <c r="AE96">
        <v>11</v>
      </c>
      <c r="AF96">
        <v>8</v>
      </c>
      <c r="AG96">
        <v>5</v>
      </c>
      <c r="AH96">
        <v>7</v>
      </c>
      <c r="AI96" t="str">
        <f t="shared" si="4"/>
        <v>10+ Years</v>
      </c>
      <c r="AJ96" t="str">
        <f t="shared" si="5"/>
        <v>3-5</v>
      </c>
    </row>
    <row r="97" spans="1:36" x14ac:dyDescent="0.35">
      <c r="A97">
        <v>96</v>
      </c>
      <c r="B97">
        <v>54</v>
      </c>
      <c r="C97" t="str">
        <f t="shared" si="6"/>
        <v>46-55</v>
      </c>
      <c r="D97" t="s">
        <v>38</v>
      </c>
      <c r="E97" t="s">
        <v>32</v>
      </c>
      <c r="F97" s="3">
        <v>1389</v>
      </c>
      <c r="G97" t="s">
        <v>40</v>
      </c>
      <c r="H97" s="1">
        <v>2</v>
      </c>
      <c r="I97" t="s">
        <v>60</v>
      </c>
      <c r="J97" t="s">
        <v>55</v>
      </c>
      <c r="K97" t="s">
        <v>59</v>
      </c>
      <c r="L97" t="s">
        <v>35</v>
      </c>
      <c r="M97" s="3">
        <v>60</v>
      </c>
      <c r="N97" t="s">
        <v>60</v>
      </c>
      <c r="O97" t="s">
        <v>60</v>
      </c>
      <c r="P97" t="s">
        <v>53</v>
      </c>
      <c r="Q97" t="s">
        <v>60</v>
      </c>
      <c r="R97" t="s">
        <v>43</v>
      </c>
      <c r="S97" s="3">
        <v>13549</v>
      </c>
      <c r="T97" s="3">
        <v>24001</v>
      </c>
      <c r="U97" s="3" t="str">
        <f t="shared" si="7"/>
        <v>High</v>
      </c>
      <c r="V97">
        <v>9</v>
      </c>
      <c r="W97" t="s">
        <v>38</v>
      </c>
      <c r="X97" s="2">
        <v>12</v>
      </c>
      <c r="Y97" t="s">
        <v>60</v>
      </c>
      <c r="Z97" t="s">
        <v>59</v>
      </c>
      <c r="AA97">
        <v>1</v>
      </c>
      <c r="AB97">
        <v>16</v>
      </c>
      <c r="AC97">
        <v>5</v>
      </c>
      <c r="AD97">
        <v>1</v>
      </c>
      <c r="AE97">
        <v>4</v>
      </c>
      <c r="AF97">
        <v>3</v>
      </c>
      <c r="AG97">
        <v>0</v>
      </c>
      <c r="AH97">
        <v>3</v>
      </c>
      <c r="AI97" t="str">
        <f t="shared" si="4"/>
        <v>3-5 Years</v>
      </c>
      <c r="AJ97" t="str">
        <f t="shared" si="5"/>
        <v>0-2</v>
      </c>
    </row>
    <row r="98" spans="1:36" x14ac:dyDescent="0.35">
      <c r="A98">
        <v>97</v>
      </c>
      <c r="B98">
        <v>24</v>
      </c>
      <c r="C98" t="str">
        <f t="shared" si="6"/>
        <v>18-25</v>
      </c>
      <c r="D98" t="s">
        <v>38</v>
      </c>
      <c r="E98" t="s">
        <v>32</v>
      </c>
      <c r="F98" s="3">
        <v>1389</v>
      </c>
      <c r="G98" t="s">
        <v>33</v>
      </c>
      <c r="H98" s="1">
        <v>3</v>
      </c>
      <c r="I98" t="s">
        <v>58</v>
      </c>
      <c r="J98" t="s">
        <v>44</v>
      </c>
      <c r="K98" t="s">
        <v>59</v>
      </c>
      <c r="L98" t="s">
        <v>35</v>
      </c>
      <c r="M98" s="3">
        <v>33</v>
      </c>
      <c r="N98" t="s">
        <v>60</v>
      </c>
      <c r="O98" t="s">
        <v>61</v>
      </c>
      <c r="P98" t="s">
        <v>36</v>
      </c>
      <c r="Q98" t="s">
        <v>60</v>
      </c>
      <c r="R98" t="s">
        <v>43</v>
      </c>
      <c r="S98" s="3">
        <v>4999</v>
      </c>
      <c r="T98" s="3">
        <v>17519</v>
      </c>
      <c r="U98" s="3" t="str">
        <f t="shared" si="7"/>
        <v>Low</v>
      </c>
      <c r="V98">
        <v>0</v>
      </c>
      <c r="W98" t="s">
        <v>38</v>
      </c>
      <c r="X98" s="2">
        <v>21</v>
      </c>
      <c r="Y98" t="s">
        <v>62</v>
      </c>
      <c r="Z98" t="s">
        <v>59</v>
      </c>
      <c r="AA98">
        <v>1</v>
      </c>
      <c r="AB98">
        <v>4</v>
      </c>
      <c r="AC98">
        <v>2</v>
      </c>
      <c r="AD98">
        <v>2</v>
      </c>
      <c r="AE98">
        <v>3</v>
      </c>
      <c r="AF98">
        <v>2</v>
      </c>
      <c r="AG98">
        <v>0</v>
      </c>
      <c r="AH98">
        <v>2</v>
      </c>
      <c r="AI98" t="str">
        <f t="shared" si="4"/>
        <v>3-5 Years</v>
      </c>
      <c r="AJ98" t="str">
        <f t="shared" si="5"/>
        <v>0-2</v>
      </c>
    </row>
    <row r="99" spans="1:36" x14ac:dyDescent="0.35">
      <c r="A99">
        <v>98</v>
      </c>
      <c r="B99">
        <v>28</v>
      </c>
      <c r="C99" t="str">
        <f t="shared" si="6"/>
        <v>26-35</v>
      </c>
      <c r="D99" t="s">
        <v>38</v>
      </c>
      <c r="E99" t="s">
        <v>50</v>
      </c>
      <c r="F99" s="3">
        <v>1389</v>
      </c>
      <c r="G99" t="s">
        <v>33</v>
      </c>
      <c r="H99" s="1">
        <v>4</v>
      </c>
      <c r="I99" t="s">
        <v>61</v>
      </c>
      <c r="J99" t="s">
        <v>46</v>
      </c>
      <c r="K99" t="s">
        <v>61</v>
      </c>
      <c r="L99" t="s">
        <v>41</v>
      </c>
      <c r="M99" s="3">
        <v>43</v>
      </c>
      <c r="N99" t="s">
        <v>60</v>
      </c>
      <c r="O99" t="s">
        <v>61</v>
      </c>
      <c r="P99" t="s">
        <v>36</v>
      </c>
      <c r="Q99" t="s">
        <v>60</v>
      </c>
      <c r="R99" t="s">
        <v>43</v>
      </c>
      <c r="S99" s="3">
        <v>4221</v>
      </c>
      <c r="T99" s="3">
        <v>8863</v>
      </c>
      <c r="U99" s="3" t="str">
        <f t="shared" si="7"/>
        <v>Low</v>
      </c>
      <c r="V99">
        <v>1</v>
      </c>
      <c r="W99" t="s">
        <v>38</v>
      </c>
      <c r="X99" s="2">
        <v>15</v>
      </c>
      <c r="Y99" t="s">
        <v>60</v>
      </c>
      <c r="Z99" t="s">
        <v>61</v>
      </c>
      <c r="AA99">
        <v>0</v>
      </c>
      <c r="AB99">
        <v>5</v>
      </c>
      <c r="AC99">
        <v>3</v>
      </c>
      <c r="AD99">
        <v>4</v>
      </c>
      <c r="AE99">
        <v>5</v>
      </c>
      <c r="AF99">
        <v>4</v>
      </c>
      <c r="AG99">
        <v>0</v>
      </c>
      <c r="AH99">
        <v>4</v>
      </c>
      <c r="AI99" t="str">
        <f t="shared" si="4"/>
        <v>3-5 Years</v>
      </c>
      <c r="AJ99" t="str">
        <f t="shared" si="5"/>
        <v>0-2</v>
      </c>
    </row>
    <row r="100" spans="1:36" x14ac:dyDescent="0.35">
      <c r="A100">
        <v>99</v>
      </c>
      <c r="B100">
        <v>58</v>
      </c>
      <c r="C100" t="str">
        <f t="shared" si="6"/>
        <v>55+</v>
      </c>
      <c r="D100" t="s">
        <v>38</v>
      </c>
      <c r="E100" t="s">
        <v>32</v>
      </c>
      <c r="F100" s="3">
        <v>1389</v>
      </c>
      <c r="G100" t="s">
        <v>33</v>
      </c>
      <c r="H100" s="1">
        <v>10</v>
      </c>
      <c r="I100" t="s">
        <v>60</v>
      </c>
      <c r="J100" t="s">
        <v>46</v>
      </c>
      <c r="K100" t="s">
        <v>62</v>
      </c>
      <c r="L100" t="s">
        <v>41</v>
      </c>
      <c r="M100" s="3">
        <v>37</v>
      </c>
      <c r="N100" t="s">
        <v>60</v>
      </c>
      <c r="O100" t="s">
        <v>62</v>
      </c>
      <c r="P100" t="s">
        <v>36</v>
      </c>
      <c r="Q100" t="s">
        <v>60</v>
      </c>
      <c r="R100" t="s">
        <v>37</v>
      </c>
      <c r="S100" s="3">
        <v>13872</v>
      </c>
      <c r="T100" s="3">
        <v>24409</v>
      </c>
      <c r="U100" s="3" t="str">
        <f t="shared" si="7"/>
        <v>High</v>
      </c>
      <c r="V100">
        <v>0</v>
      </c>
      <c r="W100" t="s">
        <v>38</v>
      </c>
      <c r="X100" s="2">
        <v>13</v>
      </c>
      <c r="Y100" t="s">
        <v>60</v>
      </c>
      <c r="Z100" t="s">
        <v>60</v>
      </c>
      <c r="AA100">
        <v>0</v>
      </c>
      <c r="AB100">
        <v>38</v>
      </c>
      <c r="AC100">
        <v>1</v>
      </c>
      <c r="AD100">
        <v>2</v>
      </c>
      <c r="AE100">
        <v>37</v>
      </c>
      <c r="AF100">
        <v>10</v>
      </c>
      <c r="AG100">
        <v>1</v>
      </c>
      <c r="AH100">
        <v>8</v>
      </c>
      <c r="AI100" t="str">
        <f t="shared" si="4"/>
        <v>10+ Years</v>
      </c>
      <c r="AJ100" t="str">
        <f t="shared" si="5"/>
        <v>0-2</v>
      </c>
    </row>
    <row r="101" spans="1:36" x14ac:dyDescent="0.35">
      <c r="A101">
        <v>100</v>
      </c>
      <c r="B101">
        <v>44</v>
      </c>
      <c r="C101" t="str">
        <f t="shared" si="6"/>
        <v>36-45</v>
      </c>
      <c r="D101" t="s">
        <v>38</v>
      </c>
      <c r="E101" t="s">
        <v>50</v>
      </c>
      <c r="F101" s="3">
        <v>1389</v>
      </c>
      <c r="G101" t="s">
        <v>40</v>
      </c>
      <c r="H101" s="1">
        <v>23</v>
      </c>
      <c r="I101" t="s">
        <v>61</v>
      </c>
      <c r="J101" t="s">
        <v>46</v>
      </c>
      <c r="K101" t="s">
        <v>61</v>
      </c>
      <c r="L101" t="s">
        <v>41</v>
      </c>
      <c r="M101" s="3">
        <v>67</v>
      </c>
      <c r="N101" t="s">
        <v>60</v>
      </c>
      <c r="O101" t="s">
        <v>61</v>
      </c>
      <c r="P101" t="s">
        <v>45</v>
      </c>
      <c r="Q101" t="s">
        <v>61</v>
      </c>
      <c r="R101" t="s">
        <v>43</v>
      </c>
      <c r="S101" s="3">
        <v>2042</v>
      </c>
      <c r="T101" s="3">
        <v>25043</v>
      </c>
      <c r="U101" s="3" t="str">
        <f t="shared" si="7"/>
        <v>Low</v>
      </c>
      <c r="V101">
        <v>4</v>
      </c>
      <c r="W101" t="s">
        <v>38</v>
      </c>
      <c r="X101" s="2">
        <v>12</v>
      </c>
      <c r="Y101" t="s">
        <v>60</v>
      </c>
      <c r="Z101" t="s">
        <v>60</v>
      </c>
      <c r="AA101">
        <v>1</v>
      </c>
      <c r="AB101">
        <v>17</v>
      </c>
      <c r="AC101">
        <v>3</v>
      </c>
      <c r="AD101">
        <v>4</v>
      </c>
      <c r="AE101">
        <v>3</v>
      </c>
      <c r="AF101">
        <v>2</v>
      </c>
      <c r="AG101">
        <v>1</v>
      </c>
      <c r="AH101">
        <v>2</v>
      </c>
      <c r="AI101" t="str">
        <f t="shared" si="4"/>
        <v>3-5 Years</v>
      </c>
      <c r="AJ101" t="str">
        <f t="shared" si="5"/>
        <v>0-2</v>
      </c>
    </row>
    <row r="102" spans="1:36" x14ac:dyDescent="0.35">
      <c r="A102">
        <v>101</v>
      </c>
      <c r="B102">
        <v>37</v>
      </c>
      <c r="C102" t="str">
        <f t="shared" si="6"/>
        <v>36-45</v>
      </c>
      <c r="D102" t="s">
        <v>31</v>
      </c>
      <c r="E102" t="s">
        <v>32</v>
      </c>
      <c r="F102" s="3">
        <v>1389</v>
      </c>
      <c r="G102" t="s">
        <v>56</v>
      </c>
      <c r="H102" s="1">
        <v>6</v>
      </c>
      <c r="I102" t="s">
        <v>60</v>
      </c>
      <c r="J102" t="s">
        <v>56</v>
      </c>
      <c r="K102" t="s">
        <v>60</v>
      </c>
      <c r="L102" t="s">
        <v>41</v>
      </c>
      <c r="M102" s="3">
        <v>63</v>
      </c>
      <c r="N102" t="s">
        <v>60</v>
      </c>
      <c r="O102" t="s">
        <v>59</v>
      </c>
      <c r="P102" t="s">
        <v>56</v>
      </c>
      <c r="Q102" t="s">
        <v>59</v>
      </c>
      <c r="R102" t="s">
        <v>47</v>
      </c>
      <c r="S102" s="3">
        <v>2073</v>
      </c>
      <c r="T102" s="3">
        <v>23648</v>
      </c>
      <c r="U102" s="3" t="str">
        <f t="shared" si="7"/>
        <v>Low</v>
      </c>
      <c r="V102">
        <v>4</v>
      </c>
      <c r="W102" t="s">
        <v>31</v>
      </c>
      <c r="X102" s="2">
        <v>22</v>
      </c>
      <c r="Y102" t="s">
        <v>62</v>
      </c>
      <c r="Z102" t="s">
        <v>62</v>
      </c>
      <c r="AA102">
        <v>0</v>
      </c>
      <c r="AB102">
        <v>7</v>
      </c>
      <c r="AC102">
        <v>3</v>
      </c>
      <c r="AD102">
        <v>3</v>
      </c>
      <c r="AE102">
        <v>3</v>
      </c>
      <c r="AF102">
        <v>2</v>
      </c>
      <c r="AG102">
        <v>0</v>
      </c>
      <c r="AH102">
        <v>2</v>
      </c>
      <c r="AI102" t="str">
        <f t="shared" si="4"/>
        <v>3-5 Years</v>
      </c>
      <c r="AJ102" t="str">
        <f t="shared" si="5"/>
        <v>0-2</v>
      </c>
    </row>
    <row r="103" spans="1:36" x14ac:dyDescent="0.35">
      <c r="A103">
        <v>102</v>
      </c>
      <c r="B103">
        <v>32</v>
      </c>
      <c r="C103" t="str">
        <f t="shared" si="6"/>
        <v>26-35</v>
      </c>
      <c r="D103" t="s">
        <v>38</v>
      </c>
      <c r="E103" t="s">
        <v>32</v>
      </c>
      <c r="F103" s="3">
        <v>1389</v>
      </c>
      <c r="G103" t="s">
        <v>40</v>
      </c>
      <c r="H103" s="1">
        <v>1</v>
      </c>
      <c r="I103" t="s">
        <v>59</v>
      </c>
      <c r="J103" t="s">
        <v>34</v>
      </c>
      <c r="K103" t="s">
        <v>62</v>
      </c>
      <c r="L103" t="s">
        <v>41</v>
      </c>
      <c r="M103" s="3">
        <v>71</v>
      </c>
      <c r="N103" t="s">
        <v>60</v>
      </c>
      <c r="O103" t="s">
        <v>59</v>
      </c>
      <c r="P103" t="s">
        <v>42</v>
      </c>
      <c r="Q103" t="s">
        <v>59</v>
      </c>
      <c r="R103" t="s">
        <v>37</v>
      </c>
      <c r="S103" s="3">
        <v>2956</v>
      </c>
      <c r="T103" s="3">
        <v>15178</v>
      </c>
      <c r="U103" s="3" t="str">
        <f t="shared" si="7"/>
        <v>Low</v>
      </c>
      <c r="V103">
        <v>1</v>
      </c>
      <c r="W103" t="s">
        <v>38</v>
      </c>
      <c r="X103" s="2">
        <v>13</v>
      </c>
      <c r="Y103" t="s">
        <v>60</v>
      </c>
      <c r="Z103" t="s">
        <v>62</v>
      </c>
      <c r="AA103">
        <v>0</v>
      </c>
      <c r="AB103">
        <v>1</v>
      </c>
      <c r="AC103">
        <v>2</v>
      </c>
      <c r="AD103">
        <v>3</v>
      </c>
      <c r="AE103">
        <v>1</v>
      </c>
      <c r="AF103">
        <v>0</v>
      </c>
      <c r="AG103">
        <v>0</v>
      </c>
      <c r="AH103">
        <v>0</v>
      </c>
      <c r="AI103" t="str">
        <f t="shared" si="4"/>
        <v>0-2 Years</v>
      </c>
      <c r="AJ103" t="str">
        <f t="shared" si="5"/>
        <v>0-2</v>
      </c>
    </row>
    <row r="104" spans="1:36" x14ac:dyDescent="0.35">
      <c r="A104">
        <v>103</v>
      </c>
      <c r="B104">
        <v>20</v>
      </c>
      <c r="C104" t="str">
        <f t="shared" si="6"/>
        <v>18-25</v>
      </c>
      <c r="D104" t="s">
        <v>31</v>
      </c>
      <c r="E104" t="s">
        <v>39</v>
      </c>
      <c r="F104" s="3">
        <v>1389</v>
      </c>
      <c r="G104" t="s">
        <v>40</v>
      </c>
      <c r="H104" s="1">
        <v>6</v>
      </c>
      <c r="I104" t="s">
        <v>61</v>
      </c>
      <c r="J104" t="s">
        <v>34</v>
      </c>
      <c r="K104" t="s">
        <v>62</v>
      </c>
      <c r="L104" t="s">
        <v>35</v>
      </c>
      <c r="M104" s="3">
        <v>66</v>
      </c>
      <c r="N104" t="s">
        <v>61</v>
      </c>
      <c r="O104" t="s">
        <v>59</v>
      </c>
      <c r="P104" t="s">
        <v>45</v>
      </c>
      <c r="Q104" t="s">
        <v>62</v>
      </c>
      <c r="R104" t="s">
        <v>37</v>
      </c>
      <c r="S104" s="3">
        <v>2926</v>
      </c>
      <c r="T104" s="3">
        <v>19783</v>
      </c>
      <c r="U104" s="3" t="str">
        <f t="shared" si="7"/>
        <v>Low</v>
      </c>
      <c r="V104">
        <v>1</v>
      </c>
      <c r="W104" t="s">
        <v>31</v>
      </c>
      <c r="X104" s="2">
        <v>18</v>
      </c>
      <c r="Y104" t="s">
        <v>60</v>
      </c>
      <c r="Z104" t="s">
        <v>61</v>
      </c>
      <c r="AA104">
        <v>0</v>
      </c>
      <c r="AB104">
        <v>1</v>
      </c>
      <c r="AC104">
        <v>5</v>
      </c>
      <c r="AD104">
        <v>3</v>
      </c>
      <c r="AE104">
        <v>1</v>
      </c>
      <c r="AF104">
        <v>0</v>
      </c>
      <c r="AG104">
        <v>1</v>
      </c>
      <c r="AH104">
        <v>0</v>
      </c>
      <c r="AI104" t="str">
        <f t="shared" si="4"/>
        <v>0-2 Years</v>
      </c>
      <c r="AJ104" t="str">
        <f t="shared" si="5"/>
        <v>0-2</v>
      </c>
    </row>
    <row r="105" spans="1:36" x14ac:dyDescent="0.35">
      <c r="A105">
        <v>104</v>
      </c>
      <c r="B105">
        <v>34</v>
      </c>
      <c r="C105" t="str">
        <f t="shared" si="6"/>
        <v>26-35</v>
      </c>
      <c r="D105" t="s">
        <v>38</v>
      </c>
      <c r="E105" t="s">
        <v>32</v>
      </c>
      <c r="F105" s="3">
        <v>1389</v>
      </c>
      <c r="G105" t="s">
        <v>40</v>
      </c>
      <c r="H105" s="1">
        <v>6</v>
      </c>
      <c r="I105" t="s">
        <v>60</v>
      </c>
      <c r="J105" t="s">
        <v>44</v>
      </c>
      <c r="K105" t="s">
        <v>59</v>
      </c>
      <c r="L105" t="s">
        <v>35</v>
      </c>
      <c r="M105" s="3">
        <v>41</v>
      </c>
      <c r="N105" t="s">
        <v>60</v>
      </c>
      <c r="O105" t="s">
        <v>61</v>
      </c>
      <c r="P105" t="s">
        <v>42</v>
      </c>
      <c r="Q105" t="s">
        <v>60</v>
      </c>
      <c r="R105" t="s">
        <v>37</v>
      </c>
      <c r="S105" s="3">
        <v>4809</v>
      </c>
      <c r="T105" s="3">
        <v>12482</v>
      </c>
      <c r="U105" s="3" t="str">
        <f t="shared" si="7"/>
        <v>Low</v>
      </c>
      <c r="V105">
        <v>1</v>
      </c>
      <c r="W105" t="s">
        <v>38</v>
      </c>
      <c r="X105" s="2">
        <v>14</v>
      </c>
      <c r="Y105" t="s">
        <v>60</v>
      </c>
      <c r="Z105" t="s">
        <v>60</v>
      </c>
      <c r="AA105">
        <v>0</v>
      </c>
      <c r="AB105">
        <v>16</v>
      </c>
      <c r="AC105">
        <v>3</v>
      </c>
      <c r="AD105">
        <v>3</v>
      </c>
      <c r="AE105">
        <v>16</v>
      </c>
      <c r="AF105">
        <v>13</v>
      </c>
      <c r="AG105">
        <v>2</v>
      </c>
      <c r="AH105">
        <v>10</v>
      </c>
      <c r="AI105" t="str">
        <f t="shared" si="4"/>
        <v>10+ Years</v>
      </c>
      <c r="AJ105" t="str">
        <f t="shared" si="5"/>
        <v>0-2</v>
      </c>
    </row>
    <row r="106" spans="1:36" x14ac:dyDescent="0.35">
      <c r="A106">
        <v>105</v>
      </c>
      <c r="B106">
        <v>37</v>
      </c>
      <c r="C106" t="str">
        <f t="shared" si="6"/>
        <v>36-45</v>
      </c>
      <c r="D106" t="s">
        <v>38</v>
      </c>
      <c r="E106" t="s">
        <v>50</v>
      </c>
      <c r="F106" s="3">
        <v>1389</v>
      </c>
      <c r="G106" t="s">
        <v>40</v>
      </c>
      <c r="H106" s="1">
        <v>2</v>
      </c>
      <c r="I106" t="s">
        <v>58</v>
      </c>
      <c r="J106" t="s">
        <v>34</v>
      </c>
      <c r="K106" t="s">
        <v>60</v>
      </c>
      <c r="L106" t="s">
        <v>41</v>
      </c>
      <c r="M106" s="3">
        <v>100</v>
      </c>
      <c r="N106" t="s">
        <v>61</v>
      </c>
      <c r="O106" t="s">
        <v>61</v>
      </c>
      <c r="P106" t="s">
        <v>49</v>
      </c>
      <c r="Q106" t="s">
        <v>62</v>
      </c>
      <c r="R106" t="s">
        <v>47</v>
      </c>
      <c r="S106" s="3">
        <v>5163</v>
      </c>
      <c r="T106" s="3">
        <v>15850</v>
      </c>
      <c r="U106" s="3" t="str">
        <f t="shared" si="7"/>
        <v>Medium</v>
      </c>
      <c r="V106">
        <v>5</v>
      </c>
      <c r="W106" t="s">
        <v>38</v>
      </c>
      <c r="X106" s="2">
        <v>14</v>
      </c>
      <c r="Y106" t="s">
        <v>60</v>
      </c>
      <c r="Z106" t="s">
        <v>62</v>
      </c>
      <c r="AA106">
        <v>1</v>
      </c>
      <c r="AB106">
        <v>17</v>
      </c>
      <c r="AC106">
        <v>2</v>
      </c>
      <c r="AD106">
        <v>4</v>
      </c>
      <c r="AE106">
        <v>1</v>
      </c>
      <c r="AF106">
        <v>0</v>
      </c>
      <c r="AG106">
        <v>0</v>
      </c>
      <c r="AH106">
        <v>0</v>
      </c>
      <c r="AI106" t="str">
        <f t="shared" si="4"/>
        <v>0-2 Years</v>
      </c>
      <c r="AJ106" t="str">
        <f t="shared" si="5"/>
        <v>0-2</v>
      </c>
    </row>
    <row r="107" spans="1:36" x14ac:dyDescent="0.35">
      <c r="A107">
        <v>106</v>
      </c>
      <c r="B107">
        <v>59</v>
      </c>
      <c r="C107" t="str">
        <f t="shared" si="6"/>
        <v>55+</v>
      </c>
      <c r="D107" t="s">
        <v>38</v>
      </c>
      <c r="E107" t="s">
        <v>50</v>
      </c>
      <c r="F107" s="3">
        <v>1389</v>
      </c>
      <c r="G107" t="s">
        <v>56</v>
      </c>
      <c r="H107" s="1">
        <v>2</v>
      </c>
      <c r="I107" t="s">
        <v>60</v>
      </c>
      <c r="J107" t="s">
        <v>56</v>
      </c>
      <c r="K107" t="s">
        <v>60</v>
      </c>
      <c r="L107" t="s">
        <v>35</v>
      </c>
      <c r="M107" s="3">
        <v>32</v>
      </c>
      <c r="N107" t="s">
        <v>61</v>
      </c>
      <c r="O107" t="e">
        <v>#N/A</v>
      </c>
      <c r="P107" t="s">
        <v>51</v>
      </c>
      <c r="Q107" t="s">
        <v>62</v>
      </c>
      <c r="R107" t="s">
        <v>43</v>
      </c>
      <c r="S107" s="3">
        <v>18844</v>
      </c>
      <c r="T107" s="3">
        <v>21922</v>
      </c>
      <c r="U107" s="3" t="str">
        <f t="shared" si="7"/>
        <v>High</v>
      </c>
      <c r="V107">
        <v>9</v>
      </c>
      <c r="W107" t="s">
        <v>38</v>
      </c>
      <c r="X107" s="2">
        <v>21</v>
      </c>
      <c r="Y107" t="s">
        <v>62</v>
      </c>
      <c r="Z107" t="s">
        <v>62</v>
      </c>
      <c r="AA107">
        <v>1</v>
      </c>
      <c r="AB107">
        <v>30</v>
      </c>
      <c r="AC107">
        <v>3</v>
      </c>
      <c r="AD107">
        <v>3</v>
      </c>
      <c r="AE107">
        <v>3</v>
      </c>
      <c r="AF107">
        <v>2</v>
      </c>
      <c r="AG107">
        <v>2</v>
      </c>
      <c r="AH107">
        <v>2</v>
      </c>
      <c r="AI107" t="str">
        <f t="shared" si="4"/>
        <v>3-5 Years</v>
      </c>
      <c r="AJ107" t="str">
        <f t="shared" si="5"/>
        <v>0-2</v>
      </c>
    </row>
    <row r="108" spans="1:36" x14ac:dyDescent="0.35">
      <c r="A108">
        <v>107</v>
      </c>
      <c r="B108">
        <v>50</v>
      </c>
      <c r="C108" t="str">
        <f t="shared" si="6"/>
        <v>46-55</v>
      </c>
      <c r="D108" t="s">
        <v>38</v>
      </c>
      <c r="E108" t="s">
        <v>39</v>
      </c>
      <c r="F108" s="3">
        <v>1389</v>
      </c>
      <c r="G108" t="s">
        <v>40</v>
      </c>
      <c r="H108" s="1">
        <v>1</v>
      </c>
      <c r="I108" t="s">
        <v>61</v>
      </c>
      <c r="J108" t="s">
        <v>34</v>
      </c>
      <c r="K108" t="s">
        <v>59</v>
      </c>
      <c r="L108" t="s">
        <v>35</v>
      </c>
      <c r="M108" s="3">
        <v>73</v>
      </c>
      <c r="N108" t="s">
        <v>60</v>
      </c>
      <c r="O108" t="e">
        <v>#N/A</v>
      </c>
      <c r="P108" t="s">
        <v>53</v>
      </c>
      <c r="Q108" t="s">
        <v>61</v>
      </c>
      <c r="R108" t="s">
        <v>43</v>
      </c>
      <c r="S108" s="3">
        <v>18172</v>
      </c>
      <c r="T108" s="3">
        <v>9755</v>
      </c>
      <c r="U108" s="3" t="str">
        <f t="shared" si="7"/>
        <v>High</v>
      </c>
      <c r="V108">
        <v>3</v>
      </c>
      <c r="W108" t="s">
        <v>31</v>
      </c>
      <c r="X108" s="2">
        <v>19</v>
      </c>
      <c r="Y108" t="s">
        <v>60</v>
      </c>
      <c r="Z108" t="s">
        <v>59</v>
      </c>
      <c r="AA108">
        <v>0</v>
      </c>
      <c r="AB108">
        <v>28</v>
      </c>
      <c r="AC108">
        <v>1</v>
      </c>
      <c r="AD108">
        <v>2</v>
      </c>
      <c r="AE108">
        <v>8</v>
      </c>
      <c r="AF108">
        <v>3</v>
      </c>
      <c r="AG108">
        <v>0</v>
      </c>
      <c r="AH108">
        <v>7</v>
      </c>
      <c r="AI108" t="str">
        <f t="shared" si="4"/>
        <v>6-10 Years</v>
      </c>
      <c r="AJ108" t="str">
        <f t="shared" si="5"/>
        <v>0-2</v>
      </c>
    </row>
    <row r="109" spans="1:36" x14ac:dyDescent="0.35">
      <c r="A109">
        <v>108</v>
      </c>
      <c r="B109">
        <v>25</v>
      </c>
      <c r="C109" t="str">
        <f t="shared" si="6"/>
        <v>18-25</v>
      </c>
      <c r="D109" t="s">
        <v>31</v>
      </c>
      <c r="E109" t="s">
        <v>32</v>
      </c>
      <c r="F109" s="3">
        <v>1389</v>
      </c>
      <c r="G109" t="s">
        <v>33</v>
      </c>
      <c r="H109" s="1">
        <v>5</v>
      </c>
      <c r="I109" t="s">
        <v>61</v>
      </c>
      <c r="J109" t="s">
        <v>54</v>
      </c>
      <c r="K109" t="s">
        <v>60</v>
      </c>
      <c r="L109" t="s">
        <v>41</v>
      </c>
      <c r="M109" s="3">
        <v>46</v>
      </c>
      <c r="N109" t="s">
        <v>61</v>
      </c>
      <c r="O109" t="s">
        <v>61</v>
      </c>
      <c r="P109" t="s">
        <v>36</v>
      </c>
      <c r="Q109" t="s">
        <v>60</v>
      </c>
      <c r="R109" t="s">
        <v>37</v>
      </c>
      <c r="S109" s="3">
        <v>5744</v>
      </c>
      <c r="T109" s="3">
        <v>26959</v>
      </c>
      <c r="U109" s="3" t="str">
        <f t="shared" si="7"/>
        <v>Medium</v>
      </c>
      <c r="V109">
        <v>1</v>
      </c>
      <c r="W109" t="s">
        <v>31</v>
      </c>
      <c r="X109" s="2">
        <v>11</v>
      </c>
      <c r="Y109" t="s">
        <v>60</v>
      </c>
      <c r="Z109" t="s">
        <v>62</v>
      </c>
      <c r="AA109">
        <v>0</v>
      </c>
      <c r="AB109">
        <v>6</v>
      </c>
      <c r="AC109">
        <v>1</v>
      </c>
      <c r="AD109">
        <v>3</v>
      </c>
      <c r="AE109">
        <v>6</v>
      </c>
      <c r="AF109">
        <v>4</v>
      </c>
      <c r="AG109">
        <v>0</v>
      </c>
      <c r="AH109">
        <v>3</v>
      </c>
      <c r="AI109" t="str">
        <f t="shared" si="4"/>
        <v>6-10 Years</v>
      </c>
      <c r="AJ109" t="str">
        <f t="shared" si="5"/>
        <v>0-2</v>
      </c>
    </row>
    <row r="110" spans="1:36" x14ac:dyDescent="0.35">
      <c r="A110">
        <v>109</v>
      </c>
      <c r="B110">
        <v>25</v>
      </c>
      <c r="C110" t="str">
        <f t="shared" si="6"/>
        <v>18-25</v>
      </c>
      <c r="D110" t="s">
        <v>38</v>
      </c>
      <c r="E110" t="s">
        <v>32</v>
      </c>
      <c r="F110" s="3">
        <v>1389</v>
      </c>
      <c r="G110" t="s">
        <v>40</v>
      </c>
      <c r="H110" s="1">
        <v>7</v>
      </c>
      <c r="I110" t="s">
        <v>59</v>
      </c>
      <c r="J110" t="s">
        <v>46</v>
      </c>
      <c r="K110" t="s">
        <v>62</v>
      </c>
      <c r="L110" t="s">
        <v>41</v>
      </c>
      <c r="M110" s="3">
        <v>64</v>
      </c>
      <c r="N110" t="s">
        <v>61</v>
      </c>
      <c r="O110" t="s">
        <v>59</v>
      </c>
      <c r="P110" t="s">
        <v>42</v>
      </c>
      <c r="Q110" t="s">
        <v>62</v>
      </c>
      <c r="R110" t="s">
        <v>43</v>
      </c>
      <c r="S110" s="3">
        <v>2889</v>
      </c>
      <c r="T110" s="3">
        <v>26897</v>
      </c>
      <c r="U110" s="3" t="str">
        <f t="shared" si="7"/>
        <v>Low</v>
      </c>
      <c r="V110">
        <v>1</v>
      </c>
      <c r="W110" t="s">
        <v>38</v>
      </c>
      <c r="X110" s="2">
        <v>11</v>
      </c>
      <c r="Y110" t="s">
        <v>60</v>
      </c>
      <c r="Z110" t="s">
        <v>60</v>
      </c>
      <c r="AA110">
        <v>2</v>
      </c>
      <c r="AB110">
        <v>2</v>
      </c>
      <c r="AC110">
        <v>2</v>
      </c>
      <c r="AD110">
        <v>3</v>
      </c>
      <c r="AE110">
        <v>2</v>
      </c>
      <c r="AF110">
        <v>2</v>
      </c>
      <c r="AG110">
        <v>2</v>
      </c>
      <c r="AH110">
        <v>1</v>
      </c>
      <c r="AI110" t="str">
        <f t="shared" si="4"/>
        <v>0-2 Years</v>
      </c>
      <c r="AJ110" t="str">
        <f t="shared" si="5"/>
        <v>0-2</v>
      </c>
    </row>
    <row r="111" spans="1:36" x14ac:dyDescent="0.35">
      <c r="A111">
        <v>110</v>
      </c>
      <c r="B111">
        <v>22</v>
      </c>
      <c r="C111" t="str">
        <f t="shared" si="6"/>
        <v>18-25</v>
      </c>
      <c r="D111" t="s">
        <v>38</v>
      </c>
      <c r="E111" t="s">
        <v>32</v>
      </c>
      <c r="F111" s="3">
        <v>1389</v>
      </c>
      <c r="G111" t="s">
        <v>40</v>
      </c>
      <c r="H111" s="1">
        <v>15</v>
      </c>
      <c r="I111" t="s">
        <v>61</v>
      </c>
      <c r="J111" t="s">
        <v>46</v>
      </c>
      <c r="K111" t="s">
        <v>61</v>
      </c>
      <c r="L111" t="s">
        <v>35</v>
      </c>
      <c r="M111" s="3">
        <v>59</v>
      </c>
      <c r="N111" t="s">
        <v>60</v>
      </c>
      <c r="O111" t="s">
        <v>59</v>
      </c>
      <c r="P111" t="s">
        <v>45</v>
      </c>
      <c r="Q111" t="s">
        <v>62</v>
      </c>
      <c r="R111" t="s">
        <v>37</v>
      </c>
      <c r="S111" s="3">
        <v>2871</v>
      </c>
      <c r="T111" s="3">
        <v>23785</v>
      </c>
      <c r="U111" s="3" t="str">
        <f t="shared" si="7"/>
        <v>Low</v>
      </c>
      <c r="V111">
        <v>1</v>
      </c>
      <c r="W111" t="s">
        <v>38</v>
      </c>
      <c r="X111" s="2">
        <v>15</v>
      </c>
      <c r="Y111" t="s">
        <v>60</v>
      </c>
      <c r="Z111" t="s">
        <v>60</v>
      </c>
      <c r="AA111">
        <v>0</v>
      </c>
      <c r="AB111">
        <v>1</v>
      </c>
      <c r="AC111">
        <v>5</v>
      </c>
      <c r="AD111">
        <v>3</v>
      </c>
      <c r="AE111">
        <v>0</v>
      </c>
      <c r="AF111">
        <v>0</v>
      </c>
      <c r="AG111">
        <v>0</v>
      </c>
      <c r="AH111">
        <v>0</v>
      </c>
      <c r="AI111" t="str">
        <f t="shared" si="4"/>
        <v>0-2 Years</v>
      </c>
      <c r="AJ111" t="str">
        <f t="shared" si="5"/>
        <v>0-2</v>
      </c>
    </row>
    <row r="112" spans="1:36" x14ac:dyDescent="0.35">
      <c r="A112">
        <v>111</v>
      </c>
      <c r="B112">
        <v>51</v>
      </c>
      <c r="C112" t="str">
        <f t="shared" si="6"/>
        <v>46-55</v>
      </c>
      <c r="D112" t="s">
        <v>38</v>
      </c>
      <c r="E112" t="s">
        <v>39</v>
      </c>
      <c r="F112" s="3">
        <v>1389</v>
      </c>
      <c r="G112" t="s">
        <v>40</v>
      </c>
      <c r="H112" s="1">
        <v>1</v>
      </c>
      <c r="I112" t="s">
        <v>60</v>
      </c>
      <c r="J112" t="s">
        <v>46</v>
      </c>
      <c r="K112" t="s">
        <v>59</v>
      </c>
      <c r="L112" t="s">
        <v>35</v>
      </c>
      <c r="M112" s="3">
        <v>30</v>
      </c>
      <c r="N112" t="s">
        <v>61</v>
      </c>
      <c r="O112" t="s">
        <v>60</v>
      </c>
      <c r="P112" t="s">
        <v>49</v>
      </c>
      <c r="Q112" t="s">
        <v>59</v>
      </c>
      <c r="R112" t="s">
        <v>37</v>
      </c>
      <c r="S112" s="3">
        <v>7484</v>
      </c>
      <c r="T112" s="3">
        <v>25796</v>
      </c>
      <c r="U112" s="3" t="str">
        <f t="shared" si="7"/>
        <v>Medium</v>
      </c>
      <c r="V112">
        <v>3</v>
      </c>
      <c r="W112" t="s">
        <v>38</v>
      </c>
      <c r="X112" s="2">
        <v>20</v>
      </c>
      <c r="Y112" t="s">
        <v>62</v>
      </c>
      <c r="Z112" t="s">
        <v>60</v>
      </c>
      <c r="AA112">
        <v>0</v>
      </c>
      <c r="AB112">
        <v>23</v>
      </c>
      <c r="AC112">
        <v>1</v>
      </c>
      <c r="AD112">
        <v>2</v>
      </c>
      <c r="AE112">
        <v>13</v>
      </c>
      <c r="AF112">
        <v>12</v>
      </c>
      <c r="AG112">
        <v>12</v>
      </c>
      <c r="AH112">
        <v>8</v>
      </c>
      <c r="AI112" t="str">
        <f t="shared" si="4"/>
        <v>10+ Years</v>
      </c>
      <c r="AJ112" t="str">
        <f t="shared" si="5"/>
        <v>6+</v>
      </c>
    </row>
    <row r="113" spans="1:36" x14ac:dyDescent="0.35">
      <c r="A113">
        <v>112</v>
      </c>
      <c r="B113">
        <v>34</v>
      </c>
      <c r="C113" t="str">
        <f t="shared" si="6"/>
        <v>26-35</v>
      </c>
      <c r="D113" t="s">
        <v>31</v>
      </c>
      <c r="E113" t="s">
        <v>39</v>
      </c>
      <c r="F113" s="3">
        <v>1389</v>
      </c>
      <c r="G113" t="s">
        <v>40</v>
      </c>
      <c r="H113" s="1">
        <v>7</v>
      </c>
      <c r="I113" t="s">
        <v>61</v>
      </c>
      <c r="J113" t="s">
        <v>34</v>
      </c>
      <c r="K113" t="s">
        <v>59</v>
      </c>
      <c r="L113" t="s">
        <v>41</v>
      </c>
      <c r="M113" s="3">
        <v>66</v>
      </c>
      <c r="N113" t="s">
        <v>59</v>
      </c>
      <c r="O113" t="s">
        <v>61</v>
      </c>
      <c r="P113" t="s">
        <v>45</v>
      </c>
      <c r="Q113" t="s">
        <v>60</v>
      </c>
      <c r="R113" t="s">
        <v>37</v>
      </c>
      <c r="S113" s="3">
        <v>6074</v>
      </c>
      <c r="T113" s="3">
        <v>22887</v>
      </c>
      <c r="U113" s="3" t="str">
        <f t="shared" si="7"/>
        <v>Medium</v>
      </c>
      <c r="V113">
        <v>1</v>
      </c>
      <c r="W113" t="s">
        <v>31</v>
      </c>
      <c r="X113" s="2">
        <v>24</v>
      </c>
      <c r="Y113" t="s">
        <v>62</v>
      </c>
      <c r="Z113" t="s">
        <v>62</v>
      </c>
      <c r="AA113">
        <v>0</v>
      </c>
      <c r="AB113">
        <v>9</v>
      </c>
      <c r="AC113">
        <v>3</v>
      </c>
      <c r="AD113">
        <v>3</v>
      </c>
      <c r="AE113">
        <v>9</v>
      </c>
      <c r="AF113">
        <v>7</v>
      </c>
      <c r="AG113">
        <v>0</v>
      </c>
      <c r="AH113">
        <v>6</v>
      </c>
      <c r="AI113" t="str">
        <f t="shared" si="4"/>
        <v>6-10 Years</v>
      </c>
      <c r="AJ113" t="str">
        <f t="shared" si="5"/>
        <v>0-2</v>
      </c>
    </row>
    <row r="114" spans="1:36" x14ac:dyDescent="0.35">
      <c r="A114">
        <v>113</v>
      </c>
      <c r="B114">
        <v>54</v>
      </c>
      <c r="C114" t="str">
        <f t="shared" si="6"/>
        <v>46-55</v>
      </c>
      <c r="D114" t="s">
        <v>38</v>
      </c>
      <c r="E114" t="s">
        <v>50</v>
      </c>
      <c r="F114" s="3">
        <v>1389</v>
      </c>
      <c r="G114" t="s">
        <v>56</v>
      </c>
      <c r="H114" s="1">
        <v>26</v>
      </c>
      <c r="I114" t="s">
        <v>61</v>
      </c>
      <c r="J114" t="s">
        <v>56</v>
      </c>
      <c r="K114" t="s">
        <v>62</v>
      </c>
      <c r="L114" t="s">
        <v>35</v>
      </c>
      <c r="M114" s="3">
        <v>30</v>
      </c>
      <c r="N114" t="s">
        <v>62</v>
      </c>
      <c r="O114" t="s">
        <v>62</v>
      </c>
      <c r="P114" t="s">
        <v>51</v>
      </c>
      <c r="Q114" t="s">
        <v>62</v>
      </c>
      <c r="R114" t="s">
        <v>37</v>
      </c>
      <c r="S114" s="3">
        <v>17328</v>
      </c>
      <c r="T114" s="3">
        <v>13871</v>
      </c>
      <c r="U114" s="3" t="str">
        <f t="shared" si="7"/>
        <v>High</v>
      </c>
      <c r="V114">
        <v>2</v>
      </c>
      <c r="W114" t="s">
        <v>31</v>
      </c>
      <c r="X114" s="2">
        <v>12</v>
      </c>
      <c r="Y114" t="s">
        <v>60</v>
      </c>
      <c r="Z114" t="s">
        <v>60</v>
      </c>
      <c r="AA114">
        <v>0</v>
      </c>
      <c r="AB114">
        <v>23</v>
      </c>
      <c r="AC114">
        <v>3</v>
      </c>
      <c r="AD114">
        <v>3</v>
      </c>
      <c r="AE114">
        <v>5</v>
      </c>
      <c r="AF114">
        <v>3</v>
      </c>
      <c r="AG114">
        <v>4</v>
      </c>
      <c r="AH114">
        <v>4</v>
      </c>
      <c r="AI114" t="str">
        <f t="shared" si="4"/>
        <v>3-5 Years</v>
      </c>
      <c r="AJ114" t="str">
        <f t="shared" si="5"/>
        <v>3-5</v>
      </c>
    </row>
    <row r="115" spans="1:36" x14ac:dyDescent="0.35">
      <c r="A115">
        <v>114</v>
      </c>
      <c r="B115">
        <v>24</v>
      </c>
      <c r="C115" t="str">
        <f t="shared" si="6"/>
        <v>18-25</v>
      </c>
      <c r="D115" t="s">
        <v>38</v>
      </c>
      <c r="E115" t="s">
        <v>32</v>
      </c>
      <c r="F115" s="3">
        <v>1389</v>
      </c>
      <c r="G115" t="s">
        <v>40</v>
      </c>
      <c r="H115" s="1">
        <v>18</v>
      </c>
      <c r="I115" t="s">
        <v>59</v>
      </c>
      <c r="J115" t="s">
        <v>34</v>
      </c>
      <c r="K115" t="s">
        <v>61</v>
      </c>
      <c r="L115" t="s">
        <v>41</v>
      </c>
      <c r="M115" s="3">
        <v>52</v>
      </c>
      <c r="N115" t="s">
        <v>60</v>
      </c>
      <c r="O115" t="s">
        <v>59</v>
      </c>
      <c r="P115" t="s">
        <v>45</v>
      </c>
      <c r="Q115" t="s">
        <v>60</v>
      </c>
      <c r="R115" t="s">
        <v>43</v>
      </c>
      <c r="S115" s="3">
        <v>2774</v>
      </c>
      <c r="T115" s="3">
        <v>13257</v>
      </c>
      <c r="U115" s="3" t="str">
        <f t="shared" si="7"/>
        <v>Low</v>
      </c>
      <c r="V115">
        <v>0</v>
      </c>
      <c r="W115" t="s">
        <v>38</v>
      </c>
      <c r="X115" s="2">
        <v>12</v>
      </c>
      <c r="Y115" t="s">
        <v>60</v>
      </c>
      <c r="Z115" t="s">
        <v>60</v>
      </c>
      <c r="AA115">
        <v>1</v>
      </c>
      <c r="AB115">
        <v>6</v>
      </c>
      <c r="AC115">
        <v>2</v>
      </c>
      <c r="AD115">
        <v>3</v>
      </c>
      <c r="AE115">
        <v>5</v>
      </c>
      <c r="AF115">
        <v>3</v>
      </c>
      <c r="AG115">
        <v>1</v>
      </c>
      <c r="AH115">
        <v>2</v>
      </c>
      <c r="AI115" t="str">
        <f t="shared" si="4"/>
        <v>3-5 Years</v>
      </c>
      <c r="AJ115" t="str">
        <f t="shared" si="5"/>
        <v>0-2</v>
      </c>
    </row>
    <row r="116" spans="1:36" x14ac:dyDescent="0.35">
      <c r="A116">
        <v>115</v>
      </c>
      <c r="B116">
        <v>34</v>
      </c>
      <c r="C116" t="str">
        <f t="shared" si="6"/>
        <v>26-35</v>
      </c>
      <c r="D116" t="s">
        <v>38</v>
      </c>
      <c r="E116" t="s">
        <v>32</v>
      </c>
      <c r="F116" s="3">
        <v>1389</v>
      </c>
      <c r="G116" t="s">
        <v>40</v>
      </c>
      <c r="H116" s="1">
        <v>6</v>
      </c>
      <c r="I116" t="s">
        <v>60</v>
      </c>
      <c r="J116" t="s">
        <v>34</v>
      </c>
      <c r="K116" t="s">
        <v>60</v>
      </c>
      <c r="L116" t="s">
        <v>35</v>
      </c>
      <c r="M116" s="3">
        <v>45</v>
      </c>
      <c r="N116" t="s">
        <v>61</v>
      </c>
      <c r="O116" t="s">
        <v>61</v>
      </c>
      <c r="P116" t="s">
        <v>42</v>
      </c>
      <c r="Q116" t="s">
        <v>61</v>
      </c>
      <c r="R116" t="s">
        <v>47</v>
      </c>
      <c r="S116" s="3">
        <v>4505</v>
      </c>
      <c r="T116" s="3">
        <v>15000</v>
      </c>
      <c r="U116" s="3" t="str">
        <f t="shared" si="7"/>
        <v>Low</v>
      </c>
      <c r="V116">
        <v>6</v>
      </c>
      <c r="W116" t="s">
        <v>38</v>
      </c>
      <c r="X116" s="2">
        <v>15</v>
      </c>
      <c r="Y116" t="s">
        <v>60</v>
      </c>
      <c r="Z116" t="s">
        <v>60</v>
      </c>
      <c r="AA116">
        <v>1</v>
      </c>
      <c r="AB116">
        <v>12</v>
      </c>
      <c r="AC116">
        <v>3</v>
      </c>
      <c r="AD116">
        <v>3</v>
      </c>
      <c r="AE116">
        <v>1</v>
      </c>
      <c r="AF116">
        <v>0</v>
      </c>
      <c r="AG116">
        <v>0</v>
      </c>
      <c r="AH116">
        <v>0</v>
      </c>
      <c r="AI116" t="str">
        <f t="shared" si="4"/>
        <v>0-2 Years</v>
      </c>
      <c r="AJ116" t="str">
        <f t="shared" si="5"/>
        <v>0-2</v>
      </c>
    </row>
    <row r="117" spans="1:36" x14ac:dyDescent="0.35">
      <c r="A117">
        <v>116</v>
      </c>
      <c r="B117">
        <v>37</v>
      </c>
      <c r="C117" t="str">
        <f t="shared" si="6"/>
        <v>36-45</v>
      </c>
      <c r="D117" t="s">
        <v>38</v>
      </c>
      <c r="E117" t="s">
        <v>32</v>
      </c>
      <c r="F117" s="3">
        <v>1389</v>
      </c>
      <c r="G117" t="s">
        <v>33</v>
      </c>
      <c r="H117" s="1">
        <v>3</v>
      </c>
      <c r="I117" t="s">
        <v>61</v>
      </c>
      <c r="J117" t="s">
        <v>34</v>
      </c>
      <c r="K117" t="s">
        <v>60</v>
      </c>
      <c r="L117" t="s">
        <v>41</v>
      </c>
      <c r="M117" s="3">
        <v>87</v>
      </c>
      <c r="N117" t="s">
        <v>60</v>
      </c>
      <c r="O117" t="s">
        <v>60</v>
      </c>
      <c r="P117" t="s">
        <v>36</v>
      </c>
      <c r="Q117" t="s">
        <v>62</v>
      </c>
      <c r="R117" t="s">
        <v>37</v>
      </c>
      <c r="S117" s="3">
        <v>7428</v>
      </c>
      <c r="T117" s="3">
        <v>14506</v>
      </c>
      <c r="U117" s="3" t="str">
        <f t="shared" si="7"/>
        <v>Medium</v>
      </c>
      <c r="V117">
        <v>2</v>
      </c>
      <c r="W117" t="s">
        <v>38</v>
      </c>
      <c r="X117" s="2">
        <v>12</v>
      </c>
      <c r="Y117" t="s">
        <v>60</v>
      </c>
      <c r="Z117" t="s">
        <v>59</v>
      </c>
      <c r="AA117">
        <v>0</v>
      </c>
      <c r="AB117">
        <v>12</v>
      </c>
      <c r="AC117">
        <v>3</v>
      </c>
      <c r="AD117">
        <v>3</v>
      </c>
      <c r="AE117">
        <v>5</v>
      </c>
      <c r="AF117">
        <v>3</v>
      </c>
      <c r="AG117">
        <v>1</v>
      </c>
      <c r="AH117">
        <v>3</v>
      </c>
      <c r="AI117" t="str">
        <f t="shared" si="4"/>
        <v>3-5 Years</v>
      </c>
      <c r="AJ117" t="str">
        <f t="shared" si="5"/>
        <v>0-2</v>
      </c>
    </row>
    <row r="118" spans="1:36" x14ac:dyDescent="0.35">
      <c r="A118">
        <v>117</v>
      </c>
      <c r="B118">
        <v>34</v>
      </c>
      <c r="C118" t="str">
        <f t="shared" si="6"/>
        <v>26-35</v>
      </c>
      <c r="D118" t="s">
        <v>38</v>
      </c>
      <c r="E118" t="s">
        <v>32</v>
      </c>
      <c r="F118" s="3">
        <v>1389</v>
      </c>
      <c r="G118" t="s">
        <v>40</v>
      </c>
      <c r="H118" s="1">
        <v>5</v>
      </c>
      <c r="I118" t="s">
        <v>61</v>
      </c>
      <c r="J118" t="s">
        <v>46</v>
      </c>
      <c r="K118" t="s">
        <v>60</v>
      </c>
      <c r="L118" t="s">
        <v>35</v>
      </c>
      <c r="M118" s="3">
        <v>45</v>
      </c>
      <c r="N118" t="s">
        <v>61</v>
      </c>
      <c r="O118" t="s">
        <v>60</v>
      </c>
      <c r="P118" t="s">
        <v>51</v>
      </c>
      <c r="Q118" t="s">
        <v>59</v>
      </c>
      <c r="R118" t="s">
        <v>37</v>
      </c>
      <c r="S118" s="3">
        <v>11631</v>
      </c>
      <c r="T118" s="3">
        <v>5615</v>
      </c>
      <c r="U118" s="3" t="str">
        <f t="shared" si="7"/>
        <v>High</v>
      </c>
      <c r="V118">
        <v>2</v>
      </c>
      <c r="W118" t="s">
        <v>38</v>
      </c>
      <c r="X118" s="2">
        <v>12</v>
      </c>
      <c r="Y118" t="s">
        <v>60</v>
      </c>
      <c r="Z118" t="s">
        <v>62</v>
      </c>
      <c r="AA118">
        <v>0</v>
      </c>
      <c r="AB118">
        <v>14</v>
      </c>
      <c r="AC118">
        <v>6</v>
      </c>
      <c r="AD118">
        <v>3</v>
      </c>
      <c r="AE118">
        <v>11</v>
      </c>
      <c r="AF118">
        <v>10</v>
      </c>
      <c r="AG118">
        <v>5</v>
      </c>
      <c r="AH118">
        <v>8</v>
      </c>
      <c r="AI118" t="str">
        <f t="shared" si="4"/>
        <v>10+ Years</v>
      </c>
      <c r="AJ118" t="str">
        <f t="shared" si="5"/>
        <v>3-5</v>
      </c>
    </row>
    <row r="119" spans="1:36" x14ac:dyDescent="0.35">
      <c r="A119">
        <v>118</v>
      </c>
      <c r="B119">
        <v>36</v>
      </c>
      <c r="C119" t="str">
        <f t="shared" si="6"/>
        <v>36-45</v>
      </c>
      <c r="D119" t="s">
        <v>38</v>
      </c>
      <c r="E119" t="s">
        <v>39</v>
      </c>
      <c r="F119" s="3">
        <v>1389</v>
      </c>
      <c r="G119" t="s">
        <v>33</v>
      </c>
      <c r="H119" s="1">
        <v>11</v>
      </c>
      <c r="I119" t="s">
        <v>58</v>
      </c>
      <c r="J119" t="s">
        <v>55</v>
      </c>
      <c r="K119" t="s">
        <v>61</v>
      </c>
      <c r="L119" t="s">
        <v>35</v>
      </c>
      <c r="M119" s="3">
        <v>92</v>
      </c>
      <c r="N119" t="s">
        <v>60</v>
      </c>
      <c r="O119" t="s">
        <v>60</v>
      </c>
      <c r="P119" t="s">
        <v>36</v>
      </c>
      <c r="Q119" t="s">
        <v>62</v>
      </c>
      <c r="R119" t="s">
        <v>43</v>
      </c>
      <c r="S119" s="3">
        <v>9738</v>
      </c>
      <c r="T119" s="3">
        <v>22952</v>
      </c>
      <c r="U119" s="3" t="str">
        <f t="shared" si="7"/>
        <v>Medium</v>
      </c>
      <c r="V119">
        <v>0</v>
      </c>
      <c r="W119" t="s">
        <v>38</v>
      </c>
      <c r="X119" s="2">
        <v>14</v>
      </c>
      <c r="Y119" t="s">
        <v>60</v>
      </c>
      <c r="Z119" t="s">
        <v>60</v>
      </c>
      <c r="AA119">
        <v>1</v>
      </c>
      <c r="AB119">
        <v>10</v>
      </c>
      <c r="AC119">
        <v>6</v>
      </c>
      <c r="AD119">
        <v>3</v>
      </c>
      <c r="AE119">
        <v>9</v>
      </c>
      <c r="AF119">
        <v>7</v>
      </c>
      <c r="AG119">
        <v>2</v>
      </c>
      <c r="AH119">
        <v>8</v>
      </c>
      <c r="AI119" t="str">
        <f t="shared" si="4"/>
        <v>6-10 Years</v>
      </c>
      <c r="AJ119" t="str">
        <f t="shared" si="5"/>
        <v>0-2</v>
      </c>
    </row>
    <row r="120" spans="1:36" x14ac:dyDescent="0.35">
      <c r="A120">
        <v>119</v>
      </c>
      <c r="B120">
        <v>36</v>
      </c>
      <c r="C120" t="str">
        <f t="shared" si="6"/>
        <v>36-45</v>
      </c>
      <c r="D120" t="s">
        <v>38</v>
      </c>
      <c r="E120" t="s">
        <v>32</v>
      </c>
      <c r="F120" s="3">
        <v>1389</v>
      </c>
      <c r="G120" t="s">
        <v>40</v>
      </c>
      <c r="H120" s="1">
        <v>3</v>
      </c>
      <c r="I120" t="s">
        <v>58</v>
      </c>
      <c r="J120" t="s">
        <v>34</v>
      </c>
      <c r="K120" t="s">
        <v>59</v>
      </c>
      <c r="L120" t="s">
        <v>35</v>
      </c>
      <c r="M120" s="3">
        <v>39</v>
      </c>
      <c r="N120" t="s">
        <v>60</v>
      </c>
      <c r="O120" t="s">
        <v>59</v>
      </c>
      <c r="P120" t="s">
        <v>45</v>
      </c>
      <c r="Q120" t="s">
        <v>62</v>
      </c>
      <c r="R120" t="s">
        <v>47</v>
      </c>
      <c r="S120" s="3">
        <v>2835</v>
      </c>
      <c r="T120" s="3">
        <v>2561</v>
      </c>
      <c r="U120" s="3" t="str">
        <f t="shared" si="7"/>
        <v>Low</v>
      </c>
      <c r="V120">
        <v>5</v>
      </c>
      <c r="W120" t="s">
        <v>38</v>
      </c>
      <c r="X120" s="2">
        <v>22</v>
      </c>
      <c r="Y120" t="s">
        <v>62</v>
      </c>
      <c r="Z120" t="s">
        <v>59</v>
      </c>
      <c r="AA120">
        <v>1</v>
      </c>
      <c r="AB120">
        <v>7</v>
      </c>
      <c r="AC120">
        <v>2</v>
      </c>
      <c r="AD120">
        <v>3</v>
      </c>
      <c r="AE120">
        <v>1</v>
      </c>
      <c r="AF120">
        <v>0</v>
      </c>
      <c r="AG120">
        <v>0</v>
      </c>
      <c r="AH120">
        <v>0</v>
      </c>
      <c r="AI120" t="str">
        <f t="shared" si="4"/>
        <v>0-2 Years</v>
      </c>
      <c r="AJ120" t="str">
        <f t="shared" si="5"/>
        <v>0-2</v>
      </c>
    </row>
    <row r="121" spans="1:36" x14ac:dyDescent="0.35">
      <c r="A121">
        <v>120</v>
      </c>
      <c r="B121">
        <v>43</v>
      </c>
      <c r="C121" t="str">
        <f t="shared" si="6"/>
        <v>36-45</v>
      </c>
      <c r="D121" t="s">
        <v>38</v>
      </c>
      <c r="E121" t="s">
        <v>39</v>
      </c>
      <c r="F121" s="3">
        <v>1389</v>
      </c>
      <c r="G121" t="s">
        <v>33</v>
      </c>
      <c r="H121" s="1">
        <v>26</v>
      </c>
      <c r="I121" t="s">
        <v>58</v>
      </c>
      <c r="J121" t="s">
        <v>34</v>
      </c>
      <c r="K121" t="s">
        <v>60</v>
      </c>
      <c r="L121" t="s">
        <v>41</v>
      </c>
      <c r="M121" s="3">
        <v>92</v>
      </c>
      <c r="N121" t="s">
        <v>60</v>
      </c>
      <c r="O121" t="s">
        <v>62</v>
      </c>
      <c r="P121" t="s">
        <v>51</v>
      </c>
      <c r="Q121" t="s">
        <v>62</v>
      </c>
      <c r="R121" t="s">
        <v>43</v>
      </c>
      <c r="S121" s="3">
        <v>16959</v>
      </c>
      <c r="T121" s="3">
        <v>19494</v>
      </c>
      <c r="U121" s="3" t="str">
        <f t="shared" si="7"/>
        <v>High</v>
      </c>
      <c r="V121">
        <v>1</v>
      </c>
      <c r="W121" t="s">
        <v>31</v>
      </c>
      <c r="X121" s="2">
        <v>12</v>
      </c>
      <c r="Y121" t="s">
        <v>60</v>
      </c>
      <c r="Z121" t="s">
        <v>62</v>
      </c>
      <c r="AA121">
        <v>2</v>
      </c>
      <c r="AB121">
        <v>25</v>
      </c>
      <c r="AC121">
        <v>3</v>
      </c>
      <c r="AD121">
        <v>4</v>
      </c>
      <c r="AE121">
        <v>25</v>
      </c>
      <c r="AF121">
        <v>12</v>
      </c>
      <c r="AG121">
        <v>4</v>
      </c>
      <c r="AH121">
        <v>12</v>
      </c>
      <c r="AI121" t="str">
        <f t="shared" si="4"/>
        <v>10+ Years</v>
      </c>
      <c r="AJ121" t="str">
        <f t="shared" si="5"/>
        <v>3-5</v>
      </c>
    </row>
    <row r="122" spans="1:36" x14ac:dyDescent="0.35">
      <c r="A122">
        <v>121</v>
      </c>
      <c r="B122">
        <v>30</v>
      </c>
      <c r="C122" t="str">
        <f t="shared" si="6"/>
        <v>26-35</v>
      </c>
      <c r="D122" t="s">
        <v>38</v>
      </c>
      <c r="E122" t="s">
        <v>39</v>
      </c>
      <c r="F122" s="3">
        <v>1389</v>
      </c>
      <c r="G122" t="s">
        <v>40</v>
      </c>
      <c r="H122" s="1">
        <v>23</v>
      </c>
      <c r="I122" t="s">
        <v>61</v>
      </c>
      <c r="J122" t="s">
        <v>34</v>
      </c>
      <c r="K122" t="s">
        <v>59</v>
      </c>
      <c r="L122" t="s">
        <v>41</v>
      </c>
      <c r="M122" s="3">
        <v>96</v>
      </c>
      <c r="N122" t="s">
        <v>59</v>
      </c>
      <c r="O122" t="s">
        <v>59</v>
      </c>
      <c r="P122" t="s">
        <v>42</v>
      </c>
      <c r="Q122" t="s">
        <v>60</v>
      </c>
      <c r="R122" t="s">
        <v>47</v>
      </c>
      <c r="S122" s="3">
        <v>2613</v>
      </c>
      <c r="T122" s="3">
        <v>22310</v>
      </c>
      <c r="U122" s="3" t="str">
        <f t="shared" si="7"/>
        <v>Low</v>
      </c>
      <c r="V122">
        <v>1</v>
      </c>
      <c r="W122" t="s">
        <v>38</v>
      </c>
      <c r="X122" s="2">
        <v>25</v>
      </c>
      <c r="Y122" t="s">
        <v>62</v>
      </c>
      <c r="Z122" t="s">
        <v>60</v>
      </c>
      <c r="AA122">
        <v>3</v>
      </c>
      <c r="AB122">
        <v>10</v>
      </c>
      <c r="AC122">
        <v>2</v>
      </c>
      <c r="AD122">
        <v>2</v>
      </c>
      <c r="AE122">
        <v>10</v>
      </c>
      <c r="AF122">
        <v>7</v>
      </c>
      <c r="AG122">
        <v>0</v>
      </c>
      <c r="AH122">
        <v>9</v>
      </c>
      <c r="AI122" t="str">
        <f t="shared" si="4"/>
        <v>6-10 Years</v>
      </c>
      <c r="AJ122" t="str">
        <f t="shared" si="5"/>
        <v>0-2</v>
      </c>
    </row>
    <row r="123" spans="1:36" x14ac:dyDescent="0.35">
      <c r="A123">
        <v>122</v>
      </c>
      <c r="B123">
        <v>33</v>
      </c>
      <c r="C123" t="str">
        <f t="shared" si="6"/>
        <v>26-35</v>
      </c>
      <c r="D123" t="s">
        <v>38</v>
      </c>
      <c r="E123" t="s">
        <v>50</v>
      </c>
      <c r="F123" s="3">
        <v>1389</v>
      </c>
      <c r="G123" t="s">
        <v>33</v>
      </c>
      <c r="H123" s="1">
        <v>22</v>
      </c>
      <c r="I123" t="s">
        <v>58</v>
      </c>
      <c r="J123" t="s">
        <v>54</v>
      </c>
      <c r="K123" t="s">
        <v>60</v>
      </c>
      <c r="L123" t="s">
        <v>41</v>
      </c>
      <c r="M123" s="3">
        <v>95</v>
      </c>
      <c r="N123" t="s">
        <v>60</v>
      </c>
      <c r="O123" t="s">
        <v>61</v>
      </c>
      <c r="P123" t="s">
        <v>36</v>
      </c>
      <c r="Q123" t="s">
        <v>61</v>
      </c>
      <c r="R123" t="s">
        <v>43</v>
      </c>
      <c r="S123" s="3">
        <v>6146</v>
      </c>
      <c r="T123" s="3">
        <v>15480</v>
      </c>
      <c r="U123" s="3" t="str">
        <f t="shared" si="7"/>
        <v>Medium</v>
      </c>
      <c r="V123">
        <v>0</v>
      </c>
      <c r="W123" t="s">
        <v>38</v>
      </c>
      <c r="X123" s="2">
        <v>13</v>
      </c>
      <c r="Y123" t="s">
        <v>60</v>
      </c>
      <c r="Z123" t="s">
        <v>59</v>
      </c>
      <c r="AA123">
        <v>1</v>
      </c>
      <c r="AB123">
        <v>8</v>
      </c>
      <c r="AC123">
        <v>2</v>
      </c>
      <c r="AD123">
        <v>4</v>
      </c>
      <c r="AE123">
        <v>7</v>
      </c>
      <c r="AF123">
        <v>7</v>
      </c>
      <c r="AG123">
        <v>0</v>
      </c>
      <c r="AH123">
        <v>7</v>
      </c>
      <c r="AI123" t="str">
        <f t="shared" si="4"/>
        <v>6-10 Years</v>
      </c>
      <c r="AJ123" t="str">
        <f t="shared" si="5"/>
        <v>0-2</v>
      </c>
    </row>
    <row r="124" spans="1:36" x14ac:dyDescent="0.35">
      <c r="A124">
        <v>123</v>
      </c>
      <c r="B124">
        <v>56</v>
      </c>
      <c r="C124" t="str">
        <f t="shared" si="6"/>
        <v>55+</v>
      </c>
      <c r="D124" t="s">
        <v>31</v>
      </c>
      <c r="E124" t="s">
        <v>32</v>
      </c>
      <c r="F124" s="3">
        <v>1389</v>
      </c>
      <c r="G124" t="s">
        <v>40</v>
      </c>
      <c r="H124" s="1">
        <v>14</v>
      </c>
      <c r="I124" t="s">
        <v>60</v>
      </c>
      <c r="J124" t="s">
        <v>34</v>
      </c>
      <c r="K124" t="s">
        <v>61</v>
      </c>
      <c r="L124" t="s">
        <v>35</v>
      </c>
      <c r="M124" s="3">
        <v>72</v>
      </c>
      <c r="N124" t="s">
        <v>60</v>
      </c>
      <c r="O124" t="s">
        <v>59</v>
      </c>
      <c r="P124" t="s">
        <v>42</v>
      </c>
      <c r="Q124" t="s">
        <v>61</v>
      </c>
      <c r="R124" t="s">
        <v>43</v>
      </c>
      <c r="S124" s="3">
        <v>4963</v>
      </c>
      <c r="T124" s="3">
        <v>4510</v>
      </c>
      <c r="U124" s="3" t="str">
        <f t="shared" si="7"/>
        <v>Low</v>
      </c>
      <c r="V124">
        <v>9</v>
      </c>
      <c r="W124" t="s">
        <v>31</v>
      </c>
      <c r="X124" s="2">
        <v>18</v>
      </c>
      <c r="Y124" t="s">
        <v>60</v>
      </c>
      <c r="Z124" t="s">
        <v>59</v>
      </c>
      <c r="AA124">
        <v>3</v>
      </c>
      <c r="AB124">
        <v>7</v>
      </c>
      <c r="AC124">
        <v>2</v>
      </c>
      <c r="AD124">
        <v>3</v>
      </c>
      <c r="AE124">
        <v>5</v>
      </c>
      <c r="AF124">
        <v>4</v>
      </c>
      <c r="AG124">
        <v>4</v>
      </c>
      <c r="AH124">
        <v>3</v>
      </c>
      <c r="AI124" t="str">
        <f t="shared" si="4"/>
        <v>3-5 Years</v>
      </c>
      <c r="AJ124" t="str">
        <f t="shared" si="5"/>
        <v>3-5</v>
      </c>
    </row>
    <row r="125" spans="1:36" x14ac:dyDescent="0.35">
      <c r="A125">
        <v>124</v>
      </c>
      <c r="B125">
        <v>51</v>
      </c>
      <c r="C125" t="str">
        <f t="shared" si="6"/>
        <v>46-55</v>
      </c>
      <c r="D125" t="s">
        <v>38</v>
      </c>
      <c r="E125" t="s">
        <v>32</v>
      </c>
      <c r="F125" s="3">
        <v>1389</v>
      </c>
      <c r="G125" t="s">
        <v>40</v>
      </c>
      <c r="H125" s="1">
        <v>6</v>
      </c>
      <c r="I125" t="s">
        <v>61</v>
      </c>
      <c r="J125" t="s">
        <v>34</v>
      </c>
      <c r="K125" t="s">
        <v>59</v>
      </c>
      <c r="L125" t="s">
        <v>41</v>
      </c>
      <c r="M125" s="3">
        <v>51</v>
      </c>
      <c r="N125" t="s">
        <v>60</v>
      </c>
      <c r="O125" t="e">
        <v>#N/A</v>
      </c>
      <c r="P125" t="s">
        <v>53</v>
      </c>
      <c r="Q125" t="s">
        <v>60</v>
      </c>
      <c r="R125" t="s">
        <v>37</v>
      </c>
      <c r="S125" s="3">
        <v>19537</v>
      </c>
      <c r="T125" s="3">
        <v>6462</v>
      </c>
      <c r="U125" s="3" t="str">
        <f t="shared" si="7"/>
        <v>High</v>
      </c>
      <c r="V125">
        <v>7</v>
      </c>
      <c r="W125" t="s">
        <v>38</v>
      </c>
      <c r="X125" s="2">
        <v>13</v>
      </c>
      <c r="Y125" t="s">
        <v>60</v>
      </c>
      <c r="Z125" t="s">
        <v>60</v>
      </c>
      <c r="AA125">
        <v>0</v>
      </c>
      <c r="AB125">
        <v>23</v>
      </c>
      <c r="AC125">
        <v>5</v>
      </c>
      <c r="AD125">
        <v>3</v>
      </c>
      <c r="AE125">
        <v>20</v>
      </c>
      <c r="AF125">
        <v>18</v>
      </c>
      <c r="AG125">
        <v>15</v>
      </c>
      <c r="AH125">
        <v>15</v>
      </c>
      <c r="AI125" t="str">
        <f t="shared" si="4"/>
        <v>10+ Years</v>
      </c>
      <c r="AJ125" t="str">
        <f t="shared" si="5"/>
        <v>6+</v>
      </c>
    </row>
    <row r="126" spans="1:36" x14ac:dyDescent="0.35">
      <c r="A126">
        <v>125</v>
      </c>
      <c r="B126">
        <v>31</v>
      </c>
      <c r="C126" t="str">
        <f t="shared" si="6"/>
        <v>26-35</v>
      </c>
      <c r="D126" t="s">
        <v>31</v>
      </c>
      <c r="E126" t="s">
        <v>32</v>
      </c>
      <c r="F126" s="3">
        <v>1389</v>
      </c>
      <c r="G126" t="s">
        <v>33</v>
      </c>
      <c r="H126" s="1">
        <v>6</v>
      </c>
      <c r="I126" t="s">
        <v>60</v>
      </c>
      <c r="J126" t="s">
        <v>34</v>
      </c>
      <c r="K126" t="s">
        <v>61</v>
      </c>
      <c r="L126" t="s">
        <v>41</v>
      </c>
      <c r="M126" s="3">
        <v>76</v>
      </c>
      <c r="N126" t="s">
        <v>59</v>
      </c>
      <c r="O126" t="s">
        <v>61</v>
      </c>
      <c r="P126" t="s">
        <v>36</v>
      </c>
      <c r="Q126" t="s">
        <v>60</v>
      </c>
      <c r="R126" t="s">
        <v>43</v>
      </c>
      <c r="S126" s="3">
        <v>6172</v>
      </c>
      <c r="T126" s="3">
        <v>20739</v>
      </c>
      <c r="U126" s="3" t="str">
        <f t="shared" si="7"/>
        <v>Medium</v>
      </c>
      <c r="V126">
        <v>4</v>
      </c>
      <c r="W126" t="s">
        <v>31</v>
      </c>
      <c r="X126" s="2">
        <v>18</v>
      </c>
      <c r="Y126" t="s">
        <v>60</v>
      </c>
      <c r="Z126" t="s">
        <v>61</v>
      </c>
      <c r="AA126">
        <v>0</v>
      </c>
      <c r="AB126">
        <v>12</v>
      </c>
      <c r="AC126">
        <v>3</v>
      </c>
      <c r="AD126">
        <v>2</v>
      </c>
      <c r="AE126">
        <v>7</v>
      </c>
      <c r="AF126">
        <v>7</v>
      </c>
      <c r="AG126">
        <v>7</v>
      </c>
      <c r="AH126">
        <v>7</v>
      </c>
      <c r="AI126" t="str">
        <f t="shared" si="4"/>
        <v>6-10 Years</v>
      </c>
      <c r="AJ126" t="str">
        <f t="shared" si="5"/>
        <v>6+</v>
      </c>
    </row>
    <row r="127" spans="1:36" x14ac:dyDescent="0.35">
      <c r="A127">
        <v>126</v>
      </c>
      <c r="B127">
        <v>26</v>
      </c>
      <c r="C127" t="str">
        <f t="shared" si="6"/>
        <v>26-35</v>
      </c>
      <c r="D127" t="s">
        <v>38</v>
      </c>
      <c r="E127" t="s">
        <v>32</v>
      </c>
      <c r="F127" s="3">
        <v>1389</v>
      </c>
      <c r="G127" t="s">
        <v>40</v>
      </c>
      <c r="H127" s="1">
        <v>6</v>
      </c>
      <c r="I127" t="s">
        <v>61</v>
      </c>
      <c r="J127" t="s">
        <v>44</v>
      </c>
      <c r="K127" t="s">
        <v>60</v>
      </c>
      <c r="L127" t="s">
        <v>35</v>
      </c>
      <c r="M127" s="3">
        <v>46</v>
      </c>
      <c r="N127" t="s">
        <v>61</v>
      </c>
      <c r="O127" t="s">
        <v>59</v>
      </c>
      <c r="P127" t="s">
        <v>42</v>
      </c>
      <c r="Q127" t="s">
        <v>61</v>
      </c>
      <c r="R127" t="s">
        <v>43</v>
      </c>
      <c r="S127" s="3">
        <v>2368</v>
      </c>
      <c r="T127" s="3">
        <v>23300</v>
      </c>
      <c r="U127" s="3" t="str">
        <f t="shared" si="7"/>
        <v>Low</v>
      </c>
      <c r="V127">
        <v>1</v>
      </c>
      <c r="W127" t="s">
        <v>38</v>
      </c>
      <c r="X127" s="2">
        <v>19</v>
      </c>
      <c r="Y127" t="s">
        <v>60</v>
      </c>
      <c r="Z127" t="s">
        <v>60</v>
      </c>
      <c r="AA127">
        <v>0</v>
      </c>
      <c r="AB127">
        <v>5</v>
      </c>
      <c r="AC127">
        <v>3</v>
      </c>
      <c r="AD127">
        <v>2</v>
      </c>
      <c r="AE127">
        <v>5</v>
      </c>
      <c r="AF127">
        <v>4</v>
      </c>
      <c r="AG127">
        <v>4</v>
      </c>
      <c r="AH127">
        <v>3</v>
      </c>
      <c r="AI127" t="str">
        <f t="shared" si="4"/>
        <v>3-5 Years</v>
      </c>
      <c r="AJ127" t="str">
        <f t="shared" si="5"/>
        <v>3-5</v>
      </c>
    </row>
    <row r="128" spans="1:36" x14ac:dyDescent="0.35">
      <c r="A128">
        <v>127</v>
      </c>
      <c r="B128">
        <v>58</v>
      </c>
      <c r="C128" t="str">
        <f t="shared" si="6"/>
        <v>55+</v>
      </c>
      <c r="D128" t="s">
        <v>31</v>
      </c>
      <c r="E128" t="s">
        <v>32</v>
      </c>
      <c r="F128" s="3">
        <v>1389</v>
      </c>
      <c r="G128" t="s">
        <v>40</v>
      </c>
      <c r="H128" s="1">
        <v>23</v>
      </c>
      <c r="I128" t="s">
        <v>60</v>
      </c>
      <c r="J128" t="s">
        <v>46</v>
      </c>
      <c r="K128" t="s">
        <v>62</v>
      </c>
      <c r="L128" t="s">
        <v>35</v>
      </c>
      <c r="M128" s="3">
        <v>94</v>
      </c>
      <c r="N128" t="s">
        <v>60</v>
      </c>
      <c r="O128" t="s">
        <v>60</v>
      </c>
      <c r="P128" t="s">
        <v>49</v>
      </c>
      <c r="Q128" t="s">
        <v>62</v>
      </c>
      <c r="R128" t="s">
        <v>43</v>
      </c>
      <c r="S128" s="3">
        <v>10312</v>
      </c>
      <c r="T128" s="3">
        <v>3465</v>
      </c>
      <c r="U128" s="3" t="str">
        <f t="shared" si="7"/>
        <v>High</v>
      </c>
      <c r="V128">
        <v>1</v>
      </c>
      <c r="W128" t="s">
        <v>38</v>
      </c>
      <c r="X128" s="2">
        <v>12</v>
      </c>
      <c r="Y128" t="s">
        <v>60</v>
      </c>
      <c r="Z128" t="s">
        <v>62</v>
      </c>
      <c r="AA128">
        <v>1</v>
      </c>
      <c r="AB128">
        <v>40</v>
      </c>
      <c r="AC128">
        <v>3</v>
      </c>
      <c r="AD128">
        <v>2</v>
      </c>
      <c r="AE128">
        <v>40</v>
      </c>
      <c r="AF128">
        <v>10</v>
      </c>
      <c r="AG128">
        <v>15</v>
      </c>
      <c r="AH128">
        <v>6</v>
      </c>
      <c r="AI128" t="str">
        <f t="shared" si="4"/>
        <v>10+ Years</v>
      </c>
      <c r="AJ128" t="str">
        <f t="shared" si="5"/>
        <v>6+</v>
      </c>
    </row>
    <row r="129" spans="1:36" x14ac:dyDescent="0.35">
      <c r="A129">
        <v>128</v>
      </c>
      <c r="B129">
        <v>19</v>
      </c>
      <c r="C129" t="str">
        <f t="shared" si="6"/>
        <v>18-25</v>
      </c>
      <c r="D129" t="s">
        <v>31</v>
      </c>
      <c r="E129" t="s">
        <v>32</v>
      </c>
      <c r="F129" s="3">
        <v>1389</v>
      </c>
      <c r="G129" t="s">
        <v>33</v>
      </c>
      <c r="H129" s="1">
        <v>22</v>
      </c>
      <c r="I129" t="s">
        <v>59</v>
      </c>
      <c r="J129" t="s">
        <v>54</v>
      </c>
      <c r="K129" t="s">
        <v>62</v>
      </c>
      <c r="L129" t="s">
        <v>41</v>
      </c>
      <c r="M129" s="3">
        <v>50</v>
      </c>
      <c r="N129" t="s">
        <v>60</v>
      </c>
      <c r="O129" t="s">
        <v>59</v>
      </c>
      <c r="P129" t="s">
        <v>52</v>
      </c>
      <c r="Q129" t="s">
        <v>60</v>
      </c>
      <c r="R129" t="s">
        <v>37</v>
      </c>
      <c r="S129" s="3">
        <v>1675</v>
      </c>
      <c r="T129" s="3">
        <v>26820</v>
      </c>
      <c r="U129" s="3" t="str">
        <f t="shared" si="7"/>
        <v>Low</v>
      </c>
      <c r="V129">
        <v>1</v>
      </c>
      <c r="W129" t="s">
        <v>31</v>
      </c>
      <c r="X129" s="2">
        <v>19</v>
      </c>
      <c r="Y129" t="s">
        <v>60</v>
      </c>
      <c r="Z129" t="s">
        <v>62</v>
      </c>
      <c r="AA129">
        <v>0</v>
      </c>
      <c r="AB129">
        <v>0</v>
      </c>
      <c r="AC129">
        <v>2</v>
      </c>
      <c r="AD129">
        <v>2</v>
      </c>
      <c r="AE129">
        <v>0</v>
      </c>
      <c r="AF129">
        <v>0</v>
      </c>
      <c r="AG129">
        <v>0</v>
      </c>
      <c r="AH129">
        <v>0</v>
      </c>
      <c r="AI129" t="str">
        <f t="shared" si="4"/>
        <v>0-2 Years</v>
      </c>
      <c r="AJ129" t="str">
        <f t="shared" si="5"/>
        <v>0-2</v>
      </c>
    </row>
    <row r="130" spans="1:36" x14ac:dyDescent="0.35">
      <c r="A130">
        <v>129</v>
      </c>
      <c r="B130">
        <v>22</v>
      </c>
      <c r="C130" t="str">
        <f t="shared" si="6"/>
        <v>18-25</v>
      </c>
      <c r="D130" t="s">
        <v>38</v>
      </c>
      <c r="E130" t="s">
        <v>32</v>
      </c>
      <c r="F130" s="3">
        <v>1389</v>
      </c>
      <c r="G130" t="s">
        <v>40</v>
      </c>
      <c r="H130" s="1">
        <v>2</v>
      </c>
      <c r="I130" t="s">
        <v>59</v>
      </c>
      <c r="J130" t="s">
        <v>55</v>
      </c>
      <c r="K130" t="s">
        <v>60</v>
      </c>
      <c r="L130" t="s">
        <v>41</v>
      </c>
      <c r="M130" s="3">
        <v>100</v>
      </c>
      <c r="N130" t="s">
        <v>60</v>
      </c>
      <c r="O130" t="s">
        <v>59</v>
      </c>
      <c r="P130" t="s">
        <v>45</v>
      </c>
      <c r="Q130" t="s">
        <v>62</v>
      </c>
      <c r="R130" t="s">
        <v>43</v>
      </c>
      <c r="S130" s="3">
        <v>2523</v>
      </c>
      <c r="T130" s="3">
        <v>19299</v>
      </c>
      <c r="U130" s="3" t="str">
        <f t="shared" si="7"/>
        <v>Low</v>
      </c>
      <c r="V130">
        <v>0</v>
      </c>
      <c r="W130" t="s">
        <v>38</v>
      </c>
      <c r="X130" s="2">
        <v>14</v>
      </c>
      <c r="Y130" t="s">
        <v>60</v>
      </c>
      <c r="Z130" t="s">
        <v>60</v>
      </c>
      <c r="AA130">
        <v>1</v>
      </c>
      <c r="AB130">
        <v>3</v>
      </c>
      <c r="AC130">
        <v>2</v>
      </c>
      <c r="AD130">
        <v>3</v>
      </c>
      <c r="AE130">
        <v>2</v>
      </c>
      <c r="AF130">
        <v>1</v>
      </c>
      <c r="AG130">
        <v>2</v>
      </c>
      <c r="AH130">
        <v>1</v>
      </c>
      <c r="AI130" t="str">
        <f t="shared" ref="AI130:AI193" si="8">IF(AE130&lt;=2,"0-2 Years",
IF(AE130&lt;=5,"3-5 Years",
IF(AE130&lt;=10,"6-10 Years","10+ Years")))</f>
        <v>0-2 Years</v>
      </c>
      <c r="AJ130" t="str">
        <f t="shared" ref="AJ130:AJ193" si="9">IF(AG130&lt;=2,"0-2",
IF(AG130&lt;=5,"3-5","6+"))</f>
        <v>0-2</v>
      </c>
    </row>
    <row r="131" spans="1:36" x14ac:dyDescent="0.35">
      <c r="A131">
        <v>130</v>
      </c>
      <c r="B131">
        <v>49</v>
      </c>
      <c r="C131" t="str">
        <f t="shared" ref="C131:C194" si="10">IF(B131&lt;=25,"18-25",
IF(B131&lt;=35,"26-35",
IF(B131&lt;=45,"36-45",
IF(B131&lt;=55,"46-55","55+"))))</f>
        <v>46-55</v>
      </c>
      <c r="D131" t="s">
        <v>38</v>
      </c>
      <c r="E131" t="s">
        <v>32</v>
      </c>
      <c r="F131" s="3">
        <v>1389</v>
      </c>
      <c r="G131" t="s">
        <v>40</v>
      </c>
      <c r="H131" s="1">
        <v>20</v>
      </c>
      <c r="I131" t="s">
        <v>60</v>
      </c>
      <c r="J131" t="s">
        <v>46</v>
      </c>
      <c r="K131" t="s">
        <v>60</v>
      </c>
      <c r="L131" t="s">
        <v>35</v>
      </c>
      <c r="M131" s="3">
        <v>96</v>
      </c>
      <c r="N131" t="s">
        <v>60</v>
      </c>
      <c r="O131" t="s">
        <v>61</v>
      </c>
      <c r="P131" t="s">
        <v>48</v>
      </c>
      <c r="Q131" t="s">
        <v>59</v>
      </c>
      <c r="R131" t="s">
        <v>43</v>
      </c>
      <c r="S131" s="3">
        <v>6567</v>
      </c>
      <c r="T131" s="3">
        <v>5549</v>
      </c>
      <c r="U131" s="3" t="str">
        <f t="shared" ref="U131:U194" si="11">_xlfn.IFS(S131&lt;5000,"Low",S131&lt;10000,"Medium",S131&gt;10000,"High")</f>
        <v>Medium</v>
      </c>
      <c r="V131">
        <v>1</v>
      </c>
      <c r="W131" t="s">
        <v>38</v>
      </c>
      <c r="X131" s="2">
        <v>14</v>
      </c>
      <c r="Y131" t="s">
        <v>60</v>
      </c>
      <c r="Z131" t="s">
        <v>60</v>
      </c>
      <c r="AA131">
        <v>0</v>
      </c>
      <c r="AB131">
        <v>16</v>
      </c>
      <c r="AC131">
        <v>2</v>
      </c>
      <c r="AD131">
        <v>2</v>
      </c>
      <c r="AE131">
        <v>15</v>
      </c>
      <c r="AF131">
        <v>11</v>
      </c>
      <c r="AG131">
        <v>5</v>
      </c>
      <c r="AH131">
        <v>11</v>
      </c>
      <c r="AI131" t="str">
        <f t="shared" si="8"/>
        <v>10+ Years</v>
      </c>
      <c r="AJ131" t="str">
        <f t="shared" si="9"/>
        <v>3-5</v>
      </c>
    </row>
    <row r="132" spans="1:36" x14ac:dyDescent="0.35">
      <c r="A132">
        <v>131</v>
      </c>
      <c r="B132">
        <v>43</v>
      </c>
      <c r="C132" t="str">
        <f t="shared" si="10"/>
        <v>36-45</v>
      </c>
      <c r="D132" t="s">
        <v>38</v>
      </c>
      <c r="E132" t="s">
        <v>39</v>
      </c>
      <c r="F132" s="3">
        <v>1389</v>
      </c>
      <c r="G132" t="s">
        <v>40</v>
      </c>
      <c r="H132" s="1">
        <v>28</v>
      </c>
      <c r="I132" t="s">
        <v>61</v>
      </c>
      <c r="J132" t="s">
        <v>46</v>
      </c>
      <c r="K132" t="s">
        <v>61</v>
      </c>
      <c r="L132" t="s">
        <v>35</v>
      </c>
      <c r="M132" s="3">
        <v>72</v>
      </c>
      <c r="N132" t="s">
        <v>62</v>
      </c>
      <c r="O132" t="s">
        <v>59</v>
      </c>
      <c r="P132" t="s">
        <v>42</v>
      </c>
      <c r="Q132" t="s">
        <v>60</v>
      </c>
      <c r="R132" t="s">
        <v>37</v>
      </c>
      <c r="S132" s="3">
        <v>4739</v>
      </c>
      <c r="T132" s="3">
        <v>16090</v>
      </c>
      <c r="U132" s="3" t="str">
        <f t="shared" si="11"/>
        <v>Low</v>
      </c>
      <c r="V132">
        <v>4</v>
      </c>
      <c r="W132" t="s">
        <v>38</v>
      </c>
      <c r="X132" s="2">
        <v>12</v>
      </c>
      <c r="Y132" t="s">
        <v>60</v>
      </c>
      <c r="Z132" t="s">
        <v>62</v>
      </c>
      <c r="AA132">
        <v>0</v>
      </c>
      <c r="AB132">
        <v>18</v>
      </c>
      <c r="AC132">
        <v>2</v>
      </c>
      <c r="AD132">
        <v>3</v>
      </c>
      <c r="AE132">
        <v>3</v>
      </c>
      <c r="AF132">
        <v>2</v>
      </c>
      <c r="AG132">
        <v>1</v>
      </c>
      <c r="AH132">
        <v>2</v>
      </c>
      <c r="AI132" t="str">
        <f t="shared" si="8"/>
        <v>3-5 Years</v>
      </c>
      <c r="AJ132" t="str">
        <f t="shared" si="9"/>
        <v>0-2</v>
      </c>
    </row>
    <row r="133" spans="1:36" x14ac:dyDescent="0.35">
      <c r="A133">
        <v>132</v>
      </c>
      <c r="B133">
        <v>50</v>
      </c>
      <c r="C133" t="str">
        <f t="shared" si="10"/>
        <v>46-55</v>
      </c>
      <c r="D133" t="s">
        <v>38</v>
      </c>
      <c r="E133" t="s">
        <v>39</v>
      </c>
      <c r="F133" s="3">
        <v>1389</v>
      </c>
      <c r="G133" t="s">
        <v>33</v>
      </c>
      <c r="H133" s="1">
        <v>12</v>
      </c>
      <c r="I133" t="s">
        <v>61</v>
      </c>
      <c r="J133" t="s">
        <v>54</v>
      </c>
      <c r="K133" t="s">
        <v>60</v>
      </c>
      <c r="L133" t="s">
        <v>35</v>
      </c>
      <c r="M133" s="3">
        <v>77</v>
      </c>
      <c r="N133" t="s">
        <v>60</v>
      </c>
      <c r="O133" t="s">
        <v>60</v>
      </c>
      <c r="P133" t="s">
        <v>36</v>
      </c>
      <c r="Q133" t="s">
        <v>62</v>
      </c>
      <c r="R133" t="s">
        <v>37</v>
      </c>
      <c r="S133" s="3">
        <v>9208</v>
      </c>
      <c r="T133" s="3">
        <v>6645</v>
      </c>
      <c r="U133" s="3" t="str">
        <f t="shared" si="11"/>
        <v>Medium</v>
      </c>
      <c r="V133">
        <v>4</v>
      </c>
      <c r="W133" t="s">
        <v>38</v>
      </c>
      <c r="X133" s="2">
        <v>11</v>
      </c>
      <c r="Y133" t="s">
        <v>60</v>
      </c>
      <c r="Z133" t="s">
        <v>62</v>
      </c>
      <c r="AA133">
        <v>0</v>
      </c>
      <c r="AB133">
        <v>16</v>
      </c>
      <c r="AC133">
        <v>3</v>
      </c>
      <c r="AD133">
        <v>3</v>
      </c>
      <c r="AE133">
        <v>2</v>
      </c>
      <c r="AF133">
        <v>2</v>
      </c>
      <c r="AG133">
        <v>2</v>
      </c>
      <c r="AH133">
        <v>1</v>
      </c>
      <c r="AI133" t="str">
        <f t="shared" si="8"/>
        <v>0-2 Years</v>
      </c>
      <c r="AJ133" t="str">
        <f t="shared" si="9"/>
        <v>0-2</v>
      </c>
    </row>
    <row r="134" spans="1:36" x14ac:dyDescent="0.35">
      <c r="A134">
        <v>133</v>
      </c>
      <c r="B134">
        <v>31</v>
      </c>
      <c r="C134" t="str">
        <f t="shared" si="10"/>
        <v>26-35</v>
      </c>
      <c r="D134" t="s">
        <v>31</v>
      </c>
      <c r="E134" t="s">
        <v>32</v>
      </c>
      <c r="F134" s="3">
        <v>1389</v>
      </c>
      <c r="G134" t="s">
        <v>33</v>
      </c>
      <c r="H134" s="1">
        <v>20</v>
      </c>
      <c r="I134" t="s">
        <v>61</v>
      </c>
      <c r="J134" t="s">
        <v>34</v>
      </c>
      <c r="K134" t="s">
        <v>61</v>
      </c>
      <c r="L134" t="s">
        <v>35</v>
      </c>
      <c r="M134" s="3">
        <v>71</v>
      </c>
      <c r="N134" t="s">
        <v>59</v>
      </c>
      <c r="O134" t="s">
        <v>61</v>
      </c>
      <c r="P134" t="s">
        <v>36</v>
      </c>
      <c r="Q134" t="s">
        <v>60</v>
      </c>
      <c r="R134" t="s">
        <v>43</v>
      </c>
      <c r="S134" s="3">
        <v>4559</v>
      </c>
      <c r="T134" s="3">
        <v>24788</v>
      </c>
      <c r="U134" s="3" t="str">
        <f t="shared" si="11"/>
        <v>Low</v>
      </c>
      <c r="V134">
        <v>3</v>
      </c>
      <c r="W134" t="s">
        <v>31</v>
      </c>
      <c r="X134" s="2">
        <v>11</v>
      </c>
      <c r="Y134" t="s">
        <v>60</v>
      </c>
      <c r="Z134" t="s">
        <v>60</v>
      </c>
      <c r="AA134">
        <v>1</v>
      </c>
      <c r="AB134">
        <v>4</v>
      </c>
      <c r="AC134">
        <v>2</v>
      </c>
      <c r="AD134">
        <v>3</v>
      </c>
      <c r="AE134">
        <v>2</v>
      </c>
      <c r="AF134">
        <v>2</v>
      </c>
      <c r="AG134">
        <v>2</v>
      </c>
      <c r="AH134">
        <v>2</v>
      </c>
      <c r="AI134" t="str">
        <f t="shared" si="8"/>
        <v>0-2 Years</v>
      </c>
      <c r="AJ134" t="str">
        <f t="shared" si="9"/>
        <v>0-2</v>
      </c>
    </row>
    <row r="135" spans="1:36" x14ac:dyDescent="0.35">
      <c r="A135">
        <v>134</v>
      </c>
      <c r="B135">
        <v>41</v>
      </c>
      <c r="C135" t="str">
        <f t="shared" si="10"/>
        <v>36-45</v>
      </c>
      <c r="D135" t="s">
        <v>38</v>
      </c>
      <c r="E135" t="s">
        <v>32</v>
      </c>
      <c r="F135" s="3">
        <v>1389</v>
      </c>
      <c r="G135" t="s">
        <v>33</v>
      </c>
      <c r="H135" s="1">
        <v>9</v>
      </c>
      <c r="I135" t="s">
        <v>59</v>
      </c>
      <c r="J135" t="s">
        <v>34</v>
      </c>
      <c r="K135" t="s">
        <v>60</v>
      </c>
      <c r="L135" t="s">
        <v>41</v>
      </c>
      <c r="M135" s="3">
        <v>96</v>
      </c>
      <c r="N135" t="s">
        <v>60</v>
      </c>
      <c r="O135" t="s">
        <v>60</v>
      </c>
      <c r="P135" t="s">
        <v>36</v>
      </c>
      <c r="Q135" t="s">
        <v>60</v>
      </c>
      <c r="R135" t="s">
        <v>47</v>
      </c>
      <c r="S135" s="3">
        <v>8189</v>
      </c>
      <c r="T135" s="3">
        <v>21196</v>
      </c>
      <c r="U135" s="3" t="str">
        <f t="shared" si="11"/>
        <v>Medium</v>
      </c>
      <c r="V135">
        <v>3</v>
      </c>
      <c r="W135" t="s">
        <v>31</v>
      </c>
      <c r="X135" s="2">
        <v>13</v>
      </c>
      <c r="Y135" t="s">
        <v>60</v>
      </c>
      <c r="Z135" t="s">
        <v>60</v>
      </c>
      <c r="AA135">
        <v>1</v>
      </c>
      <c r="AB135">
        <v>12</v>
      </c>
      <c r="AC135">
        <v>2</v>
      </c>
      <c r="AD135">
        <v>3</v>
      </c>
      <c r="AE135">
        <v>9</v>
      </c>
      <c r="AF135">
        <v>7</v>
      </c>
      <c r="AG135">
        <v>0</v>
      </c>
      <c r="AH135">
        <v>7</v>
      </c>
      <c r="AI135" t="str">
        <f t="shared" si="8"/>
        <v>6-10 Years</v>
      </c>
      <c r="AJ135" t="str">
        <f t="shared" si="9"/>
        <v>0-2</v>
      </c>
    </row>
    <row r="136" spans="1:36" x14ac:dyDescent="0.35">
      <c r="A136">
        <v>135</v>
      </c>
      <c r="B136">
        <v>26</v>
      </c>
      <c r="C136" t="str">
        <f t="shared" si="10"/>
        <v>26-35</v>
      </c>
      <c r="D136" t="s">
        <v>38</v>
      </c>
      <c r="E136" t="s">
        <v>32</v>
      </c>
      <c r="F136" s="3">
        <v>1389</v>
      </c>
      <c r="G136" t="s">
        <v>56</v>
      </c>
      <c r="H136" s="1">
        <v>25</v>
      </c>
      <c r="I136" t="s">
        <v>59</v>
      </c>
      <c r="J136" t="s">
        <v>34</v>
      </c>
      <c r="K136" t="s">
        <v>60</v>
      </c>
      <c r="L136" t="s">
        <v>35</v>
      </c>
      <c r="M136" s="3">
        <v>61</v>
      </c>
      <c r="N136" t="s">
        <v>60</v>
      </c>
      <c r="O136" t="s">
        <v>59</v>
      </c>
      <c r="P136" t="s">
        <v>56</v>
      </c>
      <c r="Q136" t="s">
        <v>60</v>
      </c>
      <c r="R136" t="s">
        <v>43</v>
      </c>
      <c r="S136" s="3">
        <v>2942</v>
      </c>
      <c r="T136" s="3">
        <v>8916</v>
      </c>
      <c r="U136" s="3" t="str">
        <f t="shared" si="11"/>
        <v>Low</v>
      </c>
      <c r="V136">
        <v>1</v>
      </c>
      <c r="W136" t="s">
        <v>38</v>
      </c>
      <c r="X136" s="2">
        <v>23</v>
      </c>
      <c r="Y136" t="s">
        <v>62</v>
      </c>
      <c r="Z136" t="s">
        <v>62</v>
      </c>
      <c r="AA136">
        <v>1</v>
      </c>
      <c r="AB136">
        <v>8</v>
      </c>
      <c r="AC136">
        <v>3</v>
      </c>
      <c r="AD136">
        <v>3</v>
      </c>
      <c r="AE136">
        <v>8</v>
      </c>
      <c r="AF136">
        <v>7</v>
      </c>
      <c r="AG136">
        <v>5</v>
      </c>
      <c r="AH136">
        <v>7</v>
      </c>
      <c r="AI136" t="str">
        <f t="shared" si="8"/>
        <v>6-10 Years</v>
      </c>
      <c r="AJ136" t="str">
        <f t="shared" si="9"/>
        <v>3-5</v>
      </c>
    </row>
    <row r="137" spans="1:36" x14ac:dyDescent="0.35">
      <c r="A137">
        <v>136</v>
      </c>
      <c r="B137">
        <v>36</v>
      </c>
      <c r="C137" t="str">
        <f t="shared" si="10"/>
        <v>36-45</v>
      </c>
      <c r="D137" t="s">
        <v>38</v>
      </c>
      <c r="E137" t="s">
        <v>32</v>
      </c>
      <c r="F137" s="3">
        <v>1389</v>
      </c>
      <c r="G137" t="s">
        <v>40</v>
      </c>
      <c r="H137" s="1">
        <v>6</v>
      </c>
      <c r="I137" t="s">
        <v>58</v>
      </c>
      <c r="J137" t="s">
        <v>46</v>
      </c>
      <c r="K137" t="s">
        <v>61</v>
      </c>
      <c r="L137" t="s">
        <v>41</v>
      </c>
      <c r="M137" s="3">
        <v>84</v>
      </c>
      <c r="N137" t="s">
        <v>60</v>
      </c>
      <c r="O137" t="s">
        <v>61</v>
      </c>
      <c r="P137" t="s">
        <v>48</v>
      </c>
      <c r="Q137" t="s">
        <v>61</v>
      </c>
      <c r="R137" t="s">
        <v>47</v>
      </c>
      <c r="S137" s="3">
        <v>4941</v>
      </c>
      <c r="T137" s="3">
        <v>2819</v>
      </c>
      <c r="U137" s="3" t="str">
        <f t="shared" si="11"/>
        <v>Low</v>
      </c>
      <c r="V137">
        <v>6</v>
      </c>
      <c r="W137" t="s">
        <v>38</v>
      </c>
      <c r="X137" s="2">
        <v>20</v>
      </c>
      <c r="Y137" t="s">
        <v>62</v>
      </c>
      <c r="Z137" t="s">
        <v>62</v>
      </c>
      <c r="AA137">
        <v>2</v>
      </c>
      <c r="AB137">
        <v>7</v>
      </c>
      <c r="AC137">
        <v>0</v>
      </c>
      <c r="AD137">
        <v>3</v>
      </c>
      <c r="AE137">
        <v>3</v>
      </c>
      <c r="AF137">
        <v>2</v>
      </c>
      <c r="AG137">
        <v>0</v>
      </c>
      <c r="AH137">
        <v>1</v>
      </c>
      <c r="AI137" t="str">
        <f t="shared" si="8"/>
        <v>3-5 Years</v>
      </c>
      <c r="AJ137" t="str">
        <f t="shared" si="9"/>
        <v>0-2</v>
      </c>
    </row>
    <row r="138" spans="1:36" x14ac:dyDescent="0.35">
      <c r="A138">
        <v>137</v>
      </c>
      <c r="B138">
        <v>51</v>
      </c>
      <c r="C138" t="str">
        <f t="shared" si="10"/>
        <v>46-55</v>
      </c>
      <c r="D138" t="s">
        <v>31</v>
      </c>
      <c r="E138" t="s">
        <v>39</v>
      </c>
      <c r="F138" s="3">
        <v>1389</v>
      </c>
      <c r="G138" t="s">
        <v>40</v>
      </c>
      <c r="H138" s="1">
        <v>8</v>
      </c>
      <c r="I138" t="s">
        <v>60</v>
      </c>
      <c r="J138" t="s">
        <v>34</v>
      </c>
      <c r="K138" t="s">
        <v>59</v>
      </c>
      <c r="L138" t="s">
        <v>41</v>
      </c>
      <c r="M138" s="3">
        <v>53</v>
      </c>
      <c r="N138" t="s">
        <v>59</v>
      </c>
      <c r="O138" t="s">
        <v>60</v>
      </c>
      <c r="P138" t="s">
        <v>48</v>
      </c>
      <c r="Q138" t="s">
        <v>62</v>
      </c>
      <c r="R138" t="s">
        <v>37</v>
      </c>
      <c r="S138" s="3">
        <v>10650</v>
      </c>
      <c r="T138" s="3">
        <v>25150</v>
      </c>
      <c r="U138" s="3" t="str">
        <f t="shared" si="11"/>
        <v>High</v>
      </c>
      <c r="V138">
        <v>2</v>
      </c>
      <c r="W138" t="s">
        <v>38</v>
      </c>
      <c r="X138" s="2">
        <v>15</v>
      </c>
      <c r="Y138" t="s">
        <v>60</v>
      </c>
      <c r="Z138" t="s">
        <v>62</v>
      </c>
      <c r="AA138">
        <v>0</v>
      </c>
      <c r="AB138">
        <v>18</v>
      </c>
      <c r="AC138">
        <v>2</v>
      </c>
      <c r="AD138">
        <v>3</v>
      </c>
      <c r="AE138">
        <v>4</v>
      </c>
      <c r="AF138">
        <v>2</v>
      </c>
      <c r="AG138">
        <v>0</v>
      </c>
      <c r="AH138">
        <v>3</v>
      </c>
      <c r="AI138" t="str">
        <f t="shared" si="8"/>
        <v>3-5 Years</v>
      </c>
      <c r="AJ138" t="str">
        <f t="shared" si="9"/>
        <v>0-2</v>
      </c>
    </row>
    <row r="139" spans="1:36" x14ac:dyDescent="0.35">
      <c r="A139">
        <v>138</v>
      </c>
      <c r="B139">
        <v>39</v>
      </c>
      <c r="C139" t="str">
        <f t="shared" si="10"/>
        <v>36-45</v>
      </c>
      <c r="D139" t="s">
        <v>38</v>
      </c>
      <c r="E139" t="s">
        <v>32</v>
      </c>
      <c r="F139" s="3">
        <v>1389</v>
      </c>
      <c r="G139" t="s">
        <v>33</v>
      </c>
      <c r="H139" s="1">
        <v>4</v>
      </c>
      <c r="I139" t="s">
        <v>60</v>
      </c>
      <c r="J139" t="s">
        <v>34</v>
      </c>
      <c r="K139" t="s">
        <v>62</v>
      </c>
      <c r="L139" t="s">
        <v>35</v>
      </c>
      <c r="M139" s="3">
        <v>47</v>
      </c>
      <c r="N139" t="s">
        <v>61</v>
      </c>
      <c r="O139" t="s">
        <v>61</v>
      </c>
      <c r="P139" t="s">
        <v>36</v>
      </c>
      <c r="Q139" t="s">
        <v>60</v>
      </c>
      <c r="R139" t="s">
        <v>43</v>
      </c>
      <c r="S139" s="3">
        <v>5902</v>
      </c>
      <c r="T139" s="3">
        <v>14590</v>
      </c>
      <c r="U139" s="3" t="str">
        <f t="shared" si="11"/>
        <v>Medium</v>
      </c>
      <c r="V139">
        <v>4</v>
      </c>
      <c r="W139" t="s">
        <v>38</v>
      </c>
      <c r="X139" s="2">
        <v>14</v>
      </c>
      <c r="Y139" t="s">
        <v>60</v>
      </c>
      <c r="Z139" t="s">
        <v>60</v>
      </c>
      <c r="AA139">
        <v>1</v>
      </c>
      <c r="AB139">
        <v>17</v>
      </c>
      <c r="AC139">
        <v>1</v>
      </c>
      <c r="AD139">
        <v>4</v>
      </c>
      <c r="AE139">
        <v>15</v>
      </c>
      <c r="AF139">
        <v>11</v>
      </c>
      <c r="AG139">
        <v>5</v>
      </c>
      <c r="AH139">
        <v>9</v>
      </c>
      <c r="AI139" t="str">
        <f t="shared" si="8"/>
        <v>10+ Years</v>
      </c>
      <c r="AJ139" t="str">
        <f t="shared" si="9"/>
        <v>3-5</v>
      </c>
    </row>
    <row r="140" spans="1:36" x14ac:dyDescent="0.35">
      <c r="A140">
        <v>139</v>
      </c>
      <c r="B140">
        <v>25</v>
      </c>
      <c r="C140" t="str">
        <f t="shared" si="10"/>
        <v>18-25</v>
      </c>
      <c r="D140" t="s">
        <v>38</v>
      </c>
      <c r="E140" t="s">
        <v>32</v>
      </c>
      <c r="F140" s="3">
        <v>1389</v>
      </c>
      <c r="G140" t="s">
        <v>33</v>
      </c>
      <c r="H140" s="1">
        <v>28</v>
      </c>
      <c r="I140" t="s">
        <v>61</v>
      </c>
      <c r="J140" t="s">
        <v>34</v>
      </c>
      <c r="K140" t="s">
        <v>59</v>
      </c>
      <c r="L140" t="s">
        <v>41</v>
      </c>
      <c r="M140" s="3">
        <v>41</v>
      </c>
      <c r="N140" t="s">
        <v>61</v>
      </c>
      <c r="O140" t="s">
        <v>61</v>
      </c>
      <c r="P140" t="s">
        <v>36</v>
      </c>
      <c r="Q140" t="s">
        <v>60</v>
      </c>
      <c r="R140" t="s">
        <v>43</v>
      </c>
      <c r="S140" s="3">
        <v>8639</v>
      </c>
      <c r="T140" s="3">
        <v>24835</v>
      </c>
      <c r="U140" s="3" t="str">
        <f t="shared" si="11"/>
        <v>Medium</v>
      </c>
      <c r="V140">
        <v>2</v>
      </c>
      <c r="W140" t="s">
        <v>38</v>
      </c>
      <c r="X140" s="2">
        <v>18</v>
      </c>
      <c r="Y140" t="s">
        <v>60</v>
      </c>
      <c r="Z140" t="s">
        <v>62</v>
      </c>
      <c r="AA140">
        <v>0</v>
      </c>
      <c r="AB140">
        <v>6</v>
      </c>
      <c r="AC140">
        <v>3</v>
      </c>
      <c r="AD140">
        <v>3</v>
      </c>
      <c r="AE140">
        <v>2</v>
      </c>
      <c r="AF140">
        <v>2</v>
      </c>
      <c r="AG140">
        <v>2</v>
      </c>
      <c r="AH140">
        <v>2</v>
      </c>
      <c r="AI140" t="str">
        <f t="shared" si="8"/>
        <v>0-2 Years</v>
      </c>
      <c r="AJ140" t="str">
        <f t="shared" si="9"/>
        <v>0-2</v>
      </c>
    </row>
    <row r="141" spans="1:36" x14ac:dyDescent="0.35">
      <c r="A141">
        <v>140</v>
      </c>
      <c r="B141">
        <v>30</v>
      </c>
      <c r="C141" t="str">
        <f t="shared" si="10"/>
        <v>26-35</v>
      </c>
      <c r="D141" t="s">
        <v>38</v>
      </c>
      <c r="E141" t="s">
        <v>32</v>
      </c>
      <c r="F141" s="3">
        <v>1389</v>
      </c>
      <c r="G141" t="s">
        <v>56</v>
      </c>
      <c r="H141" s="1">
        <v>9</v>
      </c>
      <c r="I141" t="s">
        <v>61</v>
      </c>
      <c r="J141" t="s">
        <v>56</v>
      </c>
      <c r="K141" t="s">
        <v>60</v>
      </c>
      <c r="L141" t="s">
        <v>41</v>
      </c>
      <c r="M141" s="3">
        <v>48</v>
      </c>
      <c r="N141" t="s">
        <v>60</v>
      </c>
      <c r="O141" t="s">
        <v>61</v>
      </c>
      <c r="P141" t="s">
        <v>56</v>
      </c>
      <c r="Q141" t="s">
        <v>62</v>
      </c>
      <c r="R141" t="s">
        <v>43</v>
      </c>
      <c r="S141" s="3">
        <v>6347</v>
      </c>
      <c r="T141" s="3">
        <v>13982</v>
      </c>
      <c r="U141" s="3" t="str">
        <f t="shared" si="11"/>
        <v>Medium</v>
      </c>
      <c r="V141">
        <v>0</v>
      </c>
      <c r="W141" t="s">
        <v>31</v>
      </c>
      <c r="X141" s="2">
        <v>19</v>
      </c>
      <c r="Y141" t="s">
        <v>60</v>
      </c>
      <c r="Z141" t="s">
        <v>62</v>
      </c>
      <c r="AA141">
        <v>0</v>
      </c>
      <c r="AB141">
        <v>12</v>
      </c>
      <c r="AC141">
        <v>2</v>
      </c>
      <c r="AD141">
        <v>1</v>
      </c>
      <c r="AE141">
        <v>11</v>
      </c>
      <c r="AF141">
        <v>9</v>
      </c>
      <c r="AG141">
        <v>4</v>
      </c>
      <c r="AH141">
        <v>7</v>
      </c>
      <c r="AI141" t="str">
        <f t="shared" si="8"/>
        <v>10+ Years</v>
      </c>
      <c r="AJ141" t="str">
        <f t="shared" si="9"/>
        <v>3-5</v>
      </c>
    </row>
    <row r="142" spans="1:36" x14ac:dyDescent="0.35">
      <c r="A142">
        <v>141</v>
      </c>
      <c r="B142">
        <v>32</v>
      </c>
      <c r="C142" t="str">
        <f t="shared" si="10"/>
        <v>26-35</v>
      </c>
      <c r="D142" t="s">
        <v>31</v>
      </c>
      <c r="E142" t="s">
        <v>32</v>
      </c>
      <c r="F142" s="3">
        <v>1389</v>
      </c>
      <c r="G142" t="s">
        <v>40</v>
      </c>
      <c r="H142" s="1">
        <v>9</v>
      </c>
      <c r="I142" t="s">
        <v>61</v>
      </c>
      <c r="J142" t="s">
        <v>46</v>
      </c>
      <c r="K142" t="s">
        <v>59</v>
      </c>
      <c r="L142" t="s">
        <v>35</v>
      </c>
      <c r="M142" s="3">
        <v>41</v>
      </c>
      <c r="N142" t="s">
        <v>60</v>
      </c>
      <c r="O142" t="s">
        <v>59</v>
      </c>
      <c r="P142" t="s">
        <v>45</v>
      </c>
      <c r="Q142" t="s">
        <v>59</v>
      </c>
      <c r="R142" t="s">
        <v>37</v>
      </c>
      <c r="S142" s="3">
        <v>4200</v>
      </c>
      <c r="T142" s="3">
        <v>10224</v>
      </c>
      <c r="U142" s="3" t="str">
        <f t="shared" si="11"/>
        <v>Low</v>
      </c>
      <c r="V142">
        <v>7</v>
      </c>
      <c r="W142" t="s">
        <v>38</v>
      </c>
      <c r="X142" s="2">
        <v>22</v>
      </c>
      <c r="Y142" t="s">
        <v>62</v>
      </c>
      <c r="Z142" t="s">
        <v>59</v>
      </c>
      <c r="AA142">
        <v>0</v>
      </c>
      <c r="AB142">
        <v>10</v>
      </c>
      <c r="AC142">
        <v>2</v>
      </c>
      <c r="AD142">
        <v>4</v>
      </c>
      <c r="AE142">
        <v>5</v>
      </c>
      <c r="AF142">
        <v>4</v>
      </c>
      <c r="AG142">
        <v>0</v>
      </c>
      <c r="AH142">
        <v>4</v>
      </c>
      <c r="AI142" t="str">
        <f t="shared" si="8"/>
        <v>3-5 Years</v>
      </c>
      <c r="AJ142" t="str">
        <f t="shared" si="9"/>
        <v>0-2</v>
      </c>
    </row>
    <row r="143" spans="1:36" x14ac:dyDescent="0.35">
      <c r="A143">
        <v>142</v>
      </c>
      <c r="B143">
        <v>45</v>
      </c>
      <c r="C143" t="str">
        <f t="shared" si="10"/>
        <v>36-45</v>
      </c>
      <c r="D143" t="s">
        <v>38</v>
      </c>
      <c r="E143" t="s">
        <v>32</v>
      </c>
      <c r="F143" s="3">
        <v>1389</v>
      </c>
      <c r="G143" t="s">
        <v>40</v>
      </c>
      <c r="H143" s="1">
        <v>29</v>
      </c>
      <c r="I143" t="s">
        <v>61</v>
      </c>
      <c r="J143" t="s">
        <v>46</v>
      </c>
      <c r="K143" t="s">
        <v>60</v>
      </c>
      <c r="L143" t="s">
        <v>41</v>
      </c>
      <c r="M143" s="3">
        <v>83</v>
      </c>
      <c r="N143" t="s">
        <v>60</v>
      </c>
      <c r="O143" t="s">
        <v>59</v>
      </c>
      <c r="P143" t="s">
        <v>42</v>
      </c>
      <c r="Q143" t="s">
        <v>62</v>
      </c>
      <c r="R143" t="s">
        <v>37</v>
      </c>
      <c r="S143" s="3">
        <v>3452</v>
      </c>
      <c r="T143" s="3">
        <v>9752</v>
      </c>
      <c r="U143" s="3" t="str">
        <f t="shared" si="11"/>
        <v>Low</v>
      </c>
      <c r="V143">
        <v>5</v>
      </c>
      <c r="W143" t="s">
        <v>38</v>
      </c>
      <c r="X143" s="2">
        <v>13</v>
      </c>
      <c r="Y143" t="s">
        <v>60</v>
      </c>
      <c r="Z143" t="s">
        <v>61</v>
      </c>
      <c r="AA143">
        <v>0</v>
      </c>
      <c r="AB143">
        <v>9</v>
      </c>
      <c r="AC143">
        <v>2</v>
      </c>
      <c r="AD143">
        <v>2</v>
      </c>
      <c r="AE143">
        <v>6</v>
      </c>
      <c r="AF143">
        <v>5</v>
      </c>
      <c r="AG143">
        <v>0</v>
      </c>
      <c r="AH143">
        <v>3</v>
      </c>
      <c r="AI143" t="str">
        <f t="shared" si="8"/>
        <v>6-10 Years</v>
      </c>
      <c r="AJ143" t="str">
        <f t="shared" si="9"/>
        <v>0-2</v>
      </c>
    </row>
    <row r="144" spans="1:36" x14ac:dyDescent="0.35">
      <c r="A144">
        <v>143</v>
      </c>
      <c r="B144">
        <v>38</v>
      </c>
      <c r="C144" t="str">
        <f t="shared" si="10"/>
        <v>36-45</v>
      </c>
      <c r="D144" t="s">
        <v>38</v>
      </c>
      <c r="E144" t="s">
        <v>32</v>
      </c>
      <c r="F144" s="3">
        <v>1389</v>
      </c>
      <c r="G144" t="s">
        <v>40</v>
      </c>
      <c r="H144" s="1">
        <v>3</v>
      </c>
      <c r="I144" t="s">
        <v>62</v>
      </c>
      <c r="J144" t="s">
        <v>55</v>
      </c>
      <c r="K144" t="s">
        <v>62</v>
      </c>
      <c r="L144" t="s">
        <v>35</v>
      </c>
      <c r="M144" s="3">
        <v>32</v>
      </c>
      <c r="N144" t="s">
        <v>60</v>
      </c>
      <c r="O144" t="s">
        <v>61</v>
      </c>
      <c r="P144" t="s">
        <v>42</v>
      </c>
      <c r="Q144" t="s">
        <v>60</v>
      </c>
      <c r="R144" t="s">
        <v>37</v>
      </c>
      <c r="S144" s="3">
        <v>4317</v>
      </c>
      <c r="T144" s="3">
        <v>2302</v>
      </c>
      <c r="U144" s="3" t="str">
        <f t="shared" si="11"/>
        <v>Low</v>
      </c>
      <c r="V144">
        <v>3</v>
      </c>
      <c r="W144" t="s">
        <v>31</v>
      </c>
      <c r="X144" s="2">
        <v>20</v>
      </c>
      <c r="Y144" t="s">
        <v>62</v>
      </c>
      <c r="Z144" t="s">
        <v>61</v>
      </c>
      <c r="AA144">
        <v>0</v>
      </c>
      <c r="AB144">
        <v>19</v>
      </c>
      <c r="AC144">
        <v>2</v>
      </c>
      <c r="AD144">
        <v>3</v>
      </c>
      <c r="AE144">
        <v>3</v>
      </c>
      <c r="AF144">
        <v>2</v>
      </c>
      <c r="AG144">
        <v>2</v>
      </c>
      <c r="AH144">
        <v>2</v>
      </c>
      <c r="AI144" t="str">
        <f t="shared" si="8"/>
        <v>3-5 Years</v>
      </c>
      <c r="AJ144" t="str">
        <f t="shared" si="9"/>
        <v>0-2</v>
      </c>
    </row>
    <row r="145" spans="1:36" x14ac:dyDescent="0.35">
      <c r="A145">
        <v>144</v>
      </c>
      <c r="B145">
        <v>30</v>
      </c>
      <c r="C145" t="str">
        <f t="shared" si="10"/>
        <v>26-35</v>
      </c>
      <c r="D145" t="s">
        <v>38</v>
      </c>
      <c r="E145" t="s">
        <v>32</v>
      </c>
      <c r="F145" s="3">
        <v>1389</v>
      </c>
      <c r="G145" t="s">
        <v>40</v>
      </c>
      <c r="H145" s="1">
        <v>18</v>
      </c>
      <c r="I145" t="s">
        <v>61</v>
      </c>
      <c r="J145" t="s">
        <v>34</v>
      </c>
      <c r="K145" t="s">
        <v>59</v>
      </c>
      <c r="L145" t="s">
        <v>35</v>
      </c>
      <c r="M145" s="3">
        <v>75</v>
      </c>
      <c r="N145" t="s">
        <v>60</v>
      </c>
      <c r="O145" t="s">
        <v>59</v>
      </c>
      <c r="P145" t="s">
        <v>42</v>
      </c>
      <c r="Q145" t="s">
        <v>60</v>
      </c>
      <c r="R145" t="s">
        <v>37</v>
      </c>
      <c r="S145" s="3">
        <v>2632</v>
      </c>
      <c r="T145" s="3">
        <v>23910</v>
      </c>
      <c r="U145" s="3" t="str">
        <f t="shared" si="11"/>
        <v>Low</v>
      </c>
      <c r="V145">
        <v>1</v>
      </c>
      <c r="W145" t="s">
        <v>38</v>
      </c>
      <c r="X145" s="2">
        <v>14</v>
      </c>
      <c r="Y145" t="s">
        <v>60</v>
      </c>
      <c r="Z145" t="s">
        <v>60</v>
      </c>
      <c r="AA145">
        <v>0</v>
      </c>
      <c r="AB145">
        <v>5</v>
      </c>
      <c r="AC145">
        <v>4</v>
      </c>
      <c r="AD145">
        <v>2</v>
      </c>
      <c r="AE145">
        <v>5</v>
      </c>
      <c r="AF145">
        <v>4</v>
      </c>
      <c r="AG145">
        <v>0</v>
      </c>
      <c r="AH145">
        <v>4</v>
      </c>
      <c r="AI145" t="str">
        <f t="shared" si="8"/>
        <v>3-5 Years</v>
      </c>
      <c r="AJ145" t="str">
        <f t="shared" si="9"/>
        <v>0-2</v>
      </c>
    </row>
    <row r="146" spans="1:36" x14ac:dyDescent="0.35">
      <c r="A146">
        <v>145</v>
      </c>
      <c r="B146">
        <v>32</v>
      </c>
      <c r="C146" t="str">
        <f t="shared" si="10"/>
        <v>26-35</v>
      </c>
      <c r="D146" t="s">
        <v>38</v>
      </c>
      <c r="E146" t="s">
        <v>39</v>
      </c>
      <c r="F146" s="3">
        <v>1389</v>
      </c>
      <c r="G146" t="s">
        <v>33</v>
      </c>
      <c r="H146" s="1">
        <v>9</v>
      </c>
      <c r="I146" t="s">
        <v>58</v>
      </c>
      <c r="J146" t="s">
        <v>46</v>
      </c>
      <c r="K146" t="s">
        <v>62</v>
      </c>
      <c r="L146" t="s">
        <v>41</v>
      </c>
      <c r="M146" s="3">
        <v>35</v>
      </c>
      <c r="N146" t="s">
        <v>59</v>
      </c>
      <c r="O146" t="s">
        <v>61</v>
      </c>
      <c r="P146" t="s">
        <v>36</v>
      </c>
      <c r="Q146" t="s">
        <v>62</v>
      </c>
      <c r="R146" t="s">
        <v>47</v>
      </c>
      <c r="S146" s="3">
        <v>4668</v>
      </c>
      <c r="T146" s="3">
        <v>22812</v>
      </c>
      <c r="U146" s="3" t="str">
        <f t="shared" si="11"/>
        <v>Low</v>
      </c>
      <c r="V146">
        <v>0</v>
      </c>
      <c r="W146" t="s">
        <v>38</v>
      </c>
      <c r="X146" s="2">
        <v>17</v>
      </c>
      <c r="Y146" t="s">
        <v>60</v>
      </c>
      <c r="Z146" t="s">
        <v>62</v>
      </c>
      <c r="AA146">
        <v>3</v>
      </c>
      <c r="AB146">
        <v>9</v>
      </c>
      <c r="AC146">
        <v>2</v>
      </c>
      <c r="AD146">
        <v>4</v>
      </c>
      <c r="AE146">
        <v>8</v>
      </c>
      <c r="AF146">
        <v>7</v>
      </c>
      <c r="AG146">
        <v>0</v>
      </c>
      <c r="AH146">
        <v>7</v>
      </c>
      <c r="AI146" t="str">
        <f t="shared" si="8"/>
        <v>6-10 Years</v>
      </c>
      <c r="AJ146" t="str">
        <f t="shared" si="9"/>
        <v>0-2</v>
      </c>
    </row>
    <row r="147" spans="1:36" x14ac:dyDescent="0.35">
      <c r="A147">
        <v>146</v>
      </c>
      <c r="B147">
        <v>30</v>
      </c>
      <c r="C147" t="str">
        <f t="shared" si="10"/>
        <v>26-35</v>
      </c>
      <c r="D147" t="s">
        <v>38</v>
      </c>
      <c r="E147" t="s">
        <v>32</v>
      </c>
      <c r="F147" s="3">
        <v>1389</v>
      </c>
      <c r="G147" t="s">
        <v>40</v>
      </c>
      <c r="H147" s="1">
        <v>5</v>
      </c>
      <c r="I147" t="s">
        <v>61</v>
      </c>
      <c r="J147" t="s">
        <v>55</v>
      </c>
      <c r="K147" t="s">
        <v>62</v>
      </c>
      <c r="L147" t="s">
        <v>35</v>
      </c>
      <c r="M147" s="3">
        <v>84</v>
      </c>
      <c r="N147" t="s">
        <v>60</v>
      </c>
      <c r="O147" t="s">
        <v>59</v>
      </c>
      <c r="P147" t="s">
        <v>42</v>
      </c>
      <c r="Q147" t="s">
        <v>59</v>
      </c>
      <c r="R147" t="s">
        <v>47</v>
      </c>
      <c r="S147" s="3">
        <v>3204</v>
      </c>
      <c r="T147" s="3">
        <v>10415</v>
      </c>
      <c r="U147" s="3" t="str">
        <f t="shared" si="11"/>
        <v>Low</v>
      </c>
      <c r="V147">
        <v>5</v>
      </c>
      <c r="W147" t="s">
        <v>38</v>
      </c>
      <c r="X147" s="2">
        <v>14</v>
      </c>
      <c r="Y147" t="s">
        <v>60</v>
      </c>
      <c r="Z147" t="s">
        <v>62</v>
      </c>
      <c r="AA147">
        <v>1</v>
      </c>
      <c r="AB147">
        <v>8</v>
      </c>
      <c r="AC147">
        <v>3</v>
      </c>
      <c r="AD147">
        <v>3</v>
      </c>
      <c r="AE147">
        <v>3</v>
      </c>
      <c r="AF147">
        <v>2</v>
      </c>
      <c r="AG147">
        <v>2</v>
      </c>
      <c r="AH147">
        <v>2</v>
      </c>
      <c r="AI147" t="str">
        <f t="shared" si="8"/>
        <v>3-5 Years</v>
      </c>
      <c r="AJ147" t="str">
        <f t="shared" si="9"/>
        <v>0-2</v>
      </c>
    </row>
    <row r="148" spans="1:36" x14ac:dyDescent="0.35">
      <c r="A148">
        <v>147</v>
      </c>
      <c r="B148">
        <v>30</v>
      </c>
      <c r="C148" t="str">
        <f t="shared" si="10"/>
        <v>26-35</v>
      </c>
      <c r="D148" t="s">
        <v>38</v>
      </c>
      <c r="E148" t="s">
        <v>32</v>
      </c>
      <c r="F148" s="3">
        <v>1389</v>
      </c>
      <c r="G148" t="s">
        <v>40</v>
      </c>
      <c r="H148" s="1">
        <v>2</v>
      </c>
      <c r="I148" t="s">
        <v>59</v>
      </c>
      <c r="J148" t="s">
        <v>46</v>
      </c>
      <c r="K148" t="s">
        <v>61</v>
      </c>
      <c r="L148" t="s">
        <v>41</v>
      </c>
      <c r="M148" s="3">
        <v>35</v>
      </c>
      <c r="N148" t="s">
        <v>61</v>
      </c>
      <c r="O148" t="s">
        <v>59</v>
      </c>
      <c r="P148" t="s">
        <v>45</v>
      </c>
      <c r="Q148" t="s">
        <v>62</v>
      </c>
      <c r="R148" t="s">
        <v>37</v>
      </c>
      <c r="S148" s="3">
        <v>2720</v>
      </c>
      <c r="T148" s="3">
        <v>11162</v>
      </c>
      <c r="U148" s="3" t="str">
        <f t="shared" si="11"/>
        <v>Low</v>
      </c>
      <c r="V148">
        <v>0</v>
      </c>
      <c r="W148" t="s">
        <v>38</v>
      </c>
      <c r="X148" s="2">
        <v>13</v>
      </c>
      <c r="Y148" t="s">
        <v>60</v>
      </c>
      <c r="Z148" t="s">
        <v>62</v>
      </c>
      <c r="AA148">
        <v>0</v>
      </c>
      <c r="AB148">
        <v>6</v>
      </c>
      <c r="AC148">
        <v>3</v>
      </c>
      <c r="AD148">
        <v>3</v>
      </c>
      <c r="AE148">
        <v>5</v>
      </c>
      <c r="AF148">
        <v>3</v>
      </c>
      <c r="AG148">
        <v>1</v>
      </c>
      <c r="AH148">
        <v>2</v>
      </c>
      <c r="AI148" t="str">
        <f t="shared" si="8"/>
        <v>3-5 Years</v>
      </c>
      <c r="AJ148" t="str">
        <f t="shared" si="9"/>
        <v>0-2</v>
      </c>
    </row>
    <row r="149" spans="1:36" x14ac:dyDescent="0.35">
      <c r="A149">
        <v>148</v>
      </c>
      <c r="B149">
        <v>41</v>
      </c>
      <c r="C149" t="str">
        <f t="shared" si="10"/>
        <v>36-45</v>
      </c>
      <c r="D149" t="s">
        <v>38</v>
      </c>
      <c r="E149" t="s">
        <v>39</v>
      </c>
      <c r="F149" s="3">
        <v>1389</v>
      </c>
      <c r="G149" t="s">
        <v>40</v>
      </c>
      <c r="H149" s="1">
        <v>10</v>
      </c>
      <c r="I149" t="s">
        <v>61</v>
      </c>
      <c r="J149" t="s">
        <v>34</v>
      </c>
      <c r="K149" t="s">
        <v>62</v>
      </c>
      <c r="L149" t="s">
        <v>41</v>
      </c>
      <c r="M149" s="3">
        <v>91</v>
      </c>
      <c r="N149" t="s">
        <v>61</v>
      </c>
      <c r="O149" t="s">
        <v>62</v>
      </c>
      <c r="P149" t="s">
        <v>51</v>
      </c>
      <c r="Q149" t="s">
        <v>59</v>
      </c>
      <c r="R149" t="s">
        <v>47</v>
      </c>
      <c r="S149" s="3">
        <v>17181</v>
      </c>
      <c r="T149" s="3">
        <v>12888</v>
      </c>
      <c r="U149" s="3" t="str">
        <f t="shared" si="11"/>
        <v>High</v>
      </c>
      <c r="V149">
        <v>4</v>
      </c>
      <c r="W149" t="s">
        <v>38</v>
      </c>
      <c r="X149" s="2">
        <v>13</v>
      </c>
      <c r="Y149" t="s">
        <v>60</v>
      </c>
      <c r="Z149" t="s">
        <v>61</v>
      </c>
      <c r="AA149">
        <v>1</v>
      </c>
      <c r="AB149">
        <v>21</v>
      </c>
      <c r="AC149">
        <v>2</v>
      </c>
      <c r="AD149">
        <v>2</v>
      </c>
      <c r="AE149">
        <v>7</v>
      </c>
      <c r="AF149">
        <v>6</v>
      </c>
      <c r="AG149">
        <v>7</v>
      </c>
      <c r="AH149">
        <v>7</v>
      </c>
      <c r="AI149" t="str">
        <f t="shared" si="8"/>
        <v>6-10 Years</v>
      </c>
      <c r="AJ149" t="str">
        <f t="shared" si="9"/>
        <v>6+</v>
      </c>
    </row>
    <row r="150" spans="1:36" x14ac:dyDescent="0.35">
      <c r="A150">
        <v>149</v>
      </c>
      <c r="B150">
        <v>41</v>
      </c>
      <c r="C150" t="str">
        <f t="shared" si="10"/>
        <v>36-45</v>
      </c>
      <c r="D150" t="s">
        <v>38</v>
      </c>
      <c r="E150" t="s">
        <v>32</v>
      </c>
      <c r="F150" s="3">
        <v>1389</v>
      </c>
      <c r="G150" t="s">
        <v>40</v>
      </c>
      <c r="H150" s="1">
        <v>9</v>
      </c>
      <c r="I150" t="s">
        <v>60</v>
      </c>
      <c r="J150" t="s">
        <v>34</v>
      </c>
      <c r="K150" t="s">
        <v>60</v>
      </c>
      <c r="L150" t="s">
        <v>41</v>
      </c>
      <c r="M150" s="3">
        <v>94</v>
      </c>
      <c r="N150" t="s">
        <v>60</v>
      </c>
      <c r="O150" t="s">
        <v>59</v>
      </c>
      <c r="P150" t="s">
        <v>45</v>
      </c>
      <c r="Q150" t="s">
        <v>59</v>
      </c>
      <c r="R150" t="s">
        <v>43</v>
      </c>
      <c r="S150" s="3">
        <v>2238</v>
      </c>
      <c r="T150" s="3">
        <v>6961</v>
      </c>
      <c r="U150" s="3" t="str">
        <f t="shared" si="11"/>
        <v>Low</v>
      </c>
      <c r="V150">
        <v>2</v>
      </c>
      <c r="W150" t="s">
        <v>38</v>
      </c>
      <c r="X150" s="2">
        <v>21</v>
      </c>
      <c r="Y150" t="s">
        <v>62</v>
      </c>
      <c r="Z150" t="s">
        <v>62</v>
      </c>
      <c r="AA150">
        <v>1</v>
      </c>
      <c r="AB150">
        <v>7</v>
      </c>
      <c r="AC150">
        <v>2</v>
      </c>
      <c r="AD150">
        <v>3</v>
      </c>
      <c r="AE150">
        <v>5</v>
      </c>
      <c r="AF150">
        <v>0</v>
      </c>
      <c r="AG150">
        <v>1</v>
      </c>
      <c r="AH150">
        <v>4</v>
      </c>
      <c r="AI150" t="str">
        <f t="shared" si="8"/>
        <v>3-5 Years</v>
      </c>
      <c r="AJ150" t="str">
        <f t="shared" si="9"/>
        <v>0-2</v>
      </c>
    </row>
    <row r="151" spans="1:36" x14ac:dyDescent="0.35">
      <c r="A151">
        <v>150</v>
      </c>
      <c r="B151">
        <v>19</v>
      </c>
      <c r="C151" t="str">
        <f t="shared" si="10"/>
        <v>18-25</v>
      </c>
      <c r="D151" t="s">
        <v>38</v>
      </c>
      <c r="E151" t="s">
        <v>32</v>
      </c>
      <c r="F151" s="3">
        <v>1389</v>
      </c>
      <c r="G151" t="s">
        <v>40</v>
      </c>
      <c r="H151" s="1">
        <v>3</v>
      </c>
      <c r="I151" t="s">
        <v>59</v>
      </c>
      <c r="J151" t="s">
        <v>46</v>
      </c>
      <c r="K151" t="s">
        <v>61</v>
      </c>
      <c r="L151" t="s">
        <v>35</v>
      </c>
      <c r="M151" s="3">
        <v>79</v>
      </c>
      <c r="N151" t="s">
        <v>60</v>
      </c>
      <c r="O151" t="s">
        <v>59</v>
      </c>
      <c r="P151" t="s">
        <v>45</v>
      </c>
      <c r="Q151" t="s">
        <v>61</v>
      </c>
      <c r="R151" t="s">
        <v>37</v>
      </c>
      <c r="S151" s="3">
        <v>1483</v>
      </c>
      <c r="T151" s="3">
        <v>16102</v>
      </c>
      <c r="U151" s="3" t="str">
        <f t="shared" si="11"/>
        <v>Low</v>
      </c>
      <c r="V151">
        <v>1</v>
      </c>
      <c r="W151" t="s">
        <v>38</v>
      </c>
      <c r="X151" s="2">
        <v>14</v>
      </c>
      <c r="Y151" t="s">
        <v>60</v>
      </c>
      <c r="Z151" t="s">
        <v>62</v>
      </c>
      <c r="AA151">
        <v>0</v>
      </c>
      <c r="AB151">
        <v>1</v>
      </c>
      <c r="AC151">
        <v>3</v>
      </c>
      <c r="AD151">
        <v>3</v>
      </c>
      <c r="AE151">
        <v>1</v>
      </c>
      <c r="AF151">
        <v>0</v>
      </c>
      <c r="AG151">
        <v>0</v>
      </c>
      <c r="AH151">
        <v>0</v>
      </c>
      <c r="AI151" t="str">
        <f t="shared" si="8"/>
        <v>0-2 Years</v>
      </c>
      <c r="AJ151" t="str">
        <f t="shared" si="9"/>
        <v>0-2</v>
      </c>
    </row>
    <row r="152" spans="1:36" x14ac:dyDescent="0.35">
      <c r="A152">
        <v>151</v>
      </c>
      <c r="B152">
        <v>40</v>
      </c>
      <c r="C152" t="str">
        <f t="shared" si="10"/>
        <v>36-45</v>
      </c>
      <c r="D152" t="s">
        <v>38</v>
      </c>
      <c r="E152" t="s">
        <v>39</v>
      </c>
      <c r="F152" s="3">
        <v>1389</v>
      </c>
      <c r="G152" t="s">
        <v>40</v>
      </c>
      <c r="H152" s="1">
        <v>26</v>
      </c>
      <c r="I152" t="s">
        <v>61</v>
      </c>
      <c r="J152" t="s">
        <v>46</v>
      </c>
      <c r="K152" t="s">
        <v>61</v>
      </c>
      <c r="L152" t="s">
        <v>35</v>
      </c>
      <c r="M152" s="3">
        <v>54</v>
      </c>
      <c r="N152" t="s">
        <v>60</v>
      </c>
      <c r="O152" t="s">
        <v>61</v>
      </c>
      <c r="P152" t="s">
        <v>42</v>
      </c>
      <c r="Q152" t="s">
        <v>61</v>
      </c>
      <c r="R152" t="s">
        <v>47</v>
      </c>
      <c r="S152" s="3">
        <v>5605</v>
      </c>
      <c r="T152" s="3">
        <v>8504</v>
      </c>
      <c r="U152" s="3" t="str">
        <f t="shared" si="11"/>
        <v>Medium</v>
      </c>
      <c r="V152">
        <v>1</v>
      </c>
      <c r="W152" t="s">
        <v>38</v>
      </c>
      <c r="X152" s="2">
        <v>11</v>
      </c>
      <c r="Y152" t="s">
        <v>60</v>
      </c>
      <c r="Z152" t="s">
        <v>59</v>
      </c>
      <c r="AA152">
        <v>1</v>
      </c>
      <c r="AB152">
        <v>20</v>
      </c>
      <c r="AC152">
        <v>2</v>
      </c>
      <c r="AD152">
        <v>3</v>
      </c>
      <c r="AE152">
        <v>20</v>
      </c>
      <c r="AF152">
        <v>7</v>
      </c>
      <c r="AG152">
        <v>2</v>
      </c>
      <c r="AH152">
        <v>13</v>
      </c>
      <c r="AI152" t="str">
        <f t="shared" si="8"/>
        <v>10+ Years</v>
      </c>
      <c r="AJ152" t="str">
        <f t="shared" si="9"/>
        <v>0-2</v>
      </c>
    </row>
    <row r="153" spans="1:36" x14ac:dyDescent="0.35">
      <c r="A153">
        <v>152</v>
      </c>
      <c r="B153">
        <v>35</v>
      </c>
      <c r="C153" t="str">
        <f t="shared" si="10"/>
        <v>26-35</v>
      </c>
      <c r="D153" t="s">
        <v>38</v>
      </c>
      <c r="E153" t="s">
        <v>32</v>
      </c>
      <c r="F153" s="3">
        <v>1389</v>
      </c>
      <c r="G153" t="s">
        <v>33</v>
      </c>
      <c r="H153" s="1">
        <v>1</v>
      </c>
      <c r="I153" t="s">
        <v>62</v>
      </c>
      <c r="J153" t="s">
        <v>54</v>
      </c>
      <c r="K153" t="s">
        <v>60</v>
      </c>
      <c r="L153" t="s">
        <v>41</v>
      </c>
      <c r="M153" s="3">
        <v>94</v>
      </c>
      <c r="N153" t="s">
        <v>60</v>
      </c>
      <c r="O153" t="s">
        <v>60</v>
      </c>
      <c r="P153" t="s">
        <v>36</v>
      </c>
      <c r="Q153" t="s">
        <v>61</v>
      </c>
      <c r="R153" t="s">
        <v>43</v>
      </c>
      <c r="S153" s="3">
        <v>7295</v>
      </c>
      <c r="T153" s="3">
        <v>11439</v>
      </c>
      <c r="U153" s="3" t="str">
        <f t="shared" si="11"/>
        <v>Medium</v>
      </c>
      <c r="V153">
        <v>1</v>
      </c>
      <c r="W153" t="s">
        <v>38</v>
      </c>
      <c r="X153" s="2">
        <v>13</v>
      </c>
      <c r="Y153" t="s">
        <v>60</v>
      </c>
      <c r="Z153" t="s">
        <v>59</v>
      </c>
      <c r="AA153">
        <v>2</v>
      </c>
      <c r="AB153">
        <v>10</v>
      </c>
      <c r="AC153">
        <v>3</v>
      </c>
      <c r="AD153">
        <v>3</v>
      </c>
      <c r="AE153">
        <v>10</v>
      </c>
      <c r="AF153">
        <v>8</v>
      </c>
      <c r="AG153">
        <v>0</v>
      </c>
      <c r="AH153">
        <v>6</v>
      </c>
      <c r="AI153" t="str">
        <f t="shared" si="8"/>
        <v>6-10 Years</v>
      </c>
      <c r="AJ153" t="str">
        <f t="shared" si="9"/>
        <v>0-2</v>
      </c>
    </row>
    <row r="154" spans="1:36" x14ac:dyDescent="0.35">
      <c r="A154">
        <v>153</v>
      </c>
      <c r="B154">
        <v>53</v>
      </c>
      <c r="C154" t="str">
        <f t="shared" si="10"/>
        <v>46-55</v>
      </c>
      <c r="D154" t="s">
        <v>38</v>
      </c>
      <c r="E154" t="s">
        <v>32</v>
      </c>
      <c r="F154" s="3">
        <v>1389</v>
      </c>
      <c r="G154" t="s">
        <v>33</v>
      </c>
      <c r="H154" s="1">
        <v>6</v>
      </c>
      <c r="I154" t="s">
        <v>58</v>
      </c>
      <c r="J154" t="s">
        <v>54</v>
      </c>
      <c r="K154" t="s">
        <v>61</v>
      </c>
      <c r="L154" t="s">
        <v>41</v>
      </c>
      <c r="M154" s="3">
        <v>34</v>
      </c>
      <c r="N154" t="s">
        <v>60</v>
      </c>
      <c r="O154" t="s">
        <v>61</v>
      </c>
      <c r="P154" t="s">
        <v>52</v>
      </c>
      <c r="Q154" t="s">
        <v>60</v>
      </c>
      <c r="R154" t="s">
        <v>43</v>
      </c>
      <c r="S154" s="3">
        <v>2306</v>
      </c>
      <c r="T154" s="3">
        <v>16047</v>
      </c>
      <c r="U154" s="3" t="str">
        <f t="shared" si="11"/>
        <v>Low</v>
      </c>
      <c r="V154">
        <v>2</v>
      </c>
      <c r="W154" t="s">
        <v>31</v>
      </c>
      <c r="X154" s="2">
        <v>20</v>
      </c>
      <c r="Y154" t="s">
        <v>62</v>
      </c>
      <c r="Z154" t="s">
        <v>62</v>
      </c>
      <c r="AA154">
        <v>1</v>
      </c>
      <c r="AB154">
        <v>13</v>
      </c>
      <c r="AC154">
        <v>3</v>
      </c>
      <c r="AD154">
        <v>1</v>
      </c>
      <c r="AE154">
        <v>7</v>
      </c>
      <c r="AF154">
        <v>7</v>
      </c>
      <c r="AG154">
        <v>4</v>
      </c>
      <c r="AH154">
        <v>5</v>
      </c>
      <c r="AI154" t="str">
        <f t="shared" si="8"/>
        <v>6-10 Years</v>
      </c>
      <c r="AJ154" t="str">
        <f t="shared" si="9"/>
        <v>3-5</v>
      </c>
    </row>
    <row r="155" spans="1:36" x14ac:dyDescent="0.35">
      <c r="A155">
        <v>154</v>
      </c>
      <c r="B155">
        <v>45</v>
      </c>
      <c r="C155" t="str">
        <f t="shared" si="10"/>
        <v>36-45</v>
      </c>
      <c r="D155" t="s">
        <v>38</v>
      </c>
      <c r="E155" t="s">
        <v>32</v>
      </c>
      <c r="F155" s="3">
        <v>1389</v>
      </c>
      <c r="G155" t="s">
        <v>40</v>
      </c>
      <c r="H155" s="1">
        <v>9</v>
      </c>
      <c r="I155" t="s">
        <v>61</v>
      </c>
      <c r="J155" t="s">
        <v>34</v>
      </c>
      <c r="K155" t="s">
        <v>61</v>
      </c>
      <c r="L155" t="s">
        <v>41</v>
      </c>
      <c r="M155" s="3">
        <v>60</v>
      </c>
      <c r="N155" t="s">
        <v>60</v>
      </c>
      <c r="O155" t="s">
        <v>61</v>
      </c>
      <c r="P155" t="s">
        <v>45</v>
      </c>
      <c r="Q155" t="s">
        <v>61</v>
      </c>
      <c r="R155" t="s">
        <v>47</v>
      </c>
      <c r="S155" s="3">
        <v>2348</v>
      </c>
      <c r="T155" s="3">
        <v>10901</v>
      </c>
      <c r="U155" s="3" t="str">
        <f t="shared" si="11"/>
        <v>Low</v>
      </c>
      <c r="V155">
        <v>8</v>
      </c>
      <c r="W155" t="s">
        <v>38</v>
      </c>
      <c r="X155" s="2">
        <v>18</v>
      </c>
      <c r="Y155" t="s">
        <v>60</v>
      </c>
      <c r="Z155" t="s">
        <v>60</v>
      </c>
      <c r="AA155">
        <v>1</v>
      </c>
      <c r="AB155">
        <v>20</v>
      </c>
      <c r="AC155">
        <v>2</v>
      </c>
      <c r="AD155">
        <v>1</v>
      </c>
      <c r="AE155">
        <v>17</v>
      </c>
      <c r="AF155">
        <v>9</v>
      </c>
      <c r="AG155">
        <v>0</v>
      </c>
      <c r="AH155">
        <v>15</v>
      </c>
      <c r="AI155" t="str">
        <f t="shared" si="8"/>
        <v>10+ Years</v>
      </c>
      <c r="AJ155" t="str">
        <f t="shared" si="9"/>
        <v>0-2</v>
      </c>
    </row>
    <row r="156" spans="1:36" x14ac:dyDescent="0.35">
      <c r="A156">
        <v>155</v>
      </c>
      <c r="B156">
        <v>32</v>
      </c>
      <c r="C156" t="str">
        <f t="shared" si="10"/>
        <v>26-35</v>
      </c>
      <c r="D156" t="s">
        <v>38</v>
      </c>
      <c r="E156" t="s">
        <v>39</v>
      </c>
      <c r="F156" s="3">
        <v>1389</v>
      </c>
      <c r="G156" t="s">
        <v>33</v>
      </c>
      <c r="H156" s="1">
        <v>8</v>
      </c>
      <c r="I156" t="s">
        <v>61</v>
      </c>
      <c r="J156" t="s">
        <v>54</v>
      </c>
      <c r="K156" t="s">
        <v>61</v>
      </c>
      <c r="L156" t="s">
        <v>35</v>
      </c>
      <c r="M156" s="3">
        <v>43</v>
      </c>
      <c r="N156" t="s">
        <v>60</v>
      </c>
      <c r="O156" t="s">
        <v>60</v>
      </c>
      <c r="P156" t="s">
        <v>36</v>
      </c>
      <c r="Q156" t="s">
        <v>62</v>
      </c>
      <c r="R156" t="s">
        <v>37</v>
      </c>
      <c r="S156" s="3">
        <v>8998</v>
      </c>
      <c r="T156" s="3">
        <v>15589</v>
      </c>
      <c r="U156" s="3" t="str">
        <f t="shared" si="11"/>
        <v>Medium</v>
      </c>
      <c r="V156">
        <v>1</v>
      </c>
      <c r="W156" t="s">
        <v>38</v>
      </c>
      <c r="X156" s="2">
        <v>14</v>
      </c>
      <c r="Y156" t="s">
        <v>60</v>
      </c>
      <c r="Z156" t="s">
        <v>62</v>
      </c>
      <c r="AA156">
        <v>0</v>
      </c>
      <c r="AB156">
        <v>9</v>
      </c>
      <c r="AC156">
        <v>2</v>
      </c>
      <c r="AD156">
        <v>3</v>
      </c>
      <c r="AE156">
        <v>9</v>
      </c>
      <c r="AF156">
        <v>8</v>
      </c>
      <c r="AG156">
        <v>3</v>
      </c>
      <c r="AH156">
        <v>7</v>
      </c>
      <c r="AI156" t="str">
        <f t="shared" si="8"/>
        <v>6-10 Years</v>
      </c>
      <c r="AJ156" t="str">
        <f t="shared" si="9"/>
        <v>3-5</v>
      </c>
    </row>
    <row r="157" spans="1:36" x14ac:dyDescent="0.35">
      <c r="A157">
        <v>156</v>
      </c>
      <c r="B157">
        <v>29</v>
      </c>
      <c r="C157" t="str">
        <f t="shared" si="10"/>
        <v>26-35</v>
      </c>
      <c r="D157" t="s">
        <v>38</v>
      </c>
      <c r="E157" t="s">
        <v>50</v>
      </c>
      <c r="F157" s="3">
        <v>1389</v>
      </c>
      <c r="G157" t="s">
        <v>40</v>
      </c>
      <c r="H157" s="1">
        <v>1</v>
      </c>
      <c r="I157" t="s">
        <v>59</v>
      </c>
      <c r="J157" t="s">
        <v>55</v>
      </c>
      <c r="K157" t="s">
        <v>62</v>
      </c>
      <c r="L157" t="s">
        <v>41</v>
      </c>
      <c r="M157" s="3">
        <v>41</v>
      </c>
      <c r="N157" t="s">
        <v>60</v>
      </c>
      <c r="O157" t="s">
        <v>61</v>
      </c>
      <c r="P157" t="s">
        <v>48</v>
      </c>
      <c r="Q157" t="s">
        <v>60</v>
      </c>
      <c r="R157" t="s">
        <v>43</v>
      </c>
      <c r="S157" s="3">
        <v>4319</v>
      </c>
      <c r="T157" s="3">
        <v>26283</v>
      </c>
      <c r="U157" s="3" t="str">
        <f t="shared" si="11"/>
        <v>Low</v>
      </c>
      <c r="V157">
        <v>1</v>
      </c>
      <c r="W157" t="s">
        <v>38</v>
      </c>
      <c r="X157" s="2">
        <v>13</v>
      </c>
      <c r="Y157" t="s">
        <v>60</v>
      </c>
      <c r="Z157" t="s">
        <v>59</v>
      </c>
      <c r="AA157">
        <v>1</v>
      </c>
      <c r="AB157">
        <v>10</v>
      </c>
      <c r="AC157">
        <v>1</v>
      </c>
      <c r="AD157">
        <v>3</v>
      </c>
      <c r="AE157">
        <v>10</v>
      </c>
      <c r="AF157">
        <v>7</v>
      </c>
      <c r="AG157">
        <v>0</v>
      </c>
      <c r="AH157">
        <v>9</v>
      </c>
      <c r="AI157" t="str">
        <f t="shared" si="8"/>
        <v>6-10 Years</v>
      </c>
      <c r="AJ157" t="str">
        <f t="shared" si="9"/>
        <v>0-2</v>
      </c>
    </row>
    <row r="158" spans="1:36" x14ac:dyDescent="0.35">
      <c r="A158">
        <v>157</v>
      </c>
      <c r="B158">
        <v>51</v>
      </c>
      <c r="C158" t="str">
        <f t="shared" si="10"/>
        <v>46-55</v>
      </c>
      <c r="D158" t="s">
        <v>38</v>
      </c>
      <c r="E158" t="s">
        <v>32</v>
      </c>
      <c r="F158" s="3">
        <v>1389</v>
      </c>
      <c r="G158" t="s">
        <v>40</v>
      </c>
      <c r="H158" s="1">
        <v>7</v>
      </c>
      <c r="I158" t="s">
        <v>60</v>
      </c>
      <c r="J158" t="s">
        <v>46</v>
      </c>
      <c r="K158" t="s">
        <v>61</v>
      </c>
      <c r="L158" t="s">
        <v>41</v>
      </c>
      <c r="M158" s="3">
        <v>34</v>
      </c>
      <c r="N158" t="s">
        <v>61</v>
      </c>
      <c r="O158" t="s">
        <v>61</v>
      </c>
      <c r="P158" t="s">
        <v>48</v>
      </c>
      <c r="Q158" t="s">
        <v>60</v>
      </c>
      <c r="R158" t="s">
        <v>43</v>
      </c>
      <c r="S158" s="3">
        <v>6132</v>
      </c>
      <c r="T158" s="3">
        <v>13983</v>
      </c>
      <c r="U158" s="3" t="str">
        <f t="shared" si="11"/>
        <v>Medium</v>
      </c>
      <c r="V158">
        <v>2</v>
      </c>
      <c r="W158" t="s">
        <v>38</v>
      </c>
      <c r="X158" s="2">
        <v>17</v>
      </c>
      <c r="Y158" t="s">
        <v>60</v>
      </c>
      <c r="Z158" t="s">
        <v>60</v>
      </c>
      <c r="AA158">
        <v>0</v>
      </c>
      <c r="AB158">
        <v>10</v>
      </c>
      <c r="AC158">
        <v>2</v>
      </c>
      <c r="AD158">
        <v>3</v>
      </c>
      <c r="AE158">
        <v>1</v>
      </c>
      <c r="AF158">
        <v>0</v>
      </c>
      <c r="AG158">
        <v>0</v>
      </c>
      <c r="AH158">
        <v>0</v>
      </c>
      <c r="AI158" t="str">
        <f t="shared" si="8"/>
        <v>0-2 Years</v>
      </c>
      <c r="AJ158" t="str">
        <f t="shared" si="9"/>
        <v>0-2</v>
      </c>
    </row>
    <row r="159" spans="1:36" x14ac:dyDescent="0.35">
      <c r="A159">
        <v>158</v>
      </c>
      <c r="B159">
        <v>58</v>
      </c>
      <c r="C159" t="str">
        <f t="shared" si="10"/>
        <v>55+</v>
      </c>
      <c r="D159" t="s">
        <v>38</v>
      </c>
      <c r="E159" t="s">
        <v>32</v>
      </c>
      <c r="F159" s="3">
        <v>1389</v>
      </c>
      <c r="G159" t="s">
        <v>40</v>
      </c>
      <c r="H159" s="1">
        <v>9</v>
      </c>
      <c r="I159" t="s">
        <v>61</v>
      </c>
      <c r="J159" t="s">
        <v>46</v>
      </c>
      <c r="K159" t="s">
        <v>61</v>
      </c>
      <c r="L159" t="s">
        <v>35</v>
      </c>
      <c r="M159" s="3">
        <v>75</v>
      </c>
      <c r="N159" t="s">
        <v>61</v>
      </c>
      <c r="O159" t="s">
        <v>59</v>
      </c>
      <c r="P159" t="s">
        <v>42</v>
      </c>
      <c r="Q159" t="s">
        <v>61</v>
      </c>
      <c r="R159" t="s">
        <v>43</v>
      </c>
      <c r="S159" s="3">
        <v>3346</v>
      </c>
      <c r="T159" s="3">
        <v>11873</v>
      </c>
      <c r="U159" s="3" t="str">
        <f t="shared" si="11"/>
        <v>Low</v>
      </c>
      <c r="V159">
        <v>4</v>
      </c>
      <c r="W159" t="s">
        <v>31</v>
      </c>
      <c r="X159" s="2">
        <v>20</v>
      </c>
      <c r="Y159" t="s">
        <v>62</v>
      </c>
      <c r="Z159" t="s">
        <v>61</v>
      </c>
      <c r="AA159">
        <v>1</v>
      </c>
      <c r="AB159">
        <v>9</v>
      </c>
      <c r="AC159">
        <v>3</v>
      </c>
      <c r="AD159">
        <v>2</v>
      </c>
      <c r="AE159">
        <v>1</v>
      </c>
      <c r="AF159">
        <v>0</v>
      </c>
      <c r="AG159">
        <v>0</v>
      </c>
      <c r="AH159">
        <v>0</v>
      </c>
      <c r="AI159" t="str">
        <f t="shared" si="8"/>
        <v>0-2 Years</v>
      </c>
      <c r="AJ159" t="str">
        <f t="shared" si="9"/>
        <v>0-2</v>
      </c>
    </row>
    <row r="160" spans="1:36" x14ac:dyDescent="0.35">
      <c r="A160">
        <v>159</v>
      </c>
      <c r="B160">
        <v>40</v>
      </c>
      <c r="C160" t="str">
        <f t="shared" si="10"/>
        <v>36-45</v>
      </c>
      <c r="D160" t="s">
        <v>38</v>
      </c>
      <c r="E160" t="s">
        <v>32</v>
      </c>
      <c r="F160" s="3">
        <v>1389</v>
      </c>
      <c r="G160" t="s">
        <v>33</v>
      </c>
      <c r="H160" s="1">
        <v>4</v>
      </c>
      <c r="I160" t="s">
        <v>60</v>
      </c>
      <c r="J160" t="s">
        <v>54</v>
      </c>
      <c r="K160" t="s">
        <v>60</v>
      </c>
      <c r="L160" t="s">
        <v>41</v>
      </c>
      <c r="M160" s="3">
        <v>67</v>
      </c>
      <c r="N160" t="s">
        <v>61</v>
      </c>
      <c r="O160" t="s">
        <v>60</v>
      </c>
      <c r="P160" t="s">
        <v>36</v>
      </c>
      <c r="Q160" t="s">
        <v>62</v>
      </c>
      <c r="R160" t="s">
        <v>43</v>
      </c>
      <c r="S160" s="3">
        <v>10855</v>
      </c>
      <c r="T160" s="3">
        <v>8552</v>
      </c>
      <c r="U160" s="3" t="str">
        <f t="shared" si="11"/>
        <v>High</v>
      </c>
      <c r="V160">
        <v>7</v>
      </c>
      <c r="W160" t="s">
        <v>38</v>
      </c>
      <c r="X160" s="2">
        <v>11</v>
      </c>
      <c r="Y160" t="s">
        <v>60</v>
      </c>
      <c r="Z160" t="s">
        <v>59</v>
      </c>
      <c r="AA160">
        <v>1</v>
      </c>
      <c r="AB160">
        <v>15</v>
      </c>
      <c r="AC160">
        <v>2</v>
      </c>
      <c r="AD160">
        <v>2</v>
      </c>
      <c r="AE160">
        <v>12</v>
      </c>
      <c r="AF160">
        <v>11</v>
      </c>
      <c r="AG160">
        <v>2</v>
      </c>
      <c r="AH160">
        <v>11</v>
      </c>
      <c r="AI160" t="str">
        <f t="shared" si="8"/>
        <v>10+ Years</v>
      </c>
      <c r="AJ160" t="str">
        <f t="shared" si="9"/>
        <v>0-2</v>
      </c>
    </row>
    <row r="161" spans="1:36" x14ac:dyDescent="0.35">
      <c r="A161">
        <v>160</v>
      </c>
      <c r="B161">
        <v>34</v>
      </c>
      <c r="C161" t="str">
        <f t="shared" si="10"/>
        <v>26-35</v>
      </c>
      <c r="D161" t="s">
        <v>38</v>
      </c>
      <c r="E161" t="s">
        <v>39</v>
      </c>
      <c r="F161" s="3">
        <v>1389</v>
      </c>
      <c r="G161" t="s">
        <v>33</v>
      </c>
      <c r="H161" s="1">
        <v>2</v>
      </c>
      <c r="I161" t="s">
        <v>60</v>
      </c>
      <c r="J161" t="s">
        <v>54</v>
      </c>
      <c r="K161" t="s">
        <v>60</v>
      </c>
      <c r="L161" t="s">
        <v>35</v>
      </c>
      <c r="M161" s="3">
        <v>75</v>
      </c>
      <c r="N161" t="s">
        <v>60</v>
      </c>
      <c r="O161" t="s">
        <v>59</v>
      </c>
      <c r="P161" t="s">
        <v>52</v>
      </c>
      <c r="Q161" t="s">
        <v>60</v>
      </c>
      <c r="R161" t="s">
        <v>43</v>
      </c>
      <c r="S161" s="3">
        <v>2231</v>
      </c>
      <c r="T161" s="3">
        <v>11314</v>
      </c>
      <c r="U161" s="3" t="str">
        <f t="shared" si="11"/>
        <v>Low</v>
      </c>
      <c r="V161">
        <v>6</v>
      </c>
      <c r="W161" t="s">
        <v>38</v>
      </c>
      <c r="X161" s="2">
        <v>18</v>
      </c>
      <c r="Y161" t="s">
        <v>60</v>
      </c>
      <c r="Z161" t="s">
        <v>62</v>
      </c>
      <c r="AA161">
        <v>1</v>
      </c>
      <c r="AB161">
        <v>6</v>
      </c>
      <c r="AC161">
        <v>3</v>
      </c>
      <c r="AD161">
        <v>3</v>
      </c>
      <c r="AE161">
        <v>4</v>
      </c>
      <c r="AF161">
        <v>3</v>
      </c>
      <c r="AG161">
        <v>1</v>
      </c>
      <c r="AH161">
        <v>2</v>
      </c>
      <c r="AI161" t="str">
        <f t="shared" si="8"/>
        <v>3-5 Years</v>
      </c>
      <c r="AJ161" t="str">
        <f t="shared" si="9"/>
        <v>0-2</v>
      </c>
    </row>
    <row r="162" spans="1:36" x14ac:dyDescent="0.35">
      <c r="A162">
        <v>161</v>
      </c>
      <c r="B162">
        <v>22</v>
      </c>
      <c r="C162" t="str">
        <f t="shared" si="10"/>
        <v>18-25</v>
      </c>
      <c r="D162" t="s">
        <v>38</v>
      </c>
      <c r="E162" t="s">
        <v>32</v>
      </c>
      <c r="F162" s="3">
        <v>1389</v>
      </c>
      <c r="G162" t="s">
        <v>40</v>
      </c>
      <c r="H162" s="1">
        <v>19</v>
      </c>
      <c r="I162" t="s">
        <v>59</v>
      </c>
      <c r="J162" t="s">
        <v>46</v>
      </c>
      <c r="K162" t="s">
        <v>60</v>
      </c>
      <c r="L162" t="s">
        <v>41</v>
      </c>
      <c r="M162" s="3">
        <v>80</v>
      </c>
      <c r="N162" t="s">
        <v>60</v>
      </c>
      <c r="O162" t="s">
        <v>59</v>
      </c>
      <c r="P162" t="s">
        <v>42</v>
      </c>
      <c r="Q162" t="s">
        <v>62</v>
      </c>
      <c r="R162" t="s">
        <v>43</v>
      </c>
      <c r="S162" s="3">
        <v>2323</v>
      </c>
      <c r="T162" s="3">
        <v>11992</v>
      </c>
      <c r="U162" s="3" t="str">
        <f t="shared" si="11"/>
        <v>Low</v>
      </c>
      <c r="V162">
        <v>1</v>
      </c>
      <c r="W162" t="s">
        <v>38</v>
      </c>
      <c r="X162" s="2">
        <v>24</v>
      </c>
      <c r="Y162" t="s">
        <v>62</v>
      </c>
      <c r="Z162" t="s">
        <v>59</v>
      </c>
      <c r="AA162">
        <v>2</v>
      </c>
      <c r="AB162">
        <v>2</v>
      </c>
      <c r="AC162">
        <v>6</v>
      </c>
      <c r="AD162">
        <v>3</v>
      </c>
      <c r="AE162">
        <v>2</v>
      </c>
      <c r="AF162">
        <v>2</v>
      </c>
      <c r="AG162">
        <v>2</v>
      </c>
      <c r="AH162">
        <v>2</v>
      </c>
      <c r="AI162" t="str">
        <f t="shared" si="8"/>
        <v>0-2 Years</v>
      </c>
      <c r="AJ162" t="str">
        <f t="shared" si="9"/>
        <v>0-2</v>
      </c>
    </row>
    <row r="163" spans="1:36" x14ac:dyDescent="0.35">
      <c r="A163">
        <v>162</v>
      </c>
      <c r="B163">
        <v>27</v>
      </c>
      <c r="C163" t="str">
        <f t="shared" si="10"/>
        <v>26-35</v>
      </c>
      <c r="D163" t="s">
        <v>38</v>
      </c>
      <c r="E163" t="s">
        <v>50</v>
      </c>
      <c r="F163" s="3">
        <v>1389</v>
      </c>
      <c r="G163" t="s">
        <v>40</v>
      </c>
      <c r="H163" s="1">
        <v>9</v>
      </c>
      <c r="I163" t="s">
        <v>61</v>
      </c>
      <c r="J163" t="s">
        <v>46</v>
      </c>
      <c r="K163" t="s">
        <v>62</v>
      </c>
      <c r="L163" t="s">
        <v>41</v>
      </c>
      <c r="M163" s="3">
        <v>57</v>
      </c>
      <c r="N163" t="s">
        <v>60</v>
      </c>
      <c r="O163" t="s">
        <v>59</v>
      </c>
      <c r="P163" t="s">
        <v>42</v>
      </c>
      <c r="Q163" t="s">
        <v>61</v>
      </c>
      <c r="R163" t="s">
        <v>47</v>
      </c>
      <c r="S163" s="3">
        <v>2024</v>
      </c>
      <c r="T163" s="3">
        <v>5970</v>
      </c>
      <c r="U163" s="3" t="str">
        <f t="shared" si="11"/>
        <v>Low</v>
      </c>
      <c r="V163">
        <v>6</v>
      </c>
      <c r="W163" t="s">
        <v>38</v>
      </c>
      <c r="X163" s="2">
        <v>18</v>
      </c>
      <c r="Y163" t="s">
        <v>60</v>
      </c>
      <c r="Z163" t="s">
        <v>62</v>
      </c>
      <c r="AA163">
        <v>1</v>
      </c>
      <c r="AB163">
        <v>6</v>
      </c>
      <c r="AC163">
        <v>1</v>
      </c>
      <c r="AD163">
        <v>1</v>
      </c>
      <c r="AE163">
        <v>2</v>
      </c>
      <c r="AF163">
        <v>2</v>
      </c>
      <c r="AG163">
        <v>2</v>
      </c>
      <c r="AH163">
        <v>2</v>
      </c>
      <c r="AI163" t="str">
        <f t="shared" si="8"/>
        <v>0-2 Years</v>
      </c>
      <c r="AJ163" t="str">
        <f t="shared" si="9"/>
        <v>0-2</v>
      </c>
    </row>
    <row r="164" spans="1:36" x14ac:dyDescent="0.35">
      <c r="A164">
        <v>163</v>
      </c>
      <c r="B164">
        <v>28</v>
      </c>
      <c r="C164" t="str">
        <f t="shared" si="10"/>
        <v>26-35</v>
      </c>
      <c r="D164" t="s">
        <v>38</v>
      </c>
      <c r="E164" t="s">
        <v>32</v>
      </c>
      <c r="F164" s="3">
        <v>1389</v>
      </c>
      <c r="G164" t="s">
        <v>40</v>
      </c>
      <c r="H164" s="1">
        <v>21</v>
      </c>
      <c r="I164" t="s">
        <v>61</v>
      </c>
      <c r="J164" t="s">
        <v>46</v>
      </c>
      <c r="K164" t="s">
        <v>60</v>
      </c>
      <c r="L164" t="s">
        <v>41</v>
      </c>
      <c r="M164" s="3">
        <v>42</v>
      </c>
      <c r="N164" t="s">
        <v>60</v>
      </c>
      <c r="O164" t="s">
        <v>59</v>
      </c>
      <c r="P164" t="s">
        <v>42</v>
      </c>
      <c r="Q164" t="s">
        <v>62</v>
      </c>
      <c r="R164" t="s">
        <v>43</v>
      </c>
      <c r="S164" s="3">
        <v>2713</v>
      </c>
      <c r="T164" s="3">
        <v>6672</v>
      </c>
      <c r="U164" s="3" t="str">
        <f t="shared" si="11"/>
        <v>Low</v>
      </c>
      <c r="V164">
        <v>1</v>
      </c>
      <c r="W164" t="s">
        <v>38</v>
      </c>
      <c r="X164" s="2">
        <v>11</v>
      </c>
      <c r="Y164" t="s">
        <v>60</v>
      </c>
      <c r="Z164" t="s">
        <v>60</v>
      </c>
      <c r="AA164">
        <v>1</v>
      </c>
      <c r="AB164">
        <v>5</v>
      </c>
      <c r="AC164">
        <v>2</v>
      </c>
      <c r="AD164">
        <v>1</v>
      </c>
      <c r="AE164">
        <v>5</v>
      </c>
      <c r="AF164">
        <v>2</v>
      </c>
      <c r="AG164">
        <v>0</v>
      </c>
      <c r="AH164">
        <v>2</v>
      </c>
      <c r="AI164" t="str">
        <f t="shared" si="8"/>
        <v>3-5 Years</v>
      </c>
      <c r="AJ164" t="str">
        <f t="shared" si="9"/>
        <v>0-2</v>
      </c>
    </row>
    <row r="165" spans="1:36" x14ac:dyDescent="0.35">
      <c r="A165">
        <v>164</v>
      </c>
      <c r="B165">
        <v>57</v>
      </c>
      <c r="C165" t="str">
        <f t="shared" si="10"/>
        <v>55+</v>
      </c>
      <c r="D165" t="s">
        <v>38</v>
      </c>
      <c r="E165" t="s">
        <v>32</v>
      </c>
      <c r="F165" s="3">
        <v>1389</v>
      </c>
      <c r="G165" t="s">
        <v>40</v>
      </c>
      <c r="H165" s="1">
        <v>24</v>
      </c>
      <c r="I165" t="s">
        <v>58</v>
      </c>
      <c r="J165" t="s">
        <v>34</v>
      </c>
      <c r="K165" t="s">
        <v>60</v>
      </c>
      <c r="L165" t="s">
        <v>41</v>
      </c>
      <c r="M165" s="3">
        <v>83</v>
      </c>
      <c r="N165" t="s">
        <v>62</v>
      </c>
      <c r="O165" t="s">
        <v>60</v>
      </c>
      <c r="P165" t="s">
        <v>49</v>
      </c>
      <c r="Q165" t="s">
        <v>62</v>
      </c>
      <c r="R165" t="s">
        <v>47</v>
      </c>
      <c r="S165" s="3">
        <v>9439</v>
      </c>
      <c r="T165" s="3">
        <v>23402</v>
      </c>
      <c r="U165" s="3" t="str">
        <f t="shared" si="11"/>
        <v>Medium</v>
      </c>
      <c r="V165">
        <v>3</v>
      </c>
      <c r="W165" t="s">
        <v>31</v>
      </c>
      <c r="X165" s="2">
        <v>16</v>
      </c>
      <c r="Y165" t="s">
        <v>60</v>
      </c>
      <c r="Z165" t="s">
        <v>61</v>
      </c>
      <c r="AA165">
        <v>1</v>
      </c>
      <c r="AB165">
        <v>12</v>
      </c>
      <c r="AC165">
        <v>2</v>
      </c>
      <c r="AD165">
        <v>1</v>
      </c>
      <c r="AE165">
        <v>5</v>
      </c>
      <c r="AF165">
        <v>3</v>
      </c>
      <c r="AG165">
        <v>1</v>
      </c>
      <c r="AH165">
        <v>4</v>
      </c>
      <c r="AI165" t="str">
        <f t="shared" si="8"/>
        <v>3-5 Years</v>
      </c>
      <c r="AJ165" t="str">
        <f t="shared" si="9"/>
        <v>0-2</v>
      </c>
    </row>
    <row r="166" spans="1:36" x14ac:dyDescent="0.35">
      <c r="A166">
        <v>165</v>
      </c>
      <c r="B166">
        <v>27</v>
      </c>
      <c r="C166" t="str">
        <f t="shared" si="10"/>
        <v>26-35</v>
      </c>
      <c r="D166" t="s">
        <v>38</v>
      </c>
      <c r="E166" t="s">
        <v>50</v>
      </c>
      <c r="F166" s="3">
        <v>1389</v>
      </c>
      <c r="G166" t="s">
        <v>40</v>
      </c>
      <c r="H166" s="1">
        <v>3</v>
      </c>
      <c r="I166" t="s">
        <v>61</v>
      </c>
      <c r="J166" t="s">
        <v>46</v>
      </c>
      <c r="K166" t="s">
        <v>60</v>
      </c>
      <c r="L166" t="s">
        <v>41</v>
      </c>
      <c r="M166" s="3">
        <v>79</v>
      </c>
      <c r="N166" t="s">
        <v>61</v>
      </c>
      <c r="O166" t="s">
        <v>59</v>
      </c>
      <c r="P166" t="s">
        <v>42</v>
      </c>
      <c r="Q166" t="s">
        <v>60</v>
      </c>
      <c r="R166" t="s">
        <v>47</v>
      </c>
      <c r="S166" s="3">
        <v>2566</v>
      </c>
      <c r="T166" s="3">
        <v>25326</v>
      </c>
      <c r="U166" s="3" t="str">
        <f t="shared" si="11"/>
        <v>Low</v>
      </c>
      <c r="V166">
        <v>1</v>
      </c>
      <c r="W166" t="s">
        <v>31</v>
      </c>
      <c r="X166" s="2">
        <v>15</v>
      </c>
      <c r="Y166" t="s">
        <v>60</v>
      </c>
      <c r="Z166" t="s">
        <v>62</v>
      </c>
      <c r="AA166">
        <v>1</v>
      </c>
      <c r="AB166">
        <v>1</v>
      </c>
      <c r="AC166">
        <v>2</v>
      </c>
      <c r="AD166">
        <v>2</v>
      </c>
      <c r="AE166">
        <v>1</v>
      </c>
      <c r="AF166">
        <v>1</v>
      </c>
      <c r="AG166">
        <v>0</v>
      </c>
      <c r="AH166">
        <v>1</v>
      </c>
      <c r="AI166" t="str">
        <f t="shared" si="8"/>
        <v>0-2 Years</v>
      </c>
      <c r="AJ166" t="str">
        <f t="shared" si="9"/>
        <v>0-2</v>
      </c>
    </row>
    <row r="167" spans="1:36" x14ac:dyDescent="0.35">
      <c r="A167">
        <v>166</v>
      </c>
      <c r="B167">
        <v>50</v>
      </c>
      <c r="C167" t="str">
        <f t="shared" si="10"/>
        <v>46-55</v>
      </c>
      <c r="D167" t="s">
        <v>38</v>
      </c>
      <c r="E167" t="s">
        <v>32</v>
      </c>
      <c r="F167" s="3">
        <v>1389</v>
      </c>
      <c r="G167" t="s">
        <v>40</v>
      </c>
      <c r="H167" s="1">
        <v>11</v>
      </c>
      <c r="I167" t="s">
        <v>61</v>
      </c>
      <c r="J167" t="s">
        <v>34</v>
      </c>
      <c r="K167" t="s">
        <v>60</v>
      </c>
      <c r="L167" t="s">
        <v>35</v>
      </c>
      <c r="M167" s="3">
        <v>53</v>
      </c>
      <c r="N167" t="s">
        <v>60</v>
      </c>
      <c r="O167" t="e">
        <v>#N/A</v>
      </c>
      <c r="P167" t="s">
        <v>51</v>
      </c>
      <c r="Q167" t="s">
        <v>61</v>
      </c>
      <c r="R167" t="s">
        <v>37</v>
      </c>
      <c r="S167" s="3">
        <v>19926</v>
      </c>
      <c r="T167" s="3">
        <v>17053</v>
      </c>
      <c r="U167" s="3" t="str">
        <f t="shared" si="11"/>
        <v>High</v>
      </c>
      <c r="V167">
        <v>3</v>
      </c>
      <c r="W167" t="s">
        <v>38</v>
      </c>
      <c r="X167" s="2">
        <v>15</v>
      </c>
      <c r="Y167" t="s">
        <v>60</v>
      </c>
      <c r="Z167" t="s">
        <v>61</v>
      </c>
      <c r="AA167">
        <v>0</v>
      </c>
      <c r="AB167">
        <v>21</v>
      </c>
      <c r="AC167">
        <v>5</v>
      </c>
      <c r="AD167">
        <v>3</v>
      </c>
      <c r="AE167">
        <v>5</v>
      </c>
      <c r="AF167">
        <v>4</v>
      </c>
      <c r="AG167">
        <v>4</v>
      </c>
      <c r="AH167">
        <v>4</v>
      </c>
      <c r="AI167" t="str">
        <f t="shared" si="8"/>
        <v>3-5 Years</v>
      </c>
      <c r="AJ167" t="str">
        <f t="shared" si="9"/>
        <v>3-5</v>
      </c>
    </row>
    <row r="168" spans="1:36" x14ac:dyDescent="0.35">
      <c r="A168">
        <v>167</v>
      </c>
      <c r="B168">
        <v>41</v>
      </c>
      <c r="C168" t="str">
        <f t="shared" si="10"/>
        <v>36-45</v>
      </c>
      <c r="D168" t="s">
        <v>38</v>
      </c>
      <c r="E168" t="s">
        <v>32</v>
      </c>
      <c r="F168" s="3">
        <v>1389</v>
      </c>
      <c r="G168" t="s">
        <v>40</v>
      </c>
      <c r="H168" s="1">
        <v>14</v>
      </c>
      <c r="I168" t="s">
        <v>61</v>
      </c>
      <c r="J168" t="s">
        <v>34</v>
      </c>
      <c r="K168" t="s">
        <v>59</v>
      </c>
      <c r="L168" t="s">
        <v>41</v>
      </c>
      <c r="M168" s="3">
        <v>56</v>
      </c>
      <c r="N168" t="s">
        <v>60</v>
      </c>
      <c r="O168" t="s">
        <v>59</v>
      </c>
      <c r="P168" t="s">
        <v>42</v>
      </c>
      <c r="Q168" t="s">
        <v>60</v>
      </c>
      <c r="R168" t="s">
        <v>47</v>
      </c>
      <c r="S168" s="3">
        <v>2451</v>
      </c>
      <c r="T168" s="3">
        <v>4609</v>
      </c>
      <c r="U168" s="3" t="str">
        <f t="shared" si="11"/>
        <v>Low</v>
      </c>
      <c r="V168">
        <v>4</v>
      </c>
      <c r="W168" t="s">
        <v>38</v>
      </c>
      <c r="X168" s="2">
        <v>12</v>
      </c>
      <c r="Y168" t="s">
        <v>60</v>
      </c>
      <c r="Z168" t="s">
        <v>59</v>
      </c>
      <c r="AA168">
        <v>1</v>
      </c>
      <c r="AB168">
        <v>13</v>
      </c>
      <c r="AC168">
        <v>2</v>
      </c>
      <c r="AD168">
        <v>3</v>
      </c>
      <c r="AE168">
        <v>9</v>
      </c>
      <c r="AF168">
        <v>8</v>
      </c>
      <c r="AG168">
        <v>1</v>
      </c>
      <c r="AH168">
        <v>8</v>
      </c>
      <c r="AI168" t="str">
        <f t="shared" si="8"/>
        <v>6-10 Years</v>
      </c>
      <c r="AJ168" t="str">
        <f t="shared" si="9"/>
        <v>0-2</v>
      </c>
    </row>
    <row r="169" spans="1:36" x14ac:dyDescent="0.35">
      <c r="A169">
        <v>168</v>
      </c>
      <c r="B169">
        <v>30</v>
      </c>
      <c r="C169" t="str">
        <f t="shared" si="10"/>
        <v>26-35</v>
      </c>
      <c r="D169" t="s">
        <v>38</v>
      </c>
      <c r="E169" t="s">
        <v>32</v>
      </c>
      <c r="F169" s="3">
        <v>1389</v>
      </c>
      <c r="G169" t="s">
        <v>33</v>
      </c>
      <c r="H169" s="1">
        <v>5</v>
      </c>
      <c r="I169" t="s">
        <v>61</v>
      </c>
      <c r="J169" t="s">
        <v>34</v>
      </c>
      <c r="K169" t="s">
        <v>61</v>
      </c>
      <c r="L169" t="s">
        <v>35</v>
      </c>
      <c r="M169" s="3">
        <v>41</v>
      </c>
      <c r="N169" t="s">
        <v>60</v>
      </c>
      <c r="O169" t="s">
        <v>60</v>
      </c>
      <c r="P169" t="s">
        <v>36</v>
      </c>
      <c r="Q169" t="s">
        <v>62</v>
      </c>
      <c r="R169" t="s">
        <v>43</v>
      </c>
      <c r="S169" s="3">
        <v>9419</v>
      </c>
      <c r="T169" s="3">
        <v>8053</v>
      </c>
      <c r="U169" s="3" t="str">
        <f t="shared" si="11"/>
        <v>Medium</v>
      </c>
      <c r="V169">
        <v>2</v>
      </c>
      <c r="W169" t="s">
        <v>38</v>
      </c>
      <c r="X169" s="2">
        <v>12</v>
      </c>
      <c r="Y169" t="s">
        <v>60</v>
      </c>
      <c r="Z169" t="s">
        <v>60</v>
      </c>
      <c r="AA169">
        <v>1</v>
      </c>
      <c r="AB169">
        <v>12</v>
      </c>
      <c r="AC169">
        <v>2</v>
      </c>
      <c r="AD169">
        <v>3</v>
      </c>
      <c r="AE169">
        <v>10</v>
      </c>
      <c r="AF169">
        <v>9</v>
      </c>
      <c r="AG169">
        <v>7</v>
      </c>
      <c r="AH169">
        <v>4</v>
      </c>
      <c r="AI169" t="str">
        <f t="shared" si="8"/>
        <v>6-10 Years</v>
      </c>
      <c r="AJ169" t="str">
        <f t="shared" si="9"/>
        <v>6+</v>
      </c>
    </row>
    <row r="170" spans="1:36" x14ac:dyDescent="0.35">
      <c r="A170">
        <v>169</v>
      </c>
      <c r="B170">
        <v>38</v>
      </c>
      <c r="C170" t="str">
        <f t="shared" si="10"/>
        <v>36-45</v>
      </c>
      <c r="D170" t="s">
        <v>38</v>
      </c>
      <c r="E170" t="s">
        <v>32</v>
      </c>
      <c r="F170" s="3">
        <v>1389</v>
      </c>
      <c r="G170" t="s">
        <v>33</v>
      </c>
      <c r="H170" s="1">
        <v>1</v>
      </c>
      <c r="I170" t="s">
        <v>60</v>
      </c>
      <c r="J170" t="s">
        <v>34</v>
      </c>
      <c r="K170" t="s">
        <v>59</v>
      </c>
      <c r="L170" t="s">
        <v>35</v>
      </c>
      <c r="M170" s="3">
        <v>59</v>
      </c>
      <c r="N170" t="s">
        <v>61</v>
      </c>
      <c r="O170" t="s">
        <v>61</v>
      </c>
      <c r="P170" t="s">
        <v>36</v>
      </c>
      <c r="Q170" t="s">
        <v>62</v>
      </c>
      <c r="R170" t="s">
        <v>37</v>
      </c>
      <c r="S170" s="3">
        <v>8686</v>
      </c>
      <c r="T170" s="3">
        <v>12930</v>
      </c>
      <c r="U170" s="3" t="str">
        <f t="shared" si="11"/>
        <v>Medium</v>
      </c>
      <c r="V170">
        <v>4</v>
      </c>
      <c r="W170" t="s">
        <v>38</v>
      </c>
      <c r="X170" s="2">
        <v>22</v>
      </c>
      <c r="Y170" t="s">
        <v>62</v>
      </c>
      <c r="Z170" t="s">
        <v>60</v>
      </c>
      <c r="AA170">
        <v>0</v>
      </c>
      <c r="AB170">
        <v>12</v>
      </c>
      <c r="AC170">
        <v>2</v>
      </c>
      <c r="AD170">
        <v>4</v>
      </c>
      <c r="AE170">
        <v>8</v>
      </c>
      <c r="AF170">
        <v>3</v>
      </c>
      <c r="AG170">
        <v>0</v>
      </c>
      <c r="AH170">
        <v>7</v>
      </c>
      <c r="AI170" t="str">
        <f t="shared" si="8"/>
        <v>6-10 Years</v>
      </c>
      <c r="AJ170" t="str">
        <f t="shared" si="9"/>
        <v>0-2</v>
      </c>
    </row>
    <row r="171" spans="1:36" x14ac:dyDescent="0.35">
      <c r="A171">
        <v>170</v>
      </c>
      <c r="B171">
        <v>32</v>
      </c>
      <c r="C171" t="str">
        <f t="shared" si="10"/>
        <v>26-35</v>
      </c>
      <c r="D171" t="s">
        <v>38</v>
      </c>
      <c r="E171" t="s">
        <v>32</v>
      </c>
      <c r="F171" s="3">
        <v>1389</v>
      </c>
      <c r="G171" t="s">
        <v>40</v>
      </c>
      <c r="H171" s="1">
        <v>6</v>
      </c>
      <c r="I171" t="s">
        <v>62</v>
      </c>
      <c r="J171" t="s">
        <v>34</v>
      </c>
      <c r="K171" t="s">
        <v>60</v>
      </c>
      <c r="L171" t="s">
        <v>41</v>
      </c>
      <c r="M171" s="3">
        <v>43</v>
      </c>
      <c r="N171" t="s">
        <v>60</v>
      </c>
      <c r="O171" t="s">
        <v>59</v>
      </c>
      <c r="P171" t="s">
        <v>42</v>
      </c>
      <c r="Q171" t="s">
        <v>60</v>
      </c>
      <c r="R171" t="s">
        <v>37</v>
      </c>
      <c r="S171" s="3">
        <v>3038</v>
      </c>
      <c r="T171" s="3">
        <v>12430</v>
      </c>
      <c r="U171" s="3" t="str">
        <f t="shared" si="11"/>
        <v>Low</v>
      </c>
      <c r="V171">
        <v>3</v>
      </c>
      <c r="W171" t="s">
        <v>38</v>
      </c>
      <c r="X171" s="2">
        <v>20</v>
      </c>
      <c r="Y171" t="s">
        <v>62</v>
      </c>
      <c r="Z171" t="s">
        <v>59</v>
      </c>
      <c r="AA171">
        <v>0</v>
      </c>
      <c r="AB171">
        <v>8</v>
      </c>
      <c r="AC171">
        <v>2</v>
      </c>
      <c r="AD171">
        <v>3</v>
      </c>
      <c r="AE171">
        <v>5</v>
      </c>
      <c r="AF171">
        <v>4</v>
      </c>
      <c r="AG171">
        <v>1</v>
      </c>
      <c r="AH171">
        <v>4</v>
      </c>
      <c r="AI171" t="str">
        <f t="shared" si="8"/>
        <v>3-5 Years</v>
      </c>
      <c r="AJ171" t="str">
        <f t="shared" si="9"/>
        <v>0-2</v>
      </c>
    </row>
    <row r="172" spans="1:36" x14ac:dyDescent="0.35">
      <c r="A172">
        <v>171</v>
      </c>
      <c r="B172">
        <v>27</v>
      </c>
      <c r="C172" t="str">
        <f t="shared" si="10"/>
        <v>26-35</v>
      </c>
      <c r="D172" t="s">
        <v>38</v>
      </c>
      <c r="E172" t="s">
        <v>32</v>
      </c>
      <c r="F172" s="3">
        <v>1389</v>
      </c>
      <c r="G172" t="s">
        <v>40</v>
      </c>
      <c r="H172" s="1">
        <v>17</v>
      </c>
      <c r="I172" t="s">
        <v>61</v>
      </c>
      <c r="J172" t="s">
        <v>55</v>
      </c>
      <c r="K172" t="s">
        <v>60</v>
      </c>
      <c r="L172" t="s">
        <v>41</v>
      </c>
      <c r="M172" s="3">
        <v>51</v>
      </c>
      <c r="N172" t="s">
        <v>60</v>
      </c>
      <c r="O172" t="s">
        <v>59</v>
      </c>
      <c r="P172" t="s">
        <v>42</v>
      </c>
      <c r="Q172" t="s">
        <v>61</v>
      </c>
      <c r="R172" t="s">
        <v>43</v>
      </c>
      <c r="S172" s="3">
        <v>3058</v>
      </c>
      <c r="T172" s="3">
        <v>13364</v>
      </c>
      <c r="U172" s="3" t="str">
        <f t="shared" si="11"/>
        <v>Low</v>
      </c>
      <c r="V172">
        <v>0</v>
      </c>
      <c r="W172" t="s">
        <v>31</v>
      </c>
      <c r="X172" s="2">
        <v>16</v>
      </c>
      <c r="Y172" t="s">
        <v>60</v>
      </c>
      <c r="Z172" t="s">
        <v>62</v>
      </c>
      <c r="AA172">
        <v>1</v>
      </c>
      <c r="AB172">
        <v>6</v>
      </c>
      <c r="AC172">
        <v>3</v>
      </c>
      <c r="AD172">
        <v>2</v>
      </c>
      <c r="AE172">
        <v>5</v>
      </c>
      <c r="AF172">
        <v>2</v>
      </c>
      <c r="AG172">
        <v>1</v>
      </c>
      <c r="AH172">
        <v>1</v>
      </c>
      <c r="AI172" t="str">
        <f t="shared" si="8"/>
        <v>3-5 Years</v>
      </c>
      <c r="AJ172" t="str">
        <f t="shared" si="9"/>
        <v>0-2</v>
      </c>
    </row>
    <row r="173" spans="1:36" x14ac:dyDescent="0.35">
      <c r="A173">
        <v>172</v>
      </c>
      <c r="B173">
        <v>19</v>
      </c>
      <c r="C173" t="str">
        <f t="shared" si="10"/>
        <v>18-25</v>
      </c>
      <c r="D173" t="s">
        <v>31</v>
      </c>
      <c r="E173" t="s">
        <v>39</v>
      </c>
      <c r="F173" s="3">
        <v>1389</v>
      </c>
      <c r="G173" t="s">
        <v>33</v>
      </c>
      <c r="H173" s="1">
        <v>1</v>
      </c>
      <c r="I173" t="s">
        <v>59</v>
      </c>
      <c r="J173" t="s">
        <v>55</v>
      </c>
      <c r="K173" t="s">
        <v>60</v>
      </c>
      <c r="L173" t="s">
        <v>35</v>
      </c>
      <c r="M173" s="3">
        <v>100</v>
      </c>
      <c r="N173" t="s">
        <v>59</v>
      </c>
      <c r="O173" t="s">
        <v>59</v>
      </c>
      <c r="P173" t="s">
        <v>52</v>
      </c>
      <c r="Q173" t="s">
        <v>59</v>
      </c>
      <c r="R173" t="s">
        <v>37</v>
      </c>
      <c r="S173" s="3">
        <v>2325</v>
      </c>
      <c r="T173" s="3">
        <v>20989</v>
      </c>
      <c r="U173" s="3" t="str">
        <f t="shared" si="11"/>
        <v>Low</v>
      </c>
      <c r="V173">
        <v>0</v>
      </c>
      <c r="W173" t="s">
        <v>38</v>
      </c>
      <c r="X173" s="2">
        <v>21</v>
      </c>
      <c r="Y173" t="s">
        <v>62</v>
      </c>
      <c r="Z173" t="s">
        <v>59</v>
      </c>
      <c r="AA173">
        <v>0</v>
      </c>
      <c r="AB173">
        <v>1</v>
      </c>
      <c r="AC173">
        <v>5</v>
      </c>
      <c r="AD173">
        <v>4</v>
      </c>
      <c r="AE173">
        <v>0</v>
      </c>
      <c r="AF173">
        <v>0</v>
      </c>
      <c r="AG173">
        <v>0</v>
      </c>
      <c r="AH173">
        <v>0</v>
      </c>
      <c r="AI173" t="str">
        <f t="shared" si="8"/>
        <v>0-2 Years</v>
      </c>
      <c r="AJ173" t="str">
        <f t="shared" si="9"/>
        <v>0-2</v>
      </c>
    </row>
    <row r="174" spans="1:36" x14ac:dyDescent="0.35">
      <c r="A174">
        <v>173</v>
      </c>
      <c r="B174">
        <v>36</v>
      </c>
      <c r="C174" t="str">
        <f t="shared" si="10"/>
        <v>36-45</v>
      </c>
      <c r="D174" t="s">
        <v>38</v>
      </c>
      <c r="E174" t="s">
        <v>39</v>
      </c>
      <c r="F174" s="3">
        <v>1389</v>
      </c>
      <c r="G174" t="s">
        <v>40</v>
      </c>
      <c r="H174" s="1">
        <v>3</v>
      </c>
      <c r="I174" t="s">
        <v>58</v>
      </c>
      <c r="J174" t="s">
        <v>46</v>
      </c>
      <c r="K174" t="s">
        <v>62</v>
      </c>
      <c r="L174" t="s">
        <v>41</v>
      </c>
      <c r="M174" s="3">
        <v>30</v>
      </c>
      <c r="N174" t="s">
        <v>60</v>
      </c>
      <c r="O174" t="s">
        <v>59</v>
      </c>
      <c r="P174" t="s">
        <v>45</v>
      </c>
      <c r="Q174" t="s">
        <v>61</v>
      </c>
      <c r="R174" t="s">
        <v>37</v>
      </c>
      <c r="S174" s="3">
        <v>2088</v>
      </c>
      <c r="T174" s="3">
        <v>15062</v>
      </c>
      <c r="U174" s="3" t="str">
        <f t="shared" si="11"/>
        <v>Low</v>
      </c>
      <c r="V174">
        <v>4</v>
      </c>
      <c r="W174" t="s">
        <v>38</v>
      </c>
      <c r="X174" s="2">
        <v>12</v>
      </c>
      <c r="Y174" t="s">
        <v>60</v>
      </c>
      <c r="Z174" t="s">
        <v>60</v>
      </c>
      <c r="AA174">
        <v>0</v>
      </c>
      <c r="AB174">
        <v>13</v>
      </c>
      <c r="AC174">
        <v>3</v>
      </c>
      <c r="AD174">
        <v>2</v>
      </c>
      <c r="AE174">
        <v>8</v>
      </c>
      <c r="AF174">
        <v>7</v>
      </c>
      <c r="AG174">
        <v>7</v>
      </c>
      <c r="AH174">
        <v>2</v>
      </c>
      <c r="AI174" t="str">
        <f t="shared" si="8"/>
        <v>6-10 Years</v>
      </c>
      <c r="AJ174" t="str">
        <f t="shared" si="9"/>
        <v>6+</v>
      </c>
    </row>
    <row r="175" spans="1:36" x14ac:dyDescent="0.35">
      <c r="A175">
        <v>174</v>
      </c>
      <c r="B175">
        <v>30</v>
      </c>
      <c r="C175" t="str">
        <f t="shared" si="10"/>
        <v>26-35</v>
      </c>
      <c r="D175" t="s">
        <v>38</v>
      </c>
      <c r="E175" t="s">
        <v>50</v>
      </c>
      <c r="F175" s="3">
        <v>1389</v>
      </c>
      <c r="G175" t="s">
        <v>40</v>
      </c>
      <c r="H175" s="1">
        <v>9</v>
      </c>
      <c r="I175" t="s">
        <v>61</v>
      </c>
      <c r="J175" t="s">
        <v>46</v>
      </c>
      <c r="K175" t="s">
        <v>60</v>
      </c>
      <c r="L175" t="s">
        <v>41</v>
      </c>
      <c r="M175" s="3">
        <v>66</v>
      </c>
      <c r="N175" t="s">
        <v>60</v>
      </c>
      <c r="O175" t="s">
        <v>61</v>
      </c>
      <c r="P175" t="s">
        <v>45</v>
      </c>
      <c r="Q175" t="s">
        <v>59</v>
      </c>
      <c r="R175" t="s">
        <v>47</v>
      </c>
      <c r="S175" s="3">
        <v>3072</v>
      </c>
      <c r="T175" s="3">
        <v>11012</v>
      </c>
      <c r="U175" s="3" t="str">
        <f t="shared" si="11"/>
        <v>Low</v>
      </c>
      <c r="V175">
        <v>1</v>
      </c>
      <c r="W175" t="s">
        <v>38</v>
      </c>
      <c r="X175" s="2">
        <v>11</v>
      </c>
      <c r="Y175" t="s">
        <v>60</v>
      </c>
      <c r="Z175" t="s">
        <v>60</v>
      </c>
      <c r="AA175">
        <v>2</v>
      </c>
      <c r="AB175">
        <v>12</v>
      </c>
      <c r="AC175">
        <v>4</v>
      </c>
      <c r="AD175">
        <v>3</v>
      </c>
      <c r="AE175">
        <v>12</v>
      </c>
      <c r="AF175">
        <v>9</v>
      </c>
      <c r="AG175">
        <v>6</v>
      </c>
      <c r="AH175">
        <v>10</v>
      </c>
      <c r="AI175" t="str">
        <f t="shared" si="8"/>
        <v>10+ Years</v>
      </c>
      <c r="AJ175" t="str">
        <f t="shared" si="9"/>
        <v>6+</v>
      </c>
    </row>
    <row r="176" spans="1:36" x14ac:dyDescent="0.35">
      <c r="A176">
        <v>175</v>
      </c>
      <c r="B176">
        <v>45</v>
      </c>
      <c r="C176" t="str">
        <f t="shared" si="10"/>
        <v>36-45</v>
      </c>
      <c r="D176" t="s">
        <v>38</v>
      </c>
      <c r="E176" t="s">
        <v>32</v>
      </c>
      <c r="F176" s="3">
        <v>1389</v>
      </c>
      <c r="G176" t="s">
        <v>33</v>
      </c>
      <c r="H176" s="1">
        <v>4</v>
      </c>
      <c r="I176" t="s">
        <v>58</v>
      </c>
      <c r="J176" t="s">
        <v>34</v>
      </c>
      <c r="K176" t="s">
        <v>60</v>
      </c>
      <c r="L176" t="s">
        <v>35</v>
      </c>
      <c r="M176" s="3">
        <v>30</v>
      </c>
      <c r="N176" t="s">
        <v>60</v>
      </c>
      <c r="O176" t="s">
        <v>61</v>
      </c>
      <c r="P176" t="s">
        <v>36</v>
      </c>
      <c r="Q176" t="s">
        <v>59</v>
      </c>
      <c r="R176" t="s">
        <v>47</v>
      </c>
      <c r="S176" s="3">
        <v>5006</v>
      </c>
      <c r="T176" s="3">
        <v>6319</v>
      </c>
      <c r="U176" s="3" t="str">
        <f t="shared" si="11"/>
        <v>Medium</v>
      </c>
      <c r="V176">
        <v>4</v>
      </c>
      <c r="W176" t="s">
        <v>31</v>
      </c>
      <c r="X176" s="2">
        <v>11</v>
      </c>
      <c r="Y176" t="s">
        <v>60</v>
      </c>
      <c r="Z176" t="s">
        <v>59</v>
      </c>
      <c r="AA176">
        <v>1</v>
      </c>
      <c r="AB176">
        <v>9</v>
      </c>
      <c r="AC176">
        <v>3</v>
      </c>
      <c r="AD176">
        <v>4</v>
      </c>
      <c r="AE176">
        <v>5</v>
      </c>
      <c r="AF176">
        <v>4</v>
      </c>
      <c r="AG176">
        <v>0</v>
      </c>
      <c r="AH176">
        <v>3</v>
      </c>
      <c r="AI176" t="str">
        <f t="shared" si="8"/>
        <v>3-5 Years</v>
      </c>
      <c r="AJ176" t="str">
        <f t="shared" si="9"/>
        <v>0-2</v>
      </c>
    </row>
    <row r="177" spans="1:36" x14ac:dyDescent="0.35">
      <c r="A177">
        <v>176</v>
      </c>
      <c r="B177">
        <v>56</v>
      </c>
      <c r="C177" t="str">
        <f t="shared" si="10"/>
        <v>55+</v>
      </c>
      <c r="D177" t="s">
        <v>38</v>
      </c>
      <c r="E177" t="s">
        <v>32</v>
      </c>
      <c r="F177" s="3">
        <v>1389</v>
      </c>
      <c r="G177" t="s">
        <v>40</v>
      </c>
      <c r="H177" s="1">
        <v>8</v>
      </c>
      <c r="I177" t="s">
        <v>61</v>
      </c>
      <c r="J177" t="s">
        <v>34</v>
      </c>
      <c r="K177" t="s">
        <v>60</v>
      </c>
      <c r="L177" t="s">
        <v>35</v>
      </c>
      <c r="M177" s="3">
        <v>67</v>
      </c>
      <c r="N177" t="s">
        <v>60</v>
      </c>
      <c r="O177" t="s">
        <v>59</v>
      </c>
      <c r="P177" t="s">
        <v>42</v>
      </c>
      <c r="Q177" t="s">
        <v>59</v>
      </c>
      <c r="R177" t="s">
        <v>47</v>
      </c>
      <c r="S177" s="3">
        <v>4257</v>
      </c>
      <c r="T177" s="3">
        <v>13939</v>
      </c>
      <c r="U177" s="3" t="str">
        <f t="shared" si="11"/>
        <v>Low</v>
      </c>
      <c r="V177">
        <v>4</v>
      </c>
      <c r="W177" t="s">
        <v>31</v>
      </c>
      <c r="X177" s="2">
        <v>18</v>
      </c>
      <c r="Y177" t="s">
        <v>60</v>
      </c>
      <c r="Z177" t="s">
        <v>60</v>
      </c>
      <c r="AA177">
        <v>1</v>
      </c>
      <c r="AB177">
        <v>19</v>
      </c>
      <c r="AC177">
        <v>3</v>
      </c>
      <c r="AD177">
        <v>3</v>
      </c>
      <c r="AE177">
        <v>2</v>
      </c>
      <c r="AF177">
        <v>2</v>
      </c>
      <c r="AG177">
        <v>2</v>
      </c>
      <c r="AH177">
        <v>2</v>
      </c>
      <c r="AI177" t="str">
        <f t="shared" si="8"/>
        <v>0-2 Years</v>
      </c>
      <c r="AJ177" t="str">
        <f t="shared" si="9"/>
        <v>0-2</v>
      </c>
    </row>
    <row r="178" spans="1:36" x14ac:dyDescent="0.35">
      <c r="A178">
        <v>177</v>
      </c>
      <c r="B178">
        <v>33</v>
      </c>
      <c r="C178" t="str">
        <f t="shared" si="10"/>
        <v>26-35</v>
      </c>
      <c r="D178" t="s">
        <v>38</v>
      </c>
      <c r="E178" t="s">
        <v>32</v>
      </c>
      <c r="F178" s="3">
        <v>1389</v>
      </c>
      <c r="G178" t="s">
        <v>40</v>
      </c>
      <c r="H178" s="1">
        <v>2</v>
      </c>
      <c r="I178" t="s">
        <v>61</v>
      </c>
      <c r="J178" t="s">
        <v>34</v>
      </c>
      <c r="K178" t="s">
        <v>60</v>
      </c>
      <c r="L178" t="s">
        <v>41</v>
      </c>
      <c r="M178" s="3">
        <v>90</v>
      </c>
      <c r="N178" t="s">
        <v>60</v>
      </c>
      <c r="O178" t="s">
        <v>59</v>
      </c>
      <c r="P178" t="s">
        <v>42</v>
      </c>
      <c r="Q178" t="s">
        <v>62</v>
      </c>
      <c r="R178" t="s">
        <v>37</v>
      </c>
      <c r="S178" s="3">
        <v>2500</v>
      </c>
      <c r="T178" s="3">
        <v>10515</v>
      </c>
      <c r="U178" s="3" t="str">
        <f t="shared" si="11"/>
        <v>Low</v>
      </c>
      <c r="V178">
        <v>0</v>
      </c>
      <c r="W178" t="s">
        <v>38</v>
      </c>
      <c r="X178" s="2">
        <v>14</v>
      </c>
      <c r="Y178" t="s">
        <v>60</v>
      </c>
      <c r="Z178" t="s">
        <v>59</v>
      </c>
      <c r="AA178">
        <v>0</v>
      </c>
      <c r="AB178">
        <v>4</v>
      </c>
      <c r="AC178">
        <v>2</v>
      </c>
      <c r="AD178">
        <v>4</v>
      </c>
      <c r="AE178">
        <v>3</v>
      </c>
      <c r="AF178">
        <v>1</v>
      </c>
      <c r="AG178">
        <v>0</v>
      </c>
      <c r="AH178">
        <v>2</v>
      </c>
      <c r="AI178" t="str">
        <f t="shared" si="8"/>
        <v>3-5 Years</v>
      </c>
      <c r="AJ178" t="str">
        <f t="shared" si="9"/>
        <v>0-2</v>
      </c>
    </row>
    <row r="179" spans="1:36" x14ac:dyDescent="0.35">
      <c r="A179">
        <v>178</v>
      </c>
      <c r="B179">
        <v>19</v>
      </c>
      <c r="C179" t="str">
        <f t="shared" si="10"/>
        <v>18-25</v>
      </c>
      <c r="D179" t="s">
        <v>31</v>
      </c>
      <c r="E179" t="s">
        <v>32</v>
      </c>
      <c r="F179" s="3">
        <v>1389</v>
      </c>
      <c r="G179" t="s">
        <v>40</v>
      </c>
      <c r="H179" s="1">
        <v>2</v>
      </c>
      <c r="I179" t="s">
        <v>61</v>
      </c>
      <c r="J179" t="s">
        <v>34</v>
      </c>
      <c r="K179" t="s">
        <v>61</v>
      </c>
      <c r="L179" t="s">
        <v>41</v>
      </c>
      <c r="M179" s="3">
        <v>47</v>
      </c>
      <c r="N179" t="s">
        <v>61</v>
      </c>
      <c r="O179" t="s">
        <v>59</v>
      </c>
      <c r="P179" t="s">
        <v>45</v>
      </c>
      <c r="Q179" t="s">
        <v>62</v>
      </c>
      <c r="R179" t="s">
        <v>37</v>
      </c>
      <c r="S179" s="3">
        <v>1102</v>
      </c>
      <c r="T179" s="3">
        <v>9241</v>
      </c>
      <c r="U179" s="3" t="str">
        <f t="shared" si="11"/>
        <v>Low</v>
      </c>
      <c r="V179">
        <v>1</v>
      </c>
      <c r="W179" t="s">
        <v>38</v>
      </c>
      <c r="X179" s="2">
        <v>22</v>
      </c>
      <c r="Y179" t="s">
        <v>62</v>
      </c>
      <c r="Z179" t="s">
        <v>60</v>
      </c>
      <c r="AA179">
        <v>0</v>
      </c>
      <c r="AB179">
        <v>1</v>
      </c>
      <c r="AC179">
        <v>3</v>
      </c>
      <c r="AD179">
        <v>2</v>
      </c>
      <c r="AE179">
        <v>1</v>
      </c>
      <c r="AF179">
        <v>0</v>
      </c>
      <c r="AG179">
        <v>1</v>
      </c>
      <c r="AH179">
        <v>0</v>
      </c>
      <c r="AI179" t="str">
        <f t="shared" si="8"/>
        <v>0-2 Years</v>
      </c>
      <c r="AJ179" t="str">
        <f t="shared" si="9"/>
        <v>0-2</v>
      </c>
    </row>
    <row r="180" spans="1:36" x14ac:dyDescent="0.35">
      <c r="A180">
        <v>179</v>
      </c>
      <c r="B180">
        <v>46</v>
      </c>
      <c r="C180" t="str">
        <f t="shared" si="10"/>
        <v>46-55</v>
      </c>
      <c r="D180" t="s">
        <v>38</v>
      </c>
      <c r="E180" t="s">
        <v>32</v>
      </c>
      <c r="F180" s="3">
        <v>1389</v>
      </c>
      <c r="G180" t="s">
        <v>33</v>
      </c>
      <c r="H180" s="1">
        <v>1</v>
      </c>
      <c r="I180" t="s">
        <v>58</v>
      </c>
      <c r="J180" t="s">
        <v>54</v>
      </c>
      <c r="K180" t="s">
        <v>61</v>
      </c>
      <c r="L180" t="s">
        <v>35</v>
      </c>
      <c r="M180" s="3">
        <v>92</v>
      </c>
      <c r="N180" t="s">
        <v>60</v>
      </c>
      <c r="O180" t="s">
        <v>60</v>
      </c>
      <c r="P180" t="s">
        <v>36</v>
      </c>
      <c r="Q180" t="s">
        <v>59</v>
      </c>
      <c r="R180" t="s">
        <v>47</v>
      </c>
      <c r="S180" s="3">
        <v>10453</v>
      </c>
      <c r="T180" s="3">
        <v>2137</v>
      </c>
      <c r="U180" s="3" t="str">
        <f t="shared" si="11"/>
        <v>High</v>
      </c>
      <c r="V180">
        <v>1</v>
      </c>
      <c r="W180" t="s">
        <v>38</v>
      </c>
      <c r="X180" s="2">
        <v>25</v>
      </c>
      <c r="Y180" t="s">
        <v>62</v>
      </c>
      <c r="Z180" t="s">
        <v>60</v>
      </c>
      <c r="AA180">
        <v>3</v>
      </c>
      <c r="AB180">
        <v>24</v>
      </c>
      <c r="AC180">
        <v>2</v>
      </c>
      <c r="AD180">
        <v>3</v>
      </c>
      <c r="AE180">
        <v>24</v>
      </c>
      <c r="AF180">
        <v>13</v>
      </c>
      <c r="AG180">
        <v>15</v>
      </c>
      <c r="AH180">
        <v>7</v>
      </c>
      <c r="AI180" t="str">
        <f t="shared" si="8"/>
        <v>10+ Years</v>
      </c>
      <c r="AJ180" t="str">
        <f t="shared" si="9"/>
        <v>6+</v>
      </c>
    </row>
    <row r="181" spans="1:36" x14ac:dyDescent="0.35">
      <c r="A181">
        <v>180</v>
      </c>
      <c r="B181">
        <v>38</v>
      </c>
      <c r="C181" t="str">
        <f t="shared" si="10"/>
        <v>36-45</v>
      </c>
      <c r="D181" t="s">
        <v>38</v>
      </c>
      <c r="E181" t="s">
        <v>32</v>
      </c>
      <c r="F181" s="3">
        <v>1389</v>
      </c>
      <c r="G181" t="s">
        <v>40</v>
      </c>
      <c r="H181" s="1">
        <v>9</v>
      </c>
      <c r="I181" t="s">
        <v>58</v>
      </c>
      <c r="J181" t="s">
        <v>34</v>
      </c>
      <c r="K181" t="s">
        <v>60</v>
      </c>
      <c r="L181" t="s">
        <v>35</v>
      </c>
      <c r="M181" s="3">
        <v>75</v>
      </c>
      <c r="N181" t="s">
        <v>60</v>
      </c>
      <c r="O181" t="s">
        <v>59</v>
      </c>
      <c r="P181" t="s">
        <v>45</v>
      </c>
      <c r="Q181" t="s">
        <v>62</v>
      </c>
      <c r="R181" t="s">
        <v>37</v>
      </c>
      <c r="S181" s="3">
        <v>2288</v>
      </c>
      <c r="T181" s="3">
        <v>6319</v>
      </c>
      <c r="U181" s="3" t="str">
        <f t="shared" si="11"/>
        <v>Low</v>
      </c>
      <c r="V181">
        <v>1</v>
      </c>
      <c r="W181" t="s">
        <v>38</v>
      </c>
      <c r="X181" s="2">
        <v>12</v>
      </c>
      <c r="Y181" t="s">
        <v>60</v>
      </c>
      <c r="Z181" t="s">
        <v>60</v>
      </c>
      <c r="AA181">
        <v>0</v>
      </c>
      <c r="AB181">
        <v>2</v>
      </c>
      <c r="AC181">
        <v>3</v>
      </c>
      <c r="AD181">
        <v>3</v>
      </c>
      <c r="AE181">
        <v>2</v>
      </c>
      <c r="AF181">
        <v>2</v>
      </c>
      <c r="AG181">
        <v>2</v>
      </c>
      <c r="AH181">
        <v>1</v>
      </c>
      <c r="AI181" t="str">
        <f t="shared" si="8"/>
        <v>0-2 Years</v>
      </c>
      <c r="AJ181" t="str">
        <f t="shared" si="9"/>
        <v>0-2</v>
      </c>
    </row>
    <row r="182" spans="1:36" x14ac:dyDescent="0.35">
      <c r="A182">
        <v>181</v>
      </c>
      <c r="B182">
        <v>31</v>
      </c>
      <c r="C182" t="str">
        <f t="shared" si="10"/>
        <v>26-35</v>
      </c>
      <c r="D182" t="s">
        <v>38</v>
      </c>
      <c r="E182" t="s">
        <v>32</v>
      </c>
      <c r="F182" s="3">
        <v>1389</v>
      </c>
      <c r="G182" t="s">
        <v>40</v>
      </c>
      <c r="H182" s="1">
        <v>12</v>
      </c>
      <c r="I182" t="s">
        <v>59</v>
      </c>
      <c r="J182" t="s">
        <v>46</v>
      </c>
      <c r="K182" t="s">
        <v>60</v>
      </c>
      <c r="L182" t="s">
        <v>35</v>
      </c>
      <c r="M182" s="3">
        <v>95</v>
      </c>
      <c r="N182" t="s">
        <v>60</v>
      </c>
      <c r="O182" t="s">
        <v>59</v>
      </c>
      <c r="P182" t="s">
        <v>42</v>
      </c>
      <c r="Q182" t="s">
        <v>62</v>
      </c>
      <c r="R182" t="s">
        <v>43</v>
      </c>
      <c r="S182" s="3">
        <v>3929</v>
      </c>
      <c r="T182" s="3">
        <v>6984</v>
      </c>
      <c r="U182" s="3" t="str">
        <f t="shared" si="11"/>
        <v>Low</v>
      </c>
      <c r="V182">
        <v>8</v>
      </c>
      <c r="W182" t="s">
        <v>31</v>
      </c>
      <c r="X182" s="2">
        <v>23</v>
      </c>
      <c r="Y182" t="s">
        <v>62</v>
      </c>
      <c r="Z182" t="s">
        <v>60</v>
      </c>
      <c r="AA182">
        <v>1</v>
      </c>
      <c r="AB182">
        <v>7</v>
      </c>
      <c r="AC182">
        <v>0</v>
      </c>
      <c r="AD182">
        <v>3</v>
      </c>
      <c r="AE182">
        <v>4</v>
      </c>
      <c r="AF182">
        <v>2</v>
      </c>
      <c r="AG182">
        <v>0</v>
      </c>
      <c r="AH182">
        <v>2</v>
      </c>
      <c r="AI182" t="str">
        <f t="shared" si="8"/>
        <v>3-5 Years</v>
      </c>
      <c r="AJ182" t="str">
        <f t="shared" si="9"/>
        <v>0-2</v>
      </c>
    </row>
    <row r="183" spans="1:36" x14ac:dyDescent="0.35">
      <c r="A183">
        <v>182</v>
      </c>
      <c r="B183">
        <v>34</v>
      </c>
      <c r="C183" t="str">
        <f t="shared" si="10"/>
        <v>26-35</v>
      </c>
      <c r="D183" t="s">
        <v>38</v>
      </c>
      <c r="E183" t="s">
        <v>32</v>
      </c>
      <c r="F183" s="3">
        <v>1389</v>
      </c>
      <c r="G183" t="s">
        <v>40</v>
      </c>
      <c r="H183" s="1">
        <v>27</v>
      </c>
      <c r="I183" t="s">
        <v>58</v>
      </c>
      <c r="J183" t="s">
        <v>46</v>
      </c>
      <c r="K183" t="s">
        <v>62</v>
      </c>
      <c r="L183" t="s">
        <v>35</v>
      </c>
      <c r="M183" s="3">
        <v>95</v>
      </c>
      <c r="N183" t="s">
        <v>60</v>
      </c>
      <c r="O183" t="s">
        <v>59</v>
      </c>
      <c r="P183" t="s">
        <v>42</v>
      </c>
      <c r="Q183" t="s">
        <v>61</v>
      </c>
      <c r="R183" t="s">
        <v>37</v>
      </c>
      <c r="S183" s="3">
        <v>2311</v>
      </c>
      <c r="T183" s="3">
        <v>5711</v>
      </c>
      <c r="U183" s="3" t="str">
        <f t="shared" si="11"/>
        <v>Low</v>
      </c>
      <c r="V183">
        <v>2</v>
      </c>
      <c r="W183" t="s">
        <v>38</v>
      </c>
      <c r="X183" s="2">
        <v>15</v>
      </c>
      <c r="Y183" t="s">
        <v>60</v>
      </c>
      <c r="Z183" t="s">
        <v>62</v>
      </c>
      <c r="AA183">
        <v>0</v>
      </c>
      <c r="AB183">
        <v>9</v>
      </c>
      <c r="AC183">
        <v>3</v>
      </c>
      <c r="AD183">
        <v>3</v>
      </c>
      <c r="AE183">
        <v>3</v>
      </c>
      <c r="AF183">
        <v>2</v>
      </c>
      <c r="AG183">
        <v>1</v>
      </c>
      <c r="AH183">
        <v>2</v>
      </c>
      <c r="AI183" t="str">
        <f t="shared" si="8"/>
        <v>3-5 Years</v>
      </c>
      <c r="AJ183" t="str">
        <f t="shared" si="9"/>
        <v>0-2</v>
      </c>
    </row>
    <row r="184" spans="1:36" x14ac:dyDescent="0.35">
      <c r="A184">
        <v>183</v>
      </c>
      <c r="B184">
        <v>41</v>
      </c>
      <c r="C184" t="str">
        <f t="shared" si="10"/>
        <v>36-45</v>
      </c>
      <c r="D184" t="s">
        <v>31</v>
      </c>
      <c r="E184" t="s">
        <v>32</v>
      </c>
      <c r="F184" s="3">
        <v>1389</v>
      </c>
      <c r="G184" t="s">
        <v>33</v>
      </c>
      <c r="H184" s="1">
        <v>20</v>
      </c>
      <c r="I184" t="s">
        <v>58</v>
      </c>
      <c r="J184" t="s">
        <v>54</v>
      </c>
      <c r="K184" t="s">
        <v>61</v>
      </c>
      <c r="L184" t="s">
        <v>35</v>
      </c>
      <c r="M184" s="3">
        <v>70</v>
      </c>
      <c r="N184" t="s">
        <v>60</v>
      </c>
      <c r="O184" t="s">
        <v>59</v>
      </c>
      <c r="P184" t="s">
        <v>52</v>
      </c>
      <c r="Q184" t="s">
        <v>61</v>
      </c>
      <c r="R184" t="s">
        <v>37</v>
      </c>
      <c r="S184" s="3">
        <v>3140</v>
      </c>
      <c r="T184" s="3">
        <v>21728</v>
      </c>
      <c r="U184" s="3" t="str">
        <f t="shared" si="11"/>
        <v>Low</v>
      </c>
      <c r="V184">
        <v>1</v>
      </c>
      <c r="W184" t="s">
        <v>31</v>
      </c>
      <c r="X184" s="2">
        <v>22</v>
      </c>
      <c r="Y184" t="s">
        <v>62</v>
      </c>
      <c r="Z184" t="s">
        <v>62</v>
      </c>
      <c r="AA184">
        <v>0</v>
      </c>
      <c r="AB184">
        <v>4</v>
      </c>
      <c r="AC184">
        <v>5</v>
      </c>
      <c r="AD184">
        <v>2</v>
      </c>
      <c r="AE184">
        <v>4</v>
      </c>
      <c r="AF184">
        <v>3</v>
      </c>
      <c r="AG184">
        <v>0</v>
      </c>
      <c r="AH184">
        <v>2</v>
      </c>
      <c r="AI184" t="str">
        <f t="shared" si="8"/>
        <v>3-5 Years</v>
      </c>
      <c r="AJ184" t="str">
        <f t="shared" si="9"/>
        <v>0-2</v>
      </c>
    </row>
    <row r="185" spans="1:36" x14ac:dyDescent="0.35">
      <c r="A185">
        <v>184</v>
      </c>
      <c r="B185">
        <v>50</v>
      </c>
      <c r="C185" t="str">
        <f t="shared" si="10"/>
        <v>46-55</v>
      </c>
      <c r="D185" t="s">
        <v>38</v>
      </c>
      <c r="E185" t="s">
        <v>32</v>
      </c>
      <c r="F185" s="3">
        <v>1389</v>
      </c>
      <c r="G185" t="s">
        <v>40</v>
      </c>
      <c r="H185" s="1">
        <v>1</v>
      </c>
      <c r="I185" t="s">
        <v>61</v>
      </c>
      <c r="J185" t="s">
        <v>46</v>
      </c>
      <c r="K185" t="s">
        <v>60</v>
      </c>
      <c r="L185" t="s">
        <v>41</v>
      </c>
      <c r="M185" s="3">
        <v>86</v>
      </c>
      <c r="N185" t="s">
        <v>61</v>
      </c>
      <c r="O185" t="s">
        <v>59</v>
      </c>
      <c r="P185" t="s">
        <v>45</v>
      </c>
      <c r="Q185" t="s">
        <v>60</v>
      </c>
      <c r="R185" t="s">
        <v>43</v>
      </c>
      <c r="S185" s="3">
        <v>3690</v>
      </c>
      <c r="T185" s="3">
        <v>3425</v>
      </c>
      <c r="U185" s="3" t="str">
        <f t="shared" si="11"/>
        <v>Low</v>
      </c>
      <c r="V185">
        <v>2</v>
      </c>
      <c r="W185" t="s">
        <v>38</v>
      </c>
      <c r="X185" s="2">
        <v>15</v>
      </c>
      <c r="Y185" t="s">
        <v>60</v>
      </c>
      <c r="Z185" t="s">
        <v>62</v>
      </c>
      <c r="AA185">
        <v>1</v>
      </c>
      <c r="AB185">
        <v>5</v>
      </c>
      <c r="AC185">
        <v>2</v>
      </c>
      <c r="AD185">
        <v>2</v>
      </c>
      <c r="AE185">
        <v>3</v>
      </c>
      <c r="AF185">
        <v>2</v>
      </c>
      <c r="AG185">
        <v>0</v>
      </c>
      <c r="AH185">
        <v>2</v>
      </c>
      <c r="AI185" t="str">
        <f t="shared" si="8"/>
        <v>3-5 Years</v>
      </c>
      <c r="AJ185" t="str">
        <f t="shared" si="9"/>
        <v>0-2</v>
      </c>
    </row>
    <row r="186" spans="1:36" x14ac:dyDescent="0.35">
      <c r="A186">
        <v>185</v>
      </c>
      <c r="B186">
        <v>53</v>
      </c>
      <c r="C186" t="str">
        <f t="shared" si="10"/>
        <v>46-55</v>
      </c>
      <c r="D186" t="s">
        <v>38</v>
      </c>
      <c r="E186" t="s">
        <v>32</v>
      </c>
      <c r="F186" s="3">
        <v>1389</v>
      </c>
      <c r="G186" t="s">
        <v>40</v>
      </c>
      <c r="H186" s="1">
        <v>13</v>
      </c>
      <c r="I186" t="s">
        <v>58</v>
      </c>
      <c r="J186" t="s">
        <v>46</v>
      </c>
      <c r="K186" t="s">
        <v>62</v>
      </c>
      <c r="L186" t="s">
        <v>35</v>
      </c>
      <c r="M186" s="3">
        <v>57</v>
      </c>
      <c r="N186" t="s">
        <v>62</v>
      </c>
      <c r="O186" t="s">
        <v>61</v>
      </c>
      <c r="P186" t="s">
        <v>48</v>
      </c>
      <c r="Q186" t="s">
        <v>59</v>
      </c>
      <c r="R186" t="s">
        <v>47</v>
      </c>
      <c r="S186" s="3">
        <v>4450</v>
      </c>
      <c r="T186" s="3">
        <v>26250</v>
      </c>
      <c r="U186" s="3" t="str">
        <f t="shared" si="11"/>
        <v>Low</v>
      </c>
      <c r="V186">
        <v>1</v>
      </c>
      <c r="W186" t="s">
        <v>38</v>
      </c>
      <c r="X186" s="2">
        <v>11</v>
      </c>
      <c r="Y186" t="s">
        <v>60</v>
      </c>
      <c r="Z186" t="s">
        <v>60</v>
      </c>
      <c r="AA186">
        <v>2</v>
      </c>
      <c r="AB186">
        <v>5</v>
      </c>
      <c r="AC186">
        <v>3</v>
      </c>
      <c r="AD186">
        <v>3</v>
      </c>
      <c r="AE186">
        <v>4</v>
      </c>
      <c r="AF186">
        <v>2</v>
      </c>
      <c r="AG186">
        <v>1</v>
      </c>
      <c r="AH186">
        <v>3</v>
      </c>
      <c r="AI186" t="str">
        <f t="shared" si="8"/>
        <v>3-5 Years</v>
      </c>
      <c r="AJ186" t="str">
        <f t="shared" si="9"/>
        <v>0-2</v>
      </c>
    </row>
    <row r="187" spans="1:36" x14ac:dyDescent="0.35">
      <c r="A187">
        <v>186</v>
      </c>
      <c r="B187">
        <v>33</v>
      </c>
      <c r="C187" t="str">
        <f t="shared" si="10"/>
        <v>26-35</v>
      </c>
      <c r="D187" t="s">
        <v>38</v>
      </c>
      <c r="E187" t="s">
        <v>32</v>
      </c>
      <c r="F187" s="3">
        <v>1389</v>
      </c>
      <c r="G187" t="s">
        <v>40</v>
      </c>
      <c r="H187" s="1">
        <v>14</v>
      </c>
      <c r="I187" t="s">
        <v>61</v>
      </c>
      <c r="J187" t="s">
        <v>46</v>
      </c>
      <c r="K187" t="s">
        <v>62</v>
      </c>
      <c r="L187" t="s">
        <v>35</v>
      </c>
      <c r="M187" s="3">
        <v>72</v>
      </c>
      <c r="N187" t="s">
        <v>60</v>
      </c>
      <c r="O187" t="s">
        <v>59</v>
      </c>
      <c r="P187" t="s">
        <v>42</v>
      </c>
      <c r="Q187" t="s">
        <v>61</v>
      </c>
      <c r="R187" t="s">
        <v>43</v>
      </c>
      <c r="S187" s="3">
        <v>2756</v>
      </c>
      <c r="T187" s="3">
        <v>4673</v>
      </c>
      <c r="U187" s="3" t="str">
        <f t="shared" si="11"/>
        <v>Low</v>
      </c>
      <c r="V187">
        <v>1</v>
      </c>
      <c r="W187" t="s">
        <v>38</v>
      </c>
      <c r="X187" s="2">
        <v>13</v>
      </c>
      <c r="Y187" t="s">
        <v>60</v>
      </c>
      <c r="Z187" t="s">
        <v>62</v>
      </c>
      <c r="AA187">
        <v>1</v>
      </c>
      <c r="AB187">
        <v>8</v>
      </c>
      <c r="AC187">
        <v>5</v>
      </c>
      <c r="AD187">
        <v>3</v>
      </c>
      <c r="AE187">
        <v>8</v>
      </c>
      <c r="AF187">
        <v>7</v>
      </c>
      <c r="AG187">
        <v>1</v>
      </c>
      <c r="AH187">
        <v>6</v>
      </c>
      <c r="AI187" t="str">
        <f t="shared" si="8"/>
        <v>6-10 Years</v>
      </c>
      <c r="AJ187" t="str">
        <f t="shared" si="9"/>
        <v>0-2</v>
      </c>
    </row>
    <row r="188" spans="1:36" x14ac:dyDescent="0.35">
      <c r="A188">
        <v>187</v>
      </c>
      <c r="B188">
        <v>40</v>
      </c>
      <c r="C188" t="str">
        <f t="shared" si="10"/>
        <v>36-45</v>
      </c>
      <c r="D188" t="s">
        <v>38</v>
      </c>
      <c r="E188" t="s">
        <v>32</v>
      </c>
      <c r="F188" s="3">
        <v>1389</v>
      </c>
      <c r="G188" t="s">
        <v>40</v>
      </c>
      <c r="H188" s="1">
        <v>4</v>
      </c>
      <c r="I188" t="s">
        <v>59</v>
      </c>
      <c r="J188" t="s">
        <v>46</v>
      </c>
      <c r="K188" t="s">
        <v>62</v>
      </c>
      <c r="L188" t="s">
        <v>35</v>
      </c>
      <c r="M188" s="3">
        <v>46</v>
      </c>
      <c r="N188" t="s">
        <v>60</v>
      </c>
      <c r="O188" t="e">
        <v>#N/A</v>
      </c>
      <c r="P188" t="s">
        <v>51</v>
      </c>
      <c r="Q188" t="s">
        <v>60</v>
      </c>
      <c r="R188" t="s">
        <v>43</v>
      </c>
      <c r="S188" s="3">
        <v>19033</v>
      </c>
      <c r="T188" s="3">
        <v>6499</v>
      </c>
      <c r="U188" s="3" t="str">
        <f t="shared" si="11"/>
        <v>High</v>
      </c>
      <c r="V188">
        <v>1</v>
      </c>
      <c r="W188" t="s">
        <v>38</v>
      </c>
      <c r="X188" s="2">
        <v>14</v>
      </c>
      <c r="Y188" t="s">
        <v>60</v>
      </c>
      <c r="Z188" t="s">
        <v>61</v>
      </c>
      <c r="AA188">
        <v>1</v>
      </c>
      <c r="AB188">
        <v>21</v>
      </c>
      <c r="AC188">
        <v>2</v>
      </c>
      <c r="AD188">
        <v>3</v>
      </c>
      <c r="AE188">
        <v>20</v>
      </c>
      <c r="AF188">
        <v>8</v>
      </c>
      <c r="AG188">
        <v>9</v>
      </c>
      <c r="AH188">
        <v>9</v>
      </c>
      <c r="AI188" t="str">
        <f t="shared" si="8"/>
        <v>10+ Years</v>
      </c>
      <c r="AJ188" t="str">
        <f t="shared" si="9"/>
        <v>6+</v>
      </c>
    </row>
    <row r="189" spans="1:36" x14ac:dyDescent="0.35">
      <c r="A189">
        <v>188</v>
      </c>
      <c r="B189">
        <v>55</v>
      </c>
      <c r="C189" t="str">
        <f t="shared" si="10"/>
        <v>46-55</v>
      </c>
      <c r="D189" t="s">
        <v>38</v>
      </c>
      <c r="E189" t="s">
        <v>32</v>
      </c>
      <c r="F189" s="3">
        <v>1389</v>
      </c>
      <c r="G189" t="s">
        <v>40</v>
      </c>
      <c r="H189" s="1">
        <v>14</v>
      </c>
      <c r="I189" t="s">
        <v>60</v>
      </c>
      <c r="J189" t="s">
        <v>46</v>
      </c>
      <c r="K189" t="s">
        <v>60</v>
      </c>
      <c r="L189" t="s">
        <v>41</v>
      </c>
      <c r="M189" s="3">
        <v>61</v>
      </c>
      <c r="N189" t="s">
        <v>62</v>
      </c>
      <c r="O189" t="e">
        <v>#N/A</v>
      </c>
      <c r="P189" t="s">
        <v>53</v>
      </c>
      <c r="Q189" t="s">
        <v>61</v>
      </c>
      <c r="R189" t="s">
        <v>37</v>
      </c>
      <c r="S189" s="3">
        <v>18722</v>
      </c>
      <c r="T189" s="3">
        <v>13339</v>
      </c>
      <c r="U189" s="3" t="str">
        <f t="shared" si="11"/>
        <v>High</v>
      </c>
      <c r="V189">
        <v>8</v>
      </c>
      <c r="W189" t="s">
        <v>38</v>
      </c>
      <c r="X189" s="2">
        <v>11</v>
      </c>
      <c r="Y189" t="s">
        <v>60</v>
      </c>
      <c r="Z189" t="s">
        <v>62</v>
      </c>
      <c r="AA189">
        <v>0</v>
      </c>
      <c r="AB189">
        <v>36</v>
      </c>
      <c r="AC189">
        <v>3</v>
      </c>
      <c r="AD189">
        <v>3</v>
      </c>
      <c r="AE189">
        <v>24</v>
      </c>
      <c r="AF189">
        <v>15</v>
      </c>
      <c r="AG189">
        <v>2</v>
      </c>
      <c r="AH189">
        <v>15</v>
      </c>
      <c r="AI189" t="str">
        <f t="shared" si="8"/>
        <v>10+ Years</v>
      </c>
      <c r="AJ189" t="str">
        <f t="shared" si="9"/>
        <v>0-2</v>
      </c>
    </row>
    <row r="190" spans="1:36" x14ac:dyDescent="0.35">
      <c r="A190">
        <v>189</v>
      </c>
      <c r="B190">
        <v>34</v>
      </c>
      <c r="C190" t="str">
        <f t="shared" si="10"/>
        <v>26-35</v>
      </c>
      <c r="D190" t="s">
        <v>38</v>
      </c>
      <c r="E190" t="s">
        <v>39</v>
      </c>
      <c r="F190" s="3">
        <v>1389</v>
      </c>
      <c r="G190" t="s">
        <v>40</v>
      </c>
      <c r="H190" s="1">
        <v>2</v>
      </c>
      <c r="I190" t="s">
        <v>59</v>
      </c>
      <c r="J190" t="s">
        <v>34</v>
      </c>
      <c r="K190" t="s">
        <v>62</v>
      </c>
      <c r="L190" t="s">
        <v>41</v>
      </c>
      <c r="M190" s="3">
        <v>45</v>
      </c>
      <c r="N190" t="s">
        <v>61</v>
      </c>
      <c r="O190" t="s">
        <v>61</v>
      </c>
      <c r="P190" t="s">
        <v>48</v>
      </c>
      <c r="Q190" t="s">
        <v>60</v>
      </c>
      <c r="R190" t="s">
        <v>43</v>
      </c>
      <c r="S190" s="3">
        <v>9547</v>
      </c>
      <c r="T190" s="3">
        <v>14074</v>
      </c>
      <c r="U190" s="3" t="str">
        <f t="shared" si="11"/>
        <v>Medium</v>
      </c>
      <c r="V190">
        <v>1</v>
      </c>
      <c r="W190" t="s">
        <v>38</v>
      </c>
      <c r="X190" s="2">
        <v>17</v>
      </c>
      <c r="Y190" t="s">
        <v>60</v>
      </c>
      <c r="Z190" t="s">
        <v>60</v>
      </c>
      <c r="AA190">
        <v>0</v>
      </c>
      <c r="AB190">
        <v>10</v>
      </c>
      <c r="AC190">
        <v>2</v>
      </c>
      <c r="AD190">
        <v>2</v>
      </c>
      <c r="AE190">
        <v>10</v>
      </c>
      <c r="AF190">
        <v>9</v>
      </c>
      <c r="AG190">
        <v>1</v>
      </c>
      <c r="AH190">
        <v>9</v>
      </c>
      <c r="AI190" t="str">
        <f t="shared" si="8"/>
        <v>6-10 Years</v>
      </c>
      <c r="AJ190" t="str">
        <f t="shared" si="9"/>
        <v>0-2</v>
      </c>
    </row>
    <row r="191" spans="1:36" x14ac:dyDescent="0.35">
      <c r="A191">
        <v>190</v>
      </c>
      <c r="B191">
        <v>51</v>
      </c>
      <c r="C191" t="str">
        <f t="shared" si="10"/>
        <v>46-55</v>
      </c>
      <c r="D191" t="s">
        <v>38</v>
      </c>
      <c r="E191" t="s">
        <v>32</v>
      </c>
      <c r="F191" s="3">
        <v>1389</v>
      </c>
      <c r="G191" t="s">
        <v>40</v>
      </c>
      <c r="H191" s="1">
        <v>3</v>
      </c>
      <c r="I191" t="s">
        <v>61</v>
      </c>
      <c r="J191" t="s">
        <v>46</v>
      </c>
      <c r="K191" t="s">
        <v>62</v>
      </c>
      <c r="L191" t="s">
        <v>35</v>
      </c>
      <c r="M191" s="3">
        <v>98</v>
      </c>
      <c r="N191" t="s">
        <v>60</v>
      </c>
      <c r="O191" t="s">
        <v>62</v>
      </c>
      <c r="P191" t="s">
        <v>49</v>
      </c>
      <c r="Q191" t="s">
        <v>61</v>
      </c>
      <c r="R191" t="s">
        <v>37</v>
      </c>
      <c r="S191" s="3">
        <v>13734</v>
      </c>
      <c r="T191" s="3">
        <v>7192</v>
      </c>
      <c r="U191" s="3" t="str">
        <f t="shared" si="11"/>
        <v>High</v>
      </c>
      <c r="V191">
        <v>3</v>
      </c>
      <c r="W191" t="s">
        <v>38</v>
      </c>
      <c r="X191" s="2">
        <v>18</v>
      </c>
      <c r="Y191" t="s">
        <v>60</v>
      </c>
      <c r="Z191" t="s">
        <v>60</v>
      </c>
      <c r="AA191">
        <v>0</v>
      </c>
      <c r="AB191">
        <v>21</v>
      </c>
      <c r="AC191">
        <v>6</v>
      </c>
      <c r="AD191">
        <v>3</v>
      </c>
      <c r="AE191">
        <v>7</v>
      </c>
      <c r="AF191">
        <v>7</v>
      </c>
      <c r="AG191">
        <v>1</v>
      </c>
      <c r="AH191">
        <v>0</v>
      </c>
      <c r="AI191" t="str">
        <f t="shared" si="8"/>
        <v>6-10 Years</v>
      </c>
      <c r="AJ191" t="str">
        <f t="shared" si="9"/>
        <v>0-2</v>
      </c>
    </row>
    <row r="192" spans="1:36" x14ac:dyDescent="0.35">
      <c r="A192">
        <v>191</v>
      </c>
      <c r="B192">
        <v>52</v>
      </c>
      <c r="C192" t="str">
        <f t="shared" si="10"/>
        <v>46-55</v>
      </c>
      <c r="D192" t="s">
        <v>38</v>
      </c>
      <c r="E192" t="s">
        <v>32</v>
      </c>
      <c r="F192" s="3">
        <v>1389</v>
      </c>
      <c r="G192" t="s">
        <v>40</v>
      </c>
      <c r="H192" s="1">
        <v>1</v>
      </c>
      <c r="I192" t="s">
        <v>60</v>
      </c>
      <c r="J192" t="s">
        <v>34</v>
      </c>
      <c r="K192" t="s">
        <v>60</v>
      </c>
      <c r="L192" t="s">
        <v>41</v>
      </c>
      <c r="M192" s="3">
        <v>65</v>
      </c>
      <c r="N192" t="s">
        <v>61</v>
      </c>
      <c r="O192" t="e">
        <v>#N/A</v>
      </c>
      <c r="P192" t="s">
        <v>51</v>
      </c>
      <c r="Q192" t="s">
        <v>60</v>
      </c>
      <c r="R192" t="s">
        <v>43</v>
      </c>
      <c r="S192" s="3">
        <v>19999</v>
      </c>
      <c r="T192" s="3">
        <v>5678</v>
      </c>
      <c r="U192" s="3" t="str">
        <f t="shared" si="11"/>
        <v>High</v>
      </c>
      <c r="V192">
        <v>0</v>
      </c>
      <c r="W192" t="s">
        <v>38</v>
      </c>
      <c r="X192" s="2">
        <v>14</v>
      </c>
      <c r="Y192" t="s">
        <v>60</v>
      </c>
      <c r="Z192" t="s">
        <v>59</v>
      </c>
      <c r="AA192">
        <v>1</v>
      </c>
      <c r="AB192">
        <v>34</v>
      </c>
      <c r="AC192">
        <v>5</v>
      </c>
      <c r="AD192">
        <v>3</v>
      </c>
      <c r="AE192">
        <v>33</v>
      </c>
      <c r="AF192">
        <v>18</v>
      </c>
      <c r="AG192">
        <v>11</v>
      </c>
      <c r="AH192">
        <v>9</v>
      </c>
      <c r="AI192" t="str">
        <f t="shared" si="8"/>
        <v>10+ Years</v>
      </c>
      <c r="AJ192" t="str">
        <f t="shared" si="9"/>
        <v>6+</v>
      </c>
    </row>
    <row r="193" spans="1:36" x14ac:dyDescent="0.35">
      <c r="A193">
        <v>192</v>
      </c>
      <c r="B193">
        <v>27</v>
      </c>
      <c r="C193" t="str">
        <f t="shared" si="10"/>
        <v>26-35</v>
      </c>
      <c r="D193" t="s">
        <v>38</v>
      </c>
      <c r="E193" t="s">
        <v>32</v>
      </c>
      <c r="F193" s="3">
        <v>1389</v>
      </c>
      <c r="G193" t="s">
        <v>40</v>
      </c>
      <c r="H193" s="1">
        <v>9</v>
      </c>
      <c r="I193" t="s">
        <v>61</v>
      </c>
      <c r="J193" t="s">
        <v>46</v>
      </c>
      <c r="K193" t="s">
        <v>62</v>
      </c>
      <c r="L193" t="s">
        <v>35</v>
      </c>
      <c r="M193" s="3">
        <v>99</v>
      </c>
      <c r="N193" t="s">
        <v>60</v>
      </c>
      <c r="O193" t="s">
        <v>59</v>
      </c>
      <c r="P193" t="s">
        <v>42</v>
      </c>
      <c r="Q193" t="s">
        <v>61</v>
      </c>
      <c r="R193" t="s">
        <v>37</v>
      </c>
      <c r="S193" s="3">
        <v>2279</v>
      </c>
      <c r="T193" s="3">
        <v>11781</v>
      </c>
      <c r="U193" s="3" t="str">
        <f t="shared" si="11"/>
        <v>Low</v>
      </c>
      <c r="V193">
        <v>1</v>
      </c>
      <c r="W193" t="s">
        <v>38</v>
      </c>
      <c r="X193" s="2">
        <v>16</v>
      </c>
      <c r="Y193" t="s">
        <v>60</v>
      </c>
      <c r="Z193" t="s">
        <v>62</v>
      </c>
      <c r="AA193">
        <v>0</v>
      </c>
      <c r="AB193">
        <v>7</v>
      </c>
      <c r="AC193">
        <v>2</v>
      </c>
      <c r="AD193">
        <v>2</v>
      </c>
      <c r="AE193">
        <v>7</v>
      </c>
      <c r="AF193">
        <v>7</v>
      </c>
      <c r="AG193">
        <v>0</v>
      </c>
      <c r="AH193">
        <v>3</v>
      </c>
      <c r="AI193" t="str">
        <f t="shared" si="8"/>
        <v>6-10 Years</v>
      </c>
      <c r="AJ193" t="str">
        <f t="shared" si="9"/>
        <v>0-2</v>
      </c>
    </row>
    <row r="194" spans="1:36" x14ac:dyDescent="0.35">
      <c r="A194">
        <v>193</v>
      </c>
      <c r="B194">
        <v>35</v>
      </c>
      <c r="C194" t="str">
        <f t="shared" si="10"/>
        <v>26-35</v>
      </c>
      <c r="D194" t="s">
        <v>31</v>
      </c>
      <c r="E194" t="s">
        <v>32</v>
      </c>
      <c r="F194" s="3">
        <v>1389</v>
      </c>
      <c r="G194" t="s">
        <v>40</v>
      </c>
      <c r="H194" s="1">
        <v>23</v>
      </c>
      <c r="I194" t="s">
        <v>58</v>
      </c>
      <c r="J194" t="s">
        <v>34</v>
      </c>
      <c r="K194" t="s">
        <v>61</v>
      </c>
      <c r="L194" t="s">
        <v>41</v>
      </c>
      <c r="M194" s="3">
        <v>50</v>
      </c>
      <c r="N194" t="s">
        <v>61</v>
      </c>
      <c r="O194" t="s">
        <v>61</v>
      </c>
      <c r="P194" t="s">
        <v>48</v>
      </c>
      <c r="Q194" t="s">
        <v>60</v>
      </c>
      <c r="R194" t="s">
        <v>43</v>
      </c>
      <c r="S194" s="3">
        <v>5916</v>
      </c>
      <c r="T194" s="3">
        <v>15497</v>
      </c>
      <c r="U194" s="3" t="str">
        <f t="shared" si="11"/>
        <v>Medium</v>
      </c>
      <c r="V194">
        <v>3</v>
      </c>
      <c r="W194" t="s">
        <v>31</v>
      </c>
      <c r="X194" s="2">
        <v>13</v>
      </c>
      <c r="Y194" t="s">
        <v>60</v>
      </c>
      <c r="Z194" t="s">
        <v>59</v>
      </c>
      <c r="AA194">
        <v>0</v>
      </c>
      <c r="AB194">
        <v>8</v>
      </c>
      <c r="AC194">
        <v>1</v>
      </c>
      <c r="AD194">
        <v>3</v>
      </c>
      <c r="AE194">
        <v>1</v>
      </c>
      <c r="AF194">
        <v>0</v>
      </c>
      <c r="AG194">
        <v>0</v>
      </c>
      <c r="AH194">
        <v>1</v>
      </c>
      <c r="AI194" t="str">
        <f t="shared" ref="AI194:AI257" si="12">IF(AE194&lt;=2,"0-2 Years",
IF(AE194&lt;=5,"3-5 Years",
IF(AE194&lt;=10,"6-10 Years","10+ Years")))</f>
        <v>0-2 Years</v>
      </c>
      <c r="AJ194" t="str">
        <f t="shared" ref="AJ194:AJ257" si="13">IF(AG194&lt;=2,"0-2",
IF(AG194&lt;=5,"3-5","6+"))</f>
        <v>0-2</v>
      </c>
    </row>
    <row r="195" spans="1:36" x14ac:dyDescent="0.35">
      <c r="A195">
        <v>194</v>
      </c>
      <c r="B195">
        <v>43</v>
      </c>
      <c r="C195" t="str">
        <f t="shared" ref="C195:C258" si="14">IF(B195&lt;=25,"18-25",
IF(B195&lt;=35,"26-35",
IF(B195&lt;=45,"36-45",
IF(B195&lt;=55,"46-55","55+"))))</f>
        <v>36-45</v>
      </c>
      <c r="D195" t="s">
        <v>38</v>
      </c>
      <c r="E195" t="s">
        <v>50</v>
      </c>
      <c r="F195" s="3">
        <v>1389</v>
      </c>
      <c r="G195" t="s">
        <v>40</v>
      </c>
      <c r="H195" s="1">
        <v>7</v>
      </c>
      <c r="I195" t="s">
        <v>61</v>
      </c>
      <c r="J195" t="s">
        <v>46</v>
      </c>
      <c r="K195" t="s">
        <v>62</v>
      </c>
      <c r="L195" t="s">
        <v>41</v>
      </c>
      <c r="M195" s="3">
        <v>37</v>
      </c>
      <c r="N195" t="s">
        <v>62</v>
      </c>
      <c r="O195" t="s">
        <v>59</v>
      </c>
      <c r="P195" t="s">
        <v>42</v>
      </c>
      <c r="Q195" t="s">
        <v>62</v>
      </c>
      <c r="R195" t="s">
        <v>47</v>
      </c>
      <c r="S195" s="3">
        <v>2089</v>
      </c>
      <c r="T195" s="3">
        <v>5228</v>
      </c>
      <c r="U195" s="3" t="str">
        <f t="shared" ref="U195:U258" si="15">_xlfn.IFS(S195&lt;5000,"Low",S195&lt;10000,"Medium",S195&gt;10000,"High")</f>
        <v>Low</v>
      </c>
      <c r="V195">
        <v>4</v>
      </c>
      <c r="W195" t="s">
        <v>38</v>
      </c>
      <c r="X195" s="2">
        <v>14</v>
      </c>
      <c r="Y195" t="s">
        <v>60</v>
      </c>
      <c r="Z195" t="s">
        <v>62</v>
      </c>
      <c r="AA195">
        <v>3</v>
      </c>
      <c r="AB195">
        <v>7</v>
      </c>
      <c r="AC195">
        <v>3</v>
      </c>
      <c r="AD195">
        <v>4</v>
      </c>
      <c r="AE195">
        <v>5</v>
      </c>
      <c r="AF195">
        <v>4</v>
      </c>
      <c r="AG195">
        <v>2</v>
      </c>
      <c r="AH195">
        <v>2</v>
      </c>
      <c r="AI195" t="str">
        <f t="shared" si="12"/>
        <v>3-5 Years</v>
      </c>
      <c r="AJ195" t="str">
        <f t="shared" si="13"/>
        <v>0-2</v>
      </c>
    </row>
    <row r="196" spans="1:36" x14ac:dyDescent="0.35">
      <c r="A196">
        <v>195</v>
      </c>
      <c r="B196">
        <v>45</v>
      </c>
      <c r="C196" t="str">
        <f t="shared" si="14"/>
        <v>36-45</v>
      </c>
      <c r="D196" t="s">
        <v>38</v>
      </c>
      <c r="E196" t="s">
        <v>50</v>
      </c>
      <c r="F196" s="3">
        <v>1389</v>
      </c>
      <c r="G196" t="s">
        <v>40</v>
      </c>
      <c r="H196" s="1">
        <v>2</v>
      </c>
      <c r="I196" t="s">
        <v>58</v>
      </c>
      <c r="J196" t="s">
        <v>46</v>
      </c>
      <c r="K196" t="s">
        <v>59</v>
      </c>
      <c r="L196" t="s">
        <v>41</v>
      </c>
      <c r="M196" s="3">
        <v>65</v>
      </c>
      <c r="N196" t="s">
        <v>61</v>
      </c>
      <c r="O196" t="s">
        <v>62</v>
      </c>
      <c r="P196" t="s">
        <v>51</v>
      </c>
      <c r="Q196" t="s">
        <v>62</v>
      </c>
      <c r="R196" t="s">
        <v>43</v>
      </c>
      <c r="S196" s="3">
        <v>16792</v>
      </c>
      <c r="T196" s="3">
        <v>20462</v>
      </c>
      <c r="U196" s="3" t="str">
        <f t="shared" si="15"/>
        <v>High</v>
      </c>
      <c r="V196">
        <v>9</v>
      </c>
      <c r="W196" t="s">
        <v>38</v>
      </c>
      <c r="X196" s="2">
        <v>23</v>
      </c>
      <c r="Y196" t="s">
        <v>62</v>
      </c>
      <c r="Z196" t="s">
        <v>62</v>
      </c>
      <c r="AA196">
        <v>1</v>
      </c>
      <c r="AB196">
        <v>22</v>
      </c>
      <c r="AC196">
        <v>1</v>
      </c>
      <c r="AD196">
        <v>3</v>
      </c>
      <c r="AE196">
        <v>20</v>
      </c>
      <c r="AF196">
        <v>8</v>
      </c>
      <c r="AG196">
        <v>11</v>
      </c>
      <c r="AH196">
        <v>8</v>
      </c>
      <c r="AI196" t="str">
        <f t="shared" si="12"/>
        <v>10+ Years</v>
      </c>
      <c r="AJ196" t="str">
        <f t="shared" si="13"/>
        <v>6+</v>
      </c>
    </row>
    <row r="197" spans="1:36" x14ac:dyDescent="0.35">
      <c r="A197">
        <v>196</v>
      </c>
      <c r="B197">
        <v>37</v>
      </c>
      <c r="C197" t="str">
        <f t="shared" si="14"/>
        <v>36-45</v>
      </c>
      <c r="D197" t="s">
        <v>38</v>
      </c>
      <c r="E197" t="s">
        <v>32</v>
      </c>
      <c r="F197" s="3">
        <v>1389</v>
      </c>
      <c r="G197" t="s">
        <v>40</v>
      </c>
      <c r="H197" s="1">
        <v>21</v>
      </c>
      <c r="I197" t="s">
        <v>61</v>
      </c>
      <c r="J197" t="s">
        <v>34</v>
      </c>
      <c r="K197" t="s">
        <v>61</v>
      </c>
      <c r="L197" t="s">
        <v>41</v>
      </c>
      <c r="M197" s="3">
        <v>65</v>
      </c>
      <c r="N197" t="s">
        <v>62</v>
      </c>
      <c r="O197" t="s">
        <v>59</v>
      </c>
      <c r="P197" t="s">
        <v>42</v>
      </c>
      <c r="Q197" t="s">
        <v>59</v>
      </c>
      <c r="R197" t="s">
        <v>43</v>
      </c>
      <c r="S197" s="3">
        <v>3564</v>
      </c>
      <c r="T197" s="3">
        <v>22977</v>
      </c>
      <c r="U197" s="3" t="str">
        <f t="shared" si="15"/>
        <v>Low</v>
      </c>
      <c r="V197">
        <v>1</v>
      </c>
      <c r="W197" t="s">
        <v>31</v>
      </c>
      <c r="X197" s="2">
        <v>12</v>
      </c>
      <c r="Y197" t="s">
        <v>60</v>
      </c>
      <c r="Z197" t="s">
        <v>59</v>
      </c>
      <c r="AA197">
        <v>1</v>
      </c>
      <c r="AB197">
        <v>8</v>
      </c>
      <c r="AC197">
        <v>3</v>
      </c>
      <c r="AD197">
        <v>2</v>
      </c>
      <c r="AE197">
        <v>8</v>
      </c>
      <c r="AF197">
        <v>7</v>
      </c>
      <c r="AG197">
        <v>1</v>
      </c>
      <c r="AH197">
        <v>7</v>
      </c>
      <c r="AI197" t="str">
        <f t="shared" si="12"/>
        <v>6-10 Years</v>
      </c>
      <c r="AJ197" t="str">
        <f t="shared" si="13"/>
        <v>0-2</v>
      </c>
    </row>
    <row r="198" spans="1:36" x14ac:dyDescent="0.35">
      <c r="A198">
        <v>197</v>
      </c>
      <c r="B198">
        <v>35</v>
      </c>
      <c r="C198" t="str">
        <f t="shared" si="14"/>
        <v>26-35</v>
      </c>
      <c r="D198" t="s">
        <v>38</v>
      </c>
      <c r="E198" t="s">
        <v>39</v>
      </c>
      <c r="F198" s="3">
        <v>1389</v>
      </c>
      <c r="G198" t="s">
        <v>40</v>
      </c>
      <c r="H198" s="1">
        <v>2</v>
      </c>
      <c r="I198" t="s">
        <v>61</v>
      </c>
      <c r="J198" t="s">
        <v>46</v>
      </c>
      <c r="K198" t="s">
        <v>61</v>
      </c>
      <c r="L198" t="s">
        <v>35</v>
      </c>
      <c r="M198" s="3">
        <v>37</v>
      </c>
      <c r="N198" t="s">
        <v>60</v>
      </c>
      <c r="O198" t="s">
        <v>61</v>
      </c>
      <c r="P198" t="s">
        <v>45</v>
      </c>
      <c r="Q198" t="s">
        <v>61</v>
      </c>
      <c r="R198" t="s">
        <v>37</v>
      </c>
      <c r="S198" s="3">
        <v>4425</v>
      </c>
      <c r="T198" s="3">
        <v>15986</v>
      </c>
      <c r="U198" s="3" t="str">
        <f t="shared" si="15"/>
        <v>Low</v>
      </c>
      <c r="V198">
        <v>5</v>
      </c>
      <c r="W198" t="s">
        <v>38</v>
      </c>
      <c r="X198" s="2">
        <v>11</v>
      </c>
      <c r="Y198" t="s">
        <v>60</v>
      </c>
      <c r="Z198" t="s">
        <v>62</v>
      </c>
      <c r="AA198">
        <v>0</v>
      </c>
      <c r="AB198">
        <v>10</v>
      </c>
      <c r="AC198">
        <v>5</v>
      </c>
      <c r="AD198">
        <v>3</v>
      </c>
      <c r="AE198">
        <v>6</v>
      </c>
      <c r="AF198">
        <v>2</v>
      </c>
      <c r="AG198">
        <v>1</v>
      </c>
      <c r="AH198">
        <v>2</v>
      </c>
      <c r="AI198" t="str">
        <f t="shared" si="12"/>
        <v>6-10 Years</v>
      </c>
      <c r="AJ198" t="str">
        <f t="shared" si="13"/>
        <v>0-2</v>
      </c>
    </row>
    <row r="199" spans="1:36" x14ac:dyDescent="0.35">
      <c r="A199">
        <v>198</v>
      </c>
      <c r="B199">
        <v>42</v>
      </c>
      <c r="C199" t="str">
        <f t="shared" si="14"/>
        <v>36-45</v>
      </c>
      <c r="D199" t="s">
        <v>38</v>
      </c>
      <c r="E199" t="s">
        <v>50</v>
      </c>
      <c r="F199" s="3">
        <v>1389</v>
      </c>
      <c r="G199" t="s">
        <v>40</v>
      </c>
      <c r="H199" s="1">
        <v>21</v>
      </c>
      <c r="I199" t="s">
        <v>58</v>
      </c>
      <c r="J199" t="s">
        <v>46</v>
      </c>
      <c r="K199" t="s">
        <v>60</v>
      </c>
      <c r="L199" t="s">
        <v>35</v>
      </c>
      <c r="M199" s="3">
        <v>36</v>
      </c>
      <c r="N199" t="s">
        <v>60</v>
      </c>
      <c r="O199" t="s">
        <v>61</v>
      </c>
      <c r="P199" t="s">
        <v>48</v>
      </c>
      <c r="Q199" t="s">
        <v>60</v>
      </c>
      <c r="R199" t="s">
        <v>47</v>
      </c>
      <c r="S199" s="3">
        <v>5265</v>
      </c>
      <c r="T199" s="3">
        <v>16439</v>
      </c>
      <c r="U199" s="3" t="str">
        <f t="shared" si="15"/>
        <v>Medium</v>
      </c>
      <c r="V199">
        <v>2</v>
      </c>
      <c r="W199" t="s">
        <v>38</v>
      </c>
      <c r="X199" s="2">
        <v>16</v>
      </c>
      <c r="Y199" t="s">
        <v>60</v>
      </c>
      <c r="Z199" t="s">
        <v>61</v>
      </c>
      <c r="AA199">
        <v>1</v>
      </c>
      <c r="AB199">
        <v>11</v>
      </c>
      <c r="AC199">
        <v>5</v>
      </c>
      <c r="AD199">
        <v>3</v>
      </c>
      <c r="AE199">
        <v>5</v>
      </c>
      <c r="AF199">
        <v>3</v>
      </c>
      <c r="AG199">
        <v>0</v>
      </c>
      <c r="AH199">
        <v>2</v>
      </c>
      <c r="AI199" t="str">
        <f t="shared" si="12"/>
        <v>3-5 Years</v>
      </c>
      <c r="AJ199" t="str">
        <f t="shared" si="13"/>
        <v>0-2</v>
      </c>
    </row>
    <row r="200" spans="1:36" x14ac:dyDescent="0.35">
      <c r="A200">
        <v>199</v>
      </c>
      <c r="B200">
        <v>38</v>
      </c>
      <c r="C200" t="str">
        <f t="shared" si="14"/>
        <v>36-45</v>
      </c>
      <c r="D200" t="s">
        <v>38</v>
      </c>
      <c r="E200" t="s">
        <v>32</v>
      </c>
      <c r="F200" s="3">
        <v>1389</v>
      </c>
      <c r="G200" t="s">
        <v>40</v>
      </c>
      <c r="H200" s="1">
        <v>2</v>
      </c>
      <c r="I200" t="s">
        <v>60</v>
      </c>
      <c r="J200" t="s">
        <v>34</v>
      </c>
      <c r="K200" t="s">
        <v>62</v>
      </c>
      <c r="L200" t="s">
        <v>41</v>
      </c>
      <c r="M200" s="3">
        <v>88</v>
      </c>
      <c r="N200" t="s">
        <v>60</v>
      </c>
      <c r="O200" t="s">
        <v>61</v>
      </c>
      <c r="P200" t="s">
        <v>48</v>
      </c>
      <c r="Q200" t="s">
        <v>60</v>
      </c>
      <c r="R200" t="s">
        <v>43</v>
      </c>
      <c r="S200" s="3">
        <v>6553</v>
      </c>
      <c r="T200" s="3">
        <v>7259</v>
      </c>
      <c r="U200" s="3" t="str">
        <f t="shared" si="15"/>
        <v>Medium</v>
      </c>
      <c r="V200">
        <v>9</v>
      </c>
      <c r="W200" t="s">
        <v>38</v>
      </c>
      <c r="X200" s="2">
        <v>14</v>
      </c>
      <c r="Y200" t="s">
        <v>60</v>
      </c>
      <c r="Z200" t="s">
        <v>61</v>
      </c>
      <c r="AA200">
        <v>0</v>
      </c>
      <c r="AB200">
        <v>14</v>
      </c>
      <c r="AC200">
        <v>3</v>
      </c>
      <c r="AD200">
        <v>3</v>
      </c>
      <c r="AE200">
        <v>1</v>
      </c>
      <c r="AF200">
        <v>0</v>
      </c>
      <c r="AG200">
        <v>0</v>
      </c>
      <c r="AH200">
        <v>0</v>
      </c>
      <c r="AI200" t="str">
        <f t="shared" si="12"/>
        <v>0-2 Years</v>
      </c>
      <c r="AJ200" t="str">
        <f t="shared" si="13"/>
        <v>0-2</v>
      </c>
    </row>
    <row r="201" spans="1:36" x14ac:dyDescent="0.35">
      <c r="A201">
        <v>200</v>
      </c>
      <c r="B201">
        <v>38</v>
      </c>
      <c r="C201" t="str">
        <f t="shared" si="14"/>
        <v>36-45</v>
      </c>
      <c r="D201" t="s">
        <v>38</v>
      </c>
      <c r="E201" t="s">
        <v>32</v>
      </c>
      <c r="F201" s="3">
        <v>1389</v>
      </c>
      <c r="G201" t="s">
        <v>40</v>
      </c>
      <c r="H201" s="1">
        <v>29</v>
      </c>
      <c r="I201" t="s">
        <v>61</v>
      </c>
      <c r="J201" t="s">
        <v>55</v>
      </c>
      <c r="K201" t="s">
        <v>62</v>
      </c>
      <c r="L201" t="s">
        <v>41</v>
      </c>
      <c r="M201" s="3">
        <v>54</v>
      </c>
      <c r="N201" t="s">
        <v>60</v>
      </c>
      <c r="O201" t="s">
        <v>61</v>
      </c>
      <c r="P201" t="s">
        <v>48</v>
      </c>
      <c r="Q201" t="s">
        <v>62</v>
      </c>
      <c r="R201" t="s">
        <v>43</v>
      </c>
      <c r="S201" s="3">
        <v>6261</v>
      </c>
      <c r="T201" s="3">
        <v>4185</v>
      </c>
      <c r="U201" s="3" t="str">
        <f t="shared" si="15"/>
        <v>Medium</v>
      </c>
      <c r="V201">
        <v>3</v>
      </c>
      <c r="W201" t="s">
        <v>38</v>
      </c>
      <c r="X201" s="2">
        <v>18</v>
      </c>
      <c r="Y201" t="s">
        <v>60</v>
      </c>
      <c r="Z201" t="s">
        <v>59</v>
      </c>
      <c r="AA201">
        <v>1</v>
      </c>
      <c r="AB201">
        <v>9</v>
      </c>
      <c r="AC201">
        <v>3</v>
      </c>
      <c r="AD201">
        <v>1</v>
      </c>
      <c r="AE201">
        <v>7</v>
      </c>
      <c r="AF201">
        <v>7</v>
      </c>
      <c r="AG201">
        <v>1</v>
      </c>
      <c r="AH201">
        <v>7</v>
      </c>
      <c r="AI201" t="str">
        <f t="shared" si="12"/>
        <v>6-10 Years</v>
      </c>
      <c r="AJ201" t="str">
        <f t="shared" si="13"/>
        <v>0-2</v>
      </c>
    </row>
    <row r="202" spans="1:36" x14ac:dyDescent="0.35">
      <c r="A202">
        <v>201</v>
      </c>
      <c r="B202">
        <v>27</v>
      </c>
      <c r="C202" t="str">
        <f t="shared" si="14"/>
        <v>26-35</v>
      </c>
      <c r="D202" t="s">
        <v>38</v>
      </c>
      <c r="E202" t="s">
        <v>39</v>
      </c>
      <c r="F202" s="3">
        <v>1389</v>
      </c>
      <c r="G202" t="s">
        <v>40</v>
      </c>
      <c r="H202" s="1">
        <v>1</v>
      </c>
      <c r="I202" t="s">
        <v>59</v>
      </c>
      <c r="J202" t="s">
        <v>55</v>
      </c>
      <c r="K202" t="s">
        <v>60</v>
      </c>
      <c r="L202" t="s">
        <v>41</v>
      </c>
      <c r="M202" s="3">
        <v>60</v>
      </c>
      <c r="N202" t="s">
        <v>61</v>
      </c>
      <c r="O202" t="s">
        <v>61</v>
      </c>
      <c r="P202" t="s">
        <v>48</v>
      </c>
      <c r="Q202" t="s">
        <v>59</v>
      </c>
      <c r="R202" t="s">
        <v>43</v>
      </c>
      <c r="S202" s="3">
        <v>4298</v>
      </c>
      <c r="T202" s="3">
        <v>9679</v>
      </c>
      <c r="U202" s="3" t="str">
        <f t="shared" si="15"/>
        <v>Low</v>
      </c>
      <c r="V202">
        <v>5</v>
      </c>
      <c r="W202" t="s">
        <v>38</v>
      </c>
      <c r="X202" s="2">
        <v>19</v>
      </c>
      <c r="Y202" t="s">
        <v>60</v>
      </c>
      <c r="Z202" t="s">
        <v>60</v>
      </c>
      <c r="AA202">
        <v>1</v>
      </c>
      <c r="AB202">
        <v>6</v>
      </c>
      <c r="AC202">
        <v>1</v>
      </c>
      <c r="AD202">
        <v>3</v>
      </c>
      <c r="AE202">
        <v>2</v>
      </c>
      <c r="AF202">
        <v>2</v>
      </c>
      <c r="AG202">
        <v>2</v>
      </c>
      <c r="AH202">
        <v>0</v>
      </c>
      <c r="AI202" t="str">
        <f t="shared" si="12"/>
        <v>0-2 Years</v>
      </c>
      <c r="AJ202" t="str">
        <f t="shared" si="13"/>
        <v>0-2</v>
      </c>
    </row>
    <row r="203" spans="1:36" x14ac:dyDescent="0.35">
      <c r="A203">
        <v>202</v>
      </c>
      <c r="B203">
        <v>49</v>
      </c>
      <c r="C203" t="str">
        <f t="shared" si="14"/>
        <v>46-55</v>
      </c>
      <c r="D203" t="s">
        <v>38</v>
      </c>
      <c r="E203" t="s">
        <v>50</v>
      </c>
      <c r="F203" s="3">
        <v>1389</v>
      </c>
      <c r="G203" t="s">
        <v>40</v>
      </c>
      <c r="H203" s="1">
        <v>18</v>
      </c>
      <c r="I203" t="s">
        <v>60</v>
      </c>
      <c r="J203" t="s">
        <v>34</v>
      </c>
      <c r="K203" t="s">
        <v>62</v>
      </c>
      <c r="L203" t="s">
        <v>41</v>
      </c>
      <c r="M203" s="3">
        <v>92</v>
      </c>
      <c r="N203" t="s">
        <v>60</v>
      </c>
      <c r="O203" t="s">
        <v>61</v>
      </c>
      <c r="P203" t="s">
        <v>48</v>
      </c>
      <c r="Q203" t="s">
        <v>62</v>
      </c>
      <c r="R203" t="s">
        <v>47</v>
      </c>
      <c r="S203" s="3">
        <v>6804</v>
      </c>
      <c r="T203" s="3">
        <v>23793</v>
      </c>
      <c r="U203" s="3" t="str">
        <f t="shared" si="15"/>
        <v>Medium</v>
      </c>
      <c r="V203">
        <v>1</v>
      </c>
      <c r="W203" t="s">
        <v>31</v>
      </c>
      <c r="X203" s="2">
        <v>15</v>
      </c>
      <c r="Y203" t="s">
        <v>60</v>
      </c>
      <c r="Z203" t="s">
        <v>59</v>
      </c>
      <c r="AA203">
        <v>2</v>
      </c>
      <c r="AB203">
        <v>7</v>
      </c>
      <c r="AC203">
        <v>0</v>
      </c>
      <c r="AD203">
        <v>3</v>
      </c>
      <c r="AE203">
        <v>7</v>
      </c>
      <c r="AF203">
        <v>7</v>
      </c>
      <c r="AG203">
        <v>1</v>
      </c>
      <c r="AH203">
        <v>7</v>
      </c>
      <c r="AI203" t="str">
        <f t="shared" si="12"/>
        <v>6-10 Years</v>
      </c>
      <c r="AJ203" t="str">
        <f t="shared" si="13"/>
        <v>0-2</v>
      </c>
    </row>
    <row r="204" spans="1:36" x14ac:dyDescent="0.35">
      <c r="A204">
        <v>203</v>
      </c>
      <c r="B204">
        <v>34</v>
      </c>
      <c r="C204" t="str">
        <f t="shared" si="14"/>
        <v>26-35</v>
      </c>
      <c r="D204" t="s">
        <v>38</v>
      </c>
      <c r="E204" t="s">
        <v>39</v>
      </c>
      <c r="F204" s="3">
        <v>1389</v>
      </c>
      <c r="G204" t="s">
        <v>40</v>
      </c>
      <c r="H204" s="1">
        <v>10</v>
      </c>
      <c r="I204" t="s">
        <v>60</v>
      </c>
      <c r="J204" t="s">
        <v>46</v>
      </c>
      <c r="K204" t="s">
        <v>62</v>
      </c>
      <c r="L204" t="s">
        <v>41</v>
      </c>
      <c r="M204" s="3">
        <v>43</v>
      </c>
      <c r="N204" t="s">
        <v>60</v>
      </c>
      <c r="O204" t="s">
        <v>59</v>
      </c>
      <c r="P204" t="s">
        <v>42</v>
      </c>
      <c r="Q204" t="s">
        <v>60</v>
      </c>
      <c r="R204" t="s">
        <v>47</v>
      </c>
      <c r="S204" s="3">
        <v>3815</v>
      </c>
      <c r="T204" s="3">
        <v>5972</v>
      </c>
      <c r="U204" s="3" t="str">
        <f t="shared" si="15"/>
        <v>Low</v>
      </c>
      <c r="V204">
        <v>1</v>
      </c>
      <c r="W204" t="s">
        <v>31</v>
      </c>
      <c r="X204" s="2">
        <v>17</v>
      </c>
      <c r="Y204" t="s">
        <v>60</v>
      </c>
      <c r="Z204" t="s">
        <v>62</v>
      </c>
      <c r="AA204">
        <v>1</v>
      </c>
      <c r="AB204">
        <v>5</v>
      </c>
      <c r="AC204">
        <v>4</v>
      </c>
      <c r="AD204">
        <v>4</v>
      </c>
      <c r="AE204">
        <v>5</v>
      </c>
      <c r="AF204">
        <v>3</v>
      </c>
      <c r="AG204">
        <v>2</v>
      </c>
      <c r="AH204">
        <v>0</v>
      </c>
      <c r="AI204" t="str">
        <f t="shared" si="12"/>
        <v>3-5 Years</v>
      </c>
      <c r="AJ204" t="str">
        <f t="shared" si="13"/>
        <v>0-2</v>
      </c>
    </row>
    <row r="205" spans="1:36" x14ac:dyDescent="0.35">
      <c r="A205">
        <v>204</v>
      </c>
      <c r="B205">
        <v>40</v>
      </c>
      <c r="C205" t="str">
        <f t="shared" si="14"/>
        <v>36-45</v>
      </c>
      <c r="D205" t="s">
        <v>38</v>
      </c>
      <c r="E205" t="s">
        <v>32</v>
      </c>
      <c r="F205" s="3">
        <v>1389</v>
      </c>
      <c r="G205" t="s">
        <v>40</v>
      </c>
      <c r="H205" s="1">
        <v>19</v>
      </c>
      <c r="I205" t="s">
        <v>58</v>
      </c>
      <c r="J205" t="s">
        <v>46</v>
      </c>
      <c r="K205" t="s">
        <v>60</v>
      </c>
      <c r="L205" t="s">
        <v>41</v>
      </c>
      <c r="M205" s="3">
        <v>99</v>
      </c>
      <c r="N205" t="s">
        <v>60</v>
      </c>
      <c r="O205" t="s">
        <v>61</v>
      </c>
      <c r="P205" t="s">
        <v>45</v>
      </c>
      <c r="Q205" t="s">
        <v>62</v>
      </c>
      <c r="R205" t="s">
        <v>43</v>
      </c>
      <c r="S205" s="3">
        <v>2741</v>
      </c>
      <c r="T205" s="3">
        <v>16523</v>
      </c>
      <c r="U205" s="3" t="str">
        <f t="shared" si="15"/>
        <v>Low</v>
      </c>
      <c r="V205">
        <v>8</v>
      </c>
      <c r="W205" t="s">
        <v>31</v>
      </c>
      <c r="X205" s="2">
        <v>15</v>
      </c>
      <c r="Y205" t="s">
        <v>60</v>
      </c>
      <c r="Z205" t="s">
        <v>60</v>
      </c>
      <c r="AA205">
        <v>1</v>
      </c>
      <c r="AB205">
        <v>15</v>
      </c>
      <c r="AC205">
        <v>2</v>
      </c>
      <c r="AD205">
        <v>4</v>
      </c>
      <c r="AE205">
        <v>7</v>
      </c>
      <c r="AF205">
        <v>2</v>
      </c>
      <c r="AG205">
        <v>3</v>
      </c>
      <c r="AH205">
        <v>7</v>
      </c>
      <c r="AI205" t="str">
        <f t="shared" si="12"/>
        <v>6-10 Years</v>
      </c>
      <c r="AJ205" t="str">
        <f t="shared" si="13"/>
        <v>3-5</v>
      </c>
    </row>
    <row r="206" spans="1:36" x14ac:dyDescent="0.35">
      <c r="A206">
        <v>205</v>
      </c>
      <c r="B206">
        <v>38</v>
      </c>
      <c r="C206" t="str">
        <f t="shared" si="14"/>
        <v>36-45</v>
      </c>
      <c r="D206" t="s">
        <v>31</v>
      </c>
      <c r="E206" t="s">
        <v>32</v>
      </c>
      <c r="F206" s="3">
        <v>1389</v>
      </c>
      <c r="G206" t="s">
        <v>40</v>
      </c>
      <c r="H206" s="1">
        <v>29</v>
      </c>
      <c r="I206" t="s">
        <v>59</v>
      </c>
      <c r="J206" t="s">
        <v>46</v>
      </c>
      <c r="K206" t="s">
        <v>61</v>
      </c>
      <c r="L206" t="s">
        <v>41</v>
      </c>
      <c r="M206" s="3">
        <v>70</v>
      </c>
      <c r="N206" t="s">
        <v>60</v>
      </c>
      <c r="O206" t="s">
        <v>61</v>
      </c>
      <c r="P206" t="s">
        <v>49</v>
      </c>
      <c r="Q206" t="s">
        <v>59</v>
      </c>
      <c r="R206" t="s">
        <v>43</v>
      </c>
      <c r="S206" s="3">
        <v>6673</v>
      </c>
      <c r="T206" s="3">
        <v>11354</v>
      </c>
      <c r="U206" s="3" t="str">
        <f t="shared" si="15"/>
        <v>Medium</v>
      </c>
      <c r="V206">
        <v>7</v>
      </c>
      <c r="W206" t="s">
        <v>31</v>
      </c>
      <c r="X206" s="2">
        <v>19</v>
      </c>
      <c r="Y206" t="s">
        <v>60</v>
      </c>
      <c r="Z206" t="s">
        <v>61</v>
      </c>
      <c r="AA206">
        <v>0</v>
      </c>
      <c r="AB206">
        <v>17</v>
      </c>
      <c r="AC206">
        <v>2</v>
      </c>
      <c r="AD206">
        <v>3</v>
      </c>
      <c r="AE206">
        <v>1</v>
      </c>
      <c r="AF206">
        <v>0</v>
      </c>
      <c r="AG206">
        <v>0</v>
      </c>
      <c r="AH206">
        <v>0</v>
      </c>
      <c r="AI206" t="str">
        <f t="shared" si="12"/>
        <v>0-2 Years</v>
      </c>
      <c r="AJ206" t="str">
        <f t="shared" si="13"/>
        <v>0-2</v>
      </c>
    </row>
    <row r="207" spans="1:36" x14ac:dyDescent="0.35">
      <c r="A207">
        <v>206</v>
      </c>
      <c r="B207">
        <v>29</v>
      </c>
      <c r="C207" t="str">
        <f t="shared" si="14"/>
        <v>26-35</v>
      </c>
      <c r="D207" t="s">
        <v>31</v>
      </c>
      <c r="E207" t="s">
        <v>32</v>
      </c>
      <c r="F207" s="3">
        <v>1389</v>
      </c>
      <c r="G207" t="s">
        <v>33</v>
      </c>
      <c r="H207" s="1">
        <v>27</v>
      </c>
      <c r="I207" t="s">
        <v>61</v>
      </c>
      <c r="J207" t="s">
        <v>54</v>
      </c>
      <c r="K207" t="s">
        <v>61</v>
      </c>
      <c r="L207" t="s">
        <v>35</v>
      </c>
      <c r="M207" s="3">
        <v>35</v>
      </c>
      <c r="N207" t="s">
        <v>60</v>
      </c>
      <c r="O207" t="s">
        <v>60</v>
      </c>
      <c r="P207" t="s">
        <v>36</v>
      </c>
      <c r="Q207" t="s">
        <v>62</v>
      </c>
      <c r="R207" t="s">
        <v>43</v>
      </c>
      <c r="S207" s="3">
        <v>7639</v>
      </c>
      <c r="T207" s="3">
        <v>24525</v>
      </c>
      <c r="U207" s="3" t="str">
        <f t="shared" si="15"/>
        <v>Medium</v>
      </c>
      <c r="V207">
        <v>1</v>
      </c>
      <c r="W207" t="s">
        <v>38</v>
      </c>
      <c r="X207" s="2">
        <v>22</v>
      </c>
      <c r="Y207" t="s">
        <v>62</v>
      </c>
      <c r="Z207" t="s">
        <v>62</v>
      </c>
      <c r="AA207">
        <v>3</v>
      </c>
      <c r="AB207">
        <v>10</v>
      </c>
      <c r="AC207">
        <v>3</v>
      </c>
      <c r="AD207">
        <v>2</v>
      </c>
      <c r="AE207">
        <v>10</v>
      </c>
      <c r="AF207">
        <v>4</v>
      </c>
      <c r="AG207">
        <v>1</v>
      </c>
      <c r="AH207">
        <v>9</v>
      </c>
      <c r="AI207" t="str">
        <f t="shared" si="12"/>
        <v>6-10 Years</v>
      </c>
      <c r="AJ207" t="str">
        <f t="shared" si="13"/>
        <v>0-2</v>
      </c>
    </row>
    <row r="208" spans="1:36" x14ac:dyDescent="0.35">
      <c r="A208">
        <v>207</v>
      </c>
      <c r="B208">
        <v>22</v>
      </c>
      <c r="C208" t="str">
        <f t="shared" si="14"/>
        <v>18-25</v>
      </c>
      <c r="D208" t="s">
        <v>38</v>
      </c>
      <c r="E208" t="s">
        <v>32</v>
      </c>
      <c r="F208" s="3">
        <v>1389</v>
      </c>
      <c r="G208" t="s">
        <v>40</v>
      </c>
      <c r="H208" s="1">
        <v>5</v>
      </c>
      <c r="I208" t="s">
        <v>61</v>
      </c>
      <c r="J208" t="s">
        <v>34</v>
      </c>
      <c r="K208" t="s">
        <v>62</v>
      </c>
      <c r="L208" t="s">
        <v>41</v>
      </c>
      <c r="M208" s="3">
        <v>60</v>
      </c>
      <c r="N208" t="s">
        <v>62</v>
      </c>
      <c r="O208" t="s">
        <v>59</v>
      </c>
      <c r="P208" t="s">
        <v>42</v>
      </c>
      <c r="Q208" t="s">
        <v>61</v>
      </c>
      <c r="R208" t="s">
        <v>47</v>
      </c>
      <c r="S208" s="3">
        <v>2328</v>
      </c>
      <c r="T208" s="3">
        <v>12392</v>
      </c>
      <c r="U208" s="3" t="str">
        <f t="shared" si="15"/>
        <v>Low</v>
      </c>
      <c r="V208">
        <v>1</v>
      </c>
      <c r="W208" t="s">
        <v>31</v>
      </c>
      <c r="X208" s="2">
        <v>16</v>
      </c>
      <c r="Y208" t="s">
        <v>60</v>
      </c>
      <c r="Z208" t="s">
        <v>59</v>
      </c>
      <c r="AA208">
        <v>1</v>
      </c>
      <c r="AB208">
        <v>4</v>
      </c>
      <c r="AC208">
        <v>2</v>
      </c>
      <c r="AD208">
        <v>2</v>
      </c>
      <c r="AE208">
        <v>4</v>
      </c>
      <c r="AF208">
        <v>2</v>
      </c>
      <c r="AG208">
        <v>2</v>
      </c>
      <c r="AH208">
        <v>2</v>
      </c>
      <c r="AI208" t="str">
        <f t="shared" si="12"/>
        <v>3-5 Years</v>
      </c>
      <c r="AJ208" t="str">
        <f t="shared" si="13"/>
        <v>0-2</v>
      </c>
    </row>
    <row r="209" spans="1:36" x14ac:dyDescent="0.35">
      <c r="A209">
        <v>208</v>
      </c>
      <c r="B209">
        <v>36</v>
      </c>
      <c r="C209" t="str">
        <f t="shared" si="14"/>
        <v>36-45</v>
      </c>
      <c r="D209" t="s">
        <v>38</v>
      </c>
      <c r="E209" t="s">
        <v>39</v>
      </c>
      <c r="F209" s="3">
        <v>1389</v>
      </c>
      <c r="G209" t="s">
        <v>40</v>
      </c>
      <c r="H209" s="1">
        <v>18</v>
      </c>
      <c r="I209" t="s">
        <v>59</v>
      </c>
      <c r="J209" t="s">
        <v>46</v>
      </c>
      <c r="K209" t="s">
        <v>61</v>
      </c>
      <c r="L209" t="s">
        <v>35</v>
      </c>
      <c r="M209" s="3">
        <v>73</v>
      </c>
      <c r="N209" t="s">
        <v>60</v>
      </c>
      <c r="O209" t="s">
        <v>59</v>
      </c>
      <c r="P209" t="s">
        <v>45</v>
      </c>
      <c r="Q209" t="s">
        <v>62</v>
      </c>
      <c r="R209" t="s">
        <v>37</v>
      </c>
      <c r="S209" s="3">
        <v>2153</v>
      </c>
      <c r="T209" s="3">
        <v>7703</v>
      </c>
      <c r="U209" s="3" t="str">
        <f t="shared" si="15"/>
        <v>Low</v>
      </c>
      <c r="V209">
        <v>1</v>
      </c>
      <c r="W209" t="s">
        <v>38</v>
      </c>
      <c r="X209" s="2">
        <v>13</v>
      </c>
      <c r="Y209" t="s">
        <v>60</v>
      </c>
      <c r="Z209" t="s">
        <v>59</v>
      </c>
      <c r="AA209">
        <v>0</v>
      </c>
      <c r="AB209">
        <v>8</v>
      </c>
      <c r="AC209">
        <v>2</v>
      </c>
      <c r="AD209">
        <v>3</v>
      </c>
      <c r="AE209">
        <v>8</v>
      </c>
      <c r="AF209">
        <v>1</v>
      </c>
      <c r="AG209">
        <v>1</v>
      </c>
      <c r="AH209">
        <v>7</v>
      </c>
      <c r="AI209" t="str">
        <f t="shared" si="12"/>
        <v>6-10 Years</v>
      </c>
      <c r="AJ209" t="str">
        <f t="shared" si="13"/>
        <v>0-2</v>
      </c>
    </row>
    <row r="210" spans="1:36" x14ac:dyDescent="0.35">
      <c r="A210">
        <v>209</v>
      </c>
      <c r="B210">
        <v>40</v>
      </c>
      <c r="C210" t="str">
        <f t="shared" si="14"/>
        <v>36-45</v>
      </c>
      <c r="D210" t="s">
        <v>38</v>
      </c>
      <c r="E210" t="s">
        <v>50</v>
      </c>
      <c r="F210" s="3">
        <v>1389</v>
      </c>
      <c r="G210" t="s">
        <v>40</v>
      </c>
      <c r="H210" s="1">
        <v>9</v>
      </c>
      <c r="I210" t="s">
        <v>62</v>
      </c>
      <c r="J210" t="s">
        <v>34</v>
      </c>
      <c r="K210" t="s">
        <v>62</v>
      </c>
      <c r="L210" t="s">
        <v>41</v>
      </c>
      <c r="M210" s="3">
        <v>63</v>
      </c>
      <c r="N210" t="s">
        <v>61</v>
      </c>
      <c r="O210" t="s">
        <v>61</v>
      </c>
      <c r="P210" t="s">
        <v>49</v>
      </c>
      <c r="Q210" t="s">
        <v>62</v>
      </c>
      <c r="R210" t="s">
        <v>43</v>
      </c>
      <c r="S210" s="3">
        <v>4876</v>
      </c>
      <c r="T210" s="3">
        <v>14242</v>
      </c>
      <c r="U210" s="3" t="str">
        <f t="shared" si="15"/>
        <v>Low</v>
      </c>
      <c r="V210">
        <v>9</v>
      </c>
      <c r="W210" t="s">
        <v>38</v>
      </c>
      <c r="X210" s="2">
        <v>14</v>
      </c>
      <c r="Y210" t="s">
        <v>60</v>
      </c>
      <c r="Z210" t="s">
        <v>62</v>
      </c>
      <c r="AA210">
        <v>1</v>
      </c>
      <c r="AB210">
        <v>5</v>
      </c>
      <c r="AC210">
        <v>5</v>
      </c>
      <c r="AD210">
        <v>1</v>
      </c>
      <c r="AE210">
        <v>3</v>
      </c>
      <c r="AF210">
        <v>2</v>
      </c>
      <c r="AG210">
        <v>0</v>
      </c>
      <c r="AH210">
        <v>2</v>
      </c>
      <c r="AI210" t="str">
        <f t="shared" si="12"/>
        <v>3-5 Years</v>
      </c>
      <c r="AJ210" t="str">
        <f t="shared" si="13"/>
        <v>0-2</v>
      </c>
    </row>
    <row r="211" spans="1:36" x14ac:dyDescent="0.35">
      <c r="A211">
        <v>210</v>
      </c>
      <c r="B211">
        <v>46</v>
      </c>
      <c r="C211" t="str">
        <f t="shared" si="14"/>
        <v>46-55</v>
      </c>
      <c r="D211" t="s">
        <v>38</v>
      </c>
      <c r="E211" t="s">
        <v>32</v>
      </c>
      <c r="F211" s="3">
        <v>1389</v>
      </c>
      <c r="G211" t="s">
        <v>40</v>
      </c>
      <c r="H211" s="1">
        <v>1</v>
      </c>
      <c r="I211" t="s">
        <v>60</v>
      </c>
      <c r="J211" t="s">
        <v>46</v>
      </c>
      <c r="K211" t="s">
        <v>62</v>
      </c>
      <c r="L211" t="s">
        <v>41</v>
      </c>
      <c r="M211" s="3">
        <v>97</v>
      </c>
      <c r="N211" t="s">
        <v>60</v>
      </c>
      <c r="O211" t="s">
        <v>60</v>
      </c>
      <c r="P211" t="s">
        <v>49</v>
      </c>
      <c r="Q211" t="s">
        <v>59</v>
      </c>
      <c r="R211" t="s">
        <v>47</v>
      </c>
      <c r="S211" s="3">
        <v>9396</v>
      </c>
      <c r="T211" s="3">
        <v>12368</v>
      </c>
      <c r="U211" s="3" t="str">
        <f t="shared" si="15"/>
        <v>Medium</v>
      </c>
      <c r="V211">
        <v>7</v>
      </c>
      <c r="W211" t="s">
        <v>38</v>
      </c>
      <c r="X211" s="2">
        <v>16</v>
      </c>
      <c r="Y211" t="s">
        <v>60</v>
      </c>
      <c r="Z211" t="s">
        <v>60</v>
      </c>
      <c r="AA211">
        <v>1</v>
      </c>
      <c r="AB211">
        <v>17</v>
      </c>
      <c r="AC211">
        <v>3</v>
      </c>
      <c r="AD211">
        <v>3</v>
      </c>
      <c r="AE211">
        <v>4</v>
      </c>
      <c r="AF211">
        <v>2</v>
      </c>
      <c r="AG211">
        <v>0</v>
      </c>
      <c r="AH211">
        <v>3</v>
      </c>
      <c r="AI211" t="str">
        <f t="shared" si="12"/>
        <v>3-5 Years</v>
      </c>
      <c r="AJ211" t="str">
        <f t="shared" si="13"/>
        <v>0-2</v>
      </c>
    </row>
    <row r="212" spans="1:36" x14ac:dyDescent="0.35">
      <c r="A212">
        <v>211</v>
      </c>
      <c r="B212">
        <v>32</v>
      </c>
      <c r="C212" t="str">
        <f t="shared" si="14"/>
        <v>26-35</v>
      </c>
      <c r="D212" t="s">
        <v>31</v>
      </c>
      <c r="E212" t="s">
        <v>32</v>
      </c>
      <c r="F212" s="3">
        <v>1389</v>
      </c>
      <c r="G212" t="s">
        <v>33</v>
      </c>
      <c r="H212" s="1">
        <v>4</v>
      </c>
      <c r="I212" t="s">
        <v>60</v>
      </c>
      <c r="J212" t="s">
        <v>46</v>
      </c>
      <c r="K212" t="s">
        <v>62</v>
      </c>
      <c r="L212" t="s">
        <v>41</v>
      </c>
      <c r="M212" s="3">
        <v>32</v>
      </c>
      <c r="N212" t="s">
        <v>59</v>
      </c>
      <c r="O212" t="s">
        <v>60</v>
      </c>
      <c r="P212" t="s">
        <v>36</v>
      </c>
      <c r="Q212" t="s">
        <v>62</v>
      </c>
      <c r="R212" t="s">
        <v>43</v>
      </c>
      <c r="S212" s="3">
        <v>10400</v>
      </c>
      <c r="T212" s="3">
        <v>25812</v>
      </c>
      <c r="U212" s="3" t="str">
        <f t="shared" si="15"/>
        <v>High</v>
      </c>
      <c r="V212">
        <v>1</v>
      </c>
      <c r="W212" t="s">
        <v>38</v>
      </c>
      <c r="X212" s="2">
        <v>11</v>
      </c>
      <c r="Y212" t="s">
        <v>60</v>
      </c>
      <c r="Z212" t="s">
        <v>60</v>
      </c>
      <c r="AA212">
        <v>0</v>
      </c>
      <c r="AB212">
        <v>14</v>
      </c>
      <c r="AC212">
        <v>2</v>
      </c>
      <c r="AD212">
        <v>2</v>
      </c>
      <c r="AE212">
        <v>14</v>
      </c>
      <c r="AF212">
        <v>8</v>
      </c>
      <c r="AG212">
        <v>9</v>
      </c>
      <c r="AH212">
        <v>8</v>
      </c>
      <c r="AI212" t="str">
        <f t="shared" si="12"/>
        <v>10+ Years</v>
      </c>
      <c r="AJ212" t="str">
        <f t="shared" si="13"/>
        <v>6+</v>
      </c>
    </row>
    <row r="213" spans="1:36" x14ac:dyDescent="0.35">
      <c r="A213">
        <v>212</v>
      </c>
      <c r="B213">
        <v>30</v>
      </c>
      <c r="C213" t="str">
        <f t="shared" si="14"/>
        <v>26-35</v>
      </c>
      <c r="D213" t="s">
        <v>38</v>
      </c>
      <c r="E213" t="s">
        <v>50</v>
      </c>
      <c r="F213" s="3">
        <v>1389</v>
      </c>
      <c r="G213" t="s">
        <v>40</v>
      </c>
      <c r="H213" s="1">
        <v>1</v>
      </c>
      <c r="I213" t="s">
        <v>59</v>
      </c>
      <c r="J213" t="s">
        <v>34</v>
      </c>
      <c r="K213" t="s">
        <v>60</v>
      </c>
      <c r="L213" t="s">
        <v>41</v>
      </c>
      <c r="M213" s="3">
        <v>88</v>
      </c>
      <c r="N213" t="s">
        <v>61</v>
      </c>
      <c r="O213" t="s">
        <v>60</v>
      </c>
      <c r="P213" t="s">
        <v>48</v>
      </c>
      <c r="Q213" t="s">
        <v>60</v>
      </c>
      <c r="R213" t="s">
        <v>37</v>
      </c>
      <c r="S213" s="3">
        <v>8474</v>
      </c>
      <c r="T213" s="3">
        <v>20925</v>
      </c>
      <c r="U213" s="3" t="str">
        <f t="shared" si="15"/>
        <v>Medium</v>
      </c>
      <c r="V213">
        <v>1</v>
      </c>
      <c r="W213" t="s">
        <v>38</v>
      </c>
      <c r="X213" s="2">
        <v>22</v>
      </c>
      <c r="Y213" t="s">
        <v>62</v>
      </c>
      <c r="Z213" t="s">
        <v>60</v>
      </c>
      <c r="AA213">
        <v>0</v>
      </c>
      <c r="AB213">
        <v>12</v>
      </c>
      <c r="AC213">
        <v>2</v>
      </c>
      <c r="AD213">
        <v>3</v>
      </c>
      <c r="AE213">
        <v>11</v>
      </c>
      <c r="AF213">
        <v>8</v>
      </c>
      <c r="AG213">
        <v>5</v>
      </c>
      <c r="AH213">
        <v>8</v>
      </c>
      <c r="AI213" t="str">
        <f t="shared" si="12"/>
        <v>10+ Years</v>
      </c>
      <c r="AJ213" t="str">
        <f t="shared" si="13"/>
        <v>3-5</v>
      </c>
    </row>
    <row r="214" spans="1:36" x14ac:dyDescent="0.35">
      <c r="A214">
        <v>213</v>
      </c>
      <c r="B214">
        <v>27</v>
      </c>
      <c r="C214" t="str">
        <f t="shared" si="14"/>
        <v>26-35</v>
      </c>
      <c r="D214" t="s">
        <v>38</v>
      </c>
      <c r="E214" t="s">
        <v>39</v>
      </c>
      <c r="F214" s="3">
        <v>1389</v>
      </c>
      <c r="G214" t="s">
        <v>33</v>
      </c>
      <c r="H214" s="1">
        <v>20</v>
      </c>
      <c r="I214" t="s">
        <v>61</v>
      </c>
      <c r="J214" t="s">
        <v>34</v>
      </c>
      <c r="K214" t="s">
        <v>62</v>
      </c>
      <c r="L214" t="s">
        <v>35</v>
      </c>
      <c r="M214" s="3">
        <v>90</v>
      </c>
      <c r="N214" t="s">
        <v>60</v>
      </c>
      <c r="O214" t="s">
        <v>61</v>
      </c>
      <c r="P214" t="s">
        <v>36</v>
      </c>
      <c r="Q214" t="s">
        <v>60</v>
      </c>
      <c r="R214" t="s">
        <v>37</v>
      </c>
      <c r="S214" s="3">
        <v>9981</v>
      </c>
      <c r="T214" s="3">
        <v>12916</v>
      </c>
      <c r="U214" s="3" t="str">
        <f t="shared" si="15"/>
        <v>Medium</v>
      </c>
      <c r="V214">
        <v>1</v>
      </c>
      <c r="W214" t="s">
        <v>38</v>
      </c>
      <c r="X214" s="2">
        <v>14</v>
      </c>
      <c r="Y214" t="s">
        <v>60</v>
      </c>
      <c r="Z214" t="s">
        <v>62</v>
      </c>
      <c r="AA214">
        <v>0</v>
      </c>
      <c r="AB214">
        <v>7</v>
      </c>
      <c r="AC214">
        <v>2</v>
      </c>
      <c r="AD214">
        <v>3</v>
      </c>
      <c r="AE214">
        <v>7</v>
      </c>
      <c r="AF214">
        <v>7</v>
      </c>
      <c r="AG214">
        <v>0</v>
      </c>
      <c r="AH214">
        <v>7</v>
      </c>
      <c r="AI214" t="str">
        <f t="shared" si="12"/>
        <v>6-10 Years</v>
      </c>
      <c r="AJ214" t="str">
        <f t="shared" si="13"/>
        <v>0-2</v>
      </c>
    </row>
    <row r="215" spans="1:36" x14ac:dyDescent="0.35">
      <c r="A215">
        <v>214</v>
      </c>
      <c r="B215">
        <v>51</v>
      </c>
      <c r="C215" t="str">
        <f t="shared" si="14"/>
        <v>46-55</v>
      </c>
      <c r="D215" t="s">
        <v>38</v>
      </c>
      <c r="E215" t="s">
        <v>32</v>
      </c>
      <c r="F215" s="3">
        <v>1389</v>
      </c>
      <c r="G215" t="s">
        <v>40</v>
      </c>
      <c r="H215" s="1">
        <v>8</v>
      </c>
      <c r="I215" t="s">
        <v>60</v>
      </c>
      <c r="J215" t="s">
        <v>34</v>
      </c>
      <c r="K215" t="s">
        <v>61</v>
      </c>
      <c r="L215" t="s">
        <v>41</v>
      </c>
      <c r="M215" s="3">
        <v>81</v>
      </c>
      <c r="N215" t="s">
        <v>61</v>
      </c>
      <c r="O215" t="s">
        <v>60</v>
      </c>
      <c r="P215" t="s">
        <v>53</v>
      </c>
      <c r="Q215" t="s">
        <v>61</v>
      </c>
      <c r="R215" t="s">
        <v>43</v>
      </c>
      <c r="S215" s="3">
        <v>12490</v>
      </c>
      <c r="T215" s="3">
        <v>15736</v>
      </c>
      <c r="U215" s="3" t="str">
        <f t="shared" si="15"/>
        <v>High</v>
      </c>
      <c r="V215">
        <v>5</v>
      </c>
      <c r="W215" t="s">
        <v>38</v>
      </c>
      <c r="X215" s="2">
        <v>16</v>
      </c>
      <c r="Y215" t="s">
        <v>60</v>
      </c>
      <c r="Z215" t="s">
        <v>62</v>
      </c>
      <c r="AA215">
        <v>2</v>
      </c>
      <c r="AB215">
        <v>16</v>
      </c>
      <c r="AC215">
        <v>5</v>
      </c>
      <c r="AD215">
        <v>1</v>
      </c>
      <c r="AE215">
        <v>10</v>
      </c>
      <c r="AF215">
        <v>9</v>
      </c>
      <c r="AG215">
        <v>4</v>
      </c>
      <c r="AH215">
        <v>7</v>
      </c>
      <c r="AI215" t="str">
        <f t="shared" si="12"/>
        <v>6-10 Years</v>
      </c>
      <c r="AJ215" t="str">
        <f t="shared" si="13"/>
        <v>3-5</v>
      </c>
    </row>
    <row r="216" spans="1:36" x14ac:dyDescent="0.35">
      <c r="A216">
        <v>215</v>
      </c>
      <c r="B216">
        <v>30</v>
      </c>
      <c r="C216" t="str">
        <f t="shared" si="14"/>
        <v>26-35</v>
      </c>
      <c r="D216" t="s">
        <v>31</v>
      </c>
      <c r="E216" t="s">
        <v>32</v>
      </c>
      <c r="F216" s="3">
        <v>1389</v>
      </c>
      <c r="G216" t="s">
        <v>40</v>
      </c>
      <c r="H216" s="1">
        <v>3</v>
      </c>
      <c r="I216" t="s">
        <v>61</v>
      </c>
      <c r="J216" t="s">
        <v>55</v>
      </c>
      <c r="K216" t="s">
        <v>62</v>
      </c>
      <c r="L216" t="s">
        <v>35</v>
      </c>
      <c r="M216" s="3">
        <v>88</v>
      </c>
      <c r="N216" t="s">
        <v>60</v>
      </c>
      <c r="O216" t="s">
        <v>59</v>
      </c>
      <c r="P216" t="s">
        <v>42</v>
      </c>
      <c r="Q216" t="s">
        <v>59</v>
      </c>
      <c r="R216" t="s">
        <v>37</v>
      </c>
      <c r="S216" s="3">
        <v>2657</v>
      </c>
      <c r="T216" s="3">
        <v>8556</v>
      </c>
      <c r="U216" s="3" t="str">
        <f t="shared" si="15"/>
        <v>Low</v>
      </c>
      <c r="V216">
        <v>5</v>
      </c>
      <c r="W216" t="s">
        <v>31</v>
      </c>
      <c r="X216" s="2">
        <v>11</v>
      </c>
      <c r="Y216" t="s">
        <v>60</v>
      </c>
      <c r="Z216" t="s">
        <v>60</v>
      </c>
      <c r="AA216">
        <v>0</v>
      </c>
      <c r="AB216">
        <v>8</v>
      </c>
      <c r="AC216">
        <v>5</v>
      </c>
      <c r="AD216">
        <v>3</v>
      </c>
      <c r="AE216">
        <v>5</v>
      </c>
      <c r="AF216">
        <v>2</v>
      </c>
      <c r="AG216">
        <v>0</v>
      </c>
      <c r="AH216">
        <v>4</v>
      </c>
      <c r="AI216" t="str">
        <f t="shared" si="12"/>
        <v>3-5 Years</v>
      </c>
      <c r="AJ216" t="str">
        <f t="shared" si="13"/>
        <v>0-2</v>
      </c>
    </row>
    <row r="217" spans="1:36" x14ac:dyDescent="0.35">
      <c r="A217">
        <v>216</v>
      </c>
      <c r="B217">
        <v>41</v>
      </c>
      <c r="C217" t="str">
        <f t="shared" si="14"/>
        <v>36-45</v>
      </c>
      <c r="D217" t="s">
        <v>38</v>
      </c>
      <c r="E217" t="s">
        <v>32</v>
      </c>
      <c r="F217" s="3">
        <v>1389</v>
      </c>
      <c r="G217" t="s">
        <v>33</v>
      </c>
      <c r="H217" s="1">
        <v>6</v>
      </c>
      <c r="I217" t="s">
        <v>61</v>
      </c>
      <c r="J217" t="s">
        <v>34</v>
      </c>
      <c r="K217" t="s">
        <v>62</v>
      </c>
      <c r="L217" t="s">
        <v>35</v>
      </c>
      <c r="M217" s="3">
        <v>75</v>
      </c>
      <c r="N217" t="s">
        <v>60</v>
      </c>
      <c r="O217" t="s">
        <v>60</v>
      </c>
      <c r="P217" t="s">
        <v>51</v>
      </c>
      <c r="Q217" t="s">
        <v>62</v>
      </c>
      <c r="R217" t="s">
        <v>37</v>
      </c>
      <c r="S217" s="3">
        <v>13591</v>
      </c>
      <c r="T217" s="3">
        <v>14674</v>
      </c>
      <c r="U217" s="3" t="str">
        <f t="shared" si="15"/>
        <v>High</v>
      </c>
      <c r="V217">
        <v>3</v>
      </c>
      <c r="W217" t="s">
        <v>31</v>
      </c>
      <c r="X217" s="2">
        <v>18</v>
      </c>
      <c r="Y217" t="s">
        <v>60</v>
      </c>
      <c r="Z217" t="s">
        <v>60</v>
      </c>
      <c r="AA217">
        <v>0</v>
      </c>
      <c r="AB217">
        <v>16</v>
      </c>
      <c r="AC217">
        <v>3</v>
      </c>
      <c r="AD217">
        <v>3</v>
      </c>
      <c r="AE217">
        <v>1</v>
      </c>
      <c r="AF217">
        <v>0</v>
      </c>
      <c r="AG217">
        <v>0</v>
      </c>
      <c r="AH217">
        <v>0</v>
      </c>
      <c r="AI217" t="str">
        <f t="shared" si="12"/>
        <v>0-2 Years</v>
      </c>
      <c r="AJ217" t="str">
        <f t="shared" si="13"/>
        <v>0-2</v>
      </c>
    </row>
    <row r="218" spans="1:36" x14ac:dyDescent="0.35">
      <c r="A218">
        <v>217</v>
      </c>
      <c r="B218">
        <v>30</v>
      </c>
      <c r="C218" t="str">
        <f t="shared" si="14"/>
        <v>26-35</v>
      </c>
      <c r="D218" t="s">
        <v>31</v>
      </c>
      <c r="E218" t="s">
        <v>39</v>
      </c>
      <c r="F218" s="3">
        <v>1389</v>
      </c>
      <c r="G218" t="s">
        <v>33</v>
      </c>
      <c r="H218" s="1">
        <v>26</v>
      </c>
      <c r="I218" t="s">
        <v>60</v>
      </c>
      <c r="J218" t="s">
        <v>54</v>
      </c>
      <c r="K218" t="s">
        <v>60</v>
      </c>
      <c r="L218" t="s">
        <v>35</v>
      </c>
      <c r="M218" s="3">
        <v>52</v>
      </c>
      <c r="N218" t="s">
        <v>61</v>
      </c>
      <c r="O218" t="s">
        <v>61</v>
      </c>
      <c r="P218" t="s">
        <v>36</v>
      </c>
      <c r="Q218" t="s">
        <v>59</v>
      </c>
      <c r="R218" t="s">
        <v>37</v>
      </c>
      <c r="S218" s="3">
        <v>6696</v>
      </c>
      <c r="T218" s="3">
        <v>22967</v>
      </c>
      <c r="U218" s="3" t="str">
        <f t="shared" si="15"/>
        <v>Medium</v>
      </c>
      <c r="V218">
        <v>5</v>
      </c>
      <c r="W218" t="s">
        <v>38</v>
      </c>
      <c r="X218" s="2">
        <v>15</v>
      </c>
      <c r="Y218" t="s">
        <v>60</v>
      </c>
      <c r="Z218" t="s">
        <v>60</v>
      </c>
      <c r="AA218">
        <v>0</v>
      </c>
      <c r="AB218">
        <v>9</v>
      </c>
      <c r="AC218">
        <v>5</v>
      </c>
      <c r="AD218">
        <v>2</v>
      </c>
      <c r="AE218">
        <v>6</v>
      </c>
      <c r="AF218">
        <v>3</v>
      </c>
      <c r="AG218">
        <v>0</v>
      </c>
      <c r="AH218">
        <v>1</v>
      </c>
      <c r="AI218" t="str">
        <f t="shared" si="12"/>
        <v>6-10 Years</v>
      </c>
      <c r="AJ218" t="str">
        <f t="shared" si="13"/>
        <v>0-2</v>
      </c>
    </row>
    <row r="219" spans="1:36" x14ac:dyDescent="0.35">
      <c r="A219">
        <v>218</v>
      </c>
      <c r="B219">
        <v>29</v>
      </c>
      <c r="C219" t="str">
        <f t="shared" si="14"/>
        <v>26-35</v>
      </c>
      <c r="D219" t="s">
        <v>31</v>
      </c>
      <c r="E219" t="s">
        <v>32</v>
      </c>
      <c r="F219" s="3">
        <v>1389</v>
      </c>
      <c r="G219" t="s">
        <v>40</v>
      </c>
      <c r="H219" s="1">
        <v>1</v>
      </c>
      <c r="I219" t="s">
        <v>61</v>
      </c>
      <c r="J219" t="s">
        <v>55</v>
      </c>
      <c r="K219" t="s">
        <v>60</v>
      </c>
      <c r="L219" t="s">
        <v>41</v>
      </c>
      <c r="M219" s="3">
        <v>85</v>
      </c>
      <c r="N219" t="s">
        <v>60</v>
      </c>
      <c r="O219" t="s">
        <v>59</v>
      </c>
      <c r="P219" t="s">
        <v>42</v>
      </c>
      <c r="Q219" t="s">
        <v>60</v>
      </c>
      <c r="R219" t="s">
        <v>37</v>
      </c>
      <c r="S219" s="3">
        <v>2058</v>
      </c>
      <c r="T219" s="3">
        <v>19757</v>
      </c>
      <c r="U219" s="3" t="str">
        <f t="shared" si="15"/>
        <v>Low</v>
      </c>
      <c r="V219">
        <v>0</v>
      </c>
      <c r="W219" t="s">
        <v>38</v>
      </c>
      <c r="X219" s="2">
        <v>14</v>
      </c>
      <c r="Y219" t="s">
        <v>60</v>
      </c>
      <c r="Z219" t="s">
        <v>62</v>
      </c>
      <c r="AA219">
        <v>0</v>
      </c>
      <c r="AB219">
        <v>7</v>
      </c>
      <c r="AC219">
        <v>1</v>
      </c>
      <c r="AD219">
        <v>2</v>
      </c>
      <c r="AE219">
        <v>6</v>
      </c>
      <c r="AF219">
        <v>2</v>
      </c>
      <c r="AG219">
        <v>1</v>
      </c>
      <c r="AH219">
        <v>5</v>
      </c>
      <c r="AI219" t="str">
        <f t="shared" si="12"/>
        <v>6-10 Years</v>
      </c>
      <c r="AJ219" t="str">
        <f t="shared" si="13"/>
        <v>0-2</v>
      </c>
    </row>
    <row r="220" spans="1:36" x14ac:dyDescent="0.35">
      <c r="A220">
        <v>219</v>
      </c>
      <c r="B220">
        <v>45</v>
      </c>
      <c r="C220" t="str">
        <f t="shared" si="14"/>
        <v>36-45</v>
      </c>
      <c r="D220" t="s">
        <v>38</v>
      </c>
      <c r="E220" t="s">
        <v>50</v>
      </c>
      <c r="F220" s="3">
        <v>1389</v>
      </c>
      <c r="G220" t="s">
        <v>33</v>
      </c>
      <c r="H220" s="1">
        <v>6</v>
      </c>
      <c r="I220" t="s">
        <v>61</v>
      </c>
      <c r="J220" t="s">
        <v>46</v>
      </c>
      <c r="K220" t="s">
        <v>62</v>
      </c>
      <c r="L220" t="s">
        <v>35</v>
      </c>
      <c r="M220" s="3">
        <v>57</v>
      </c>
      <c r="N220" t="s">
        <v>61</v>
      </c>
      <c r="O220" t="s">
        <v>60</v>
      </c>
      <c r="P220" t="s">
        <v>36</v>
      </c>
      <c r="Q220" t="s">
        <v>62</v>
      </c>
      <c r="R220" t="s">
        <v>37</v>
      </c>
      <c r="S220" s="3">
        <v>8865</v>
      </c>
      <c r="T220" s="3">
        <v>16840</v>
      </c>
      <c r="U220" s="3" t="str">
        <f t="shared" si="15"/>
        <v>Medium</v>
      </c>
      <c r="V220">
        <v>6</v>
      </c>
      <c r="W220" t="s">
        <v>38</v>
      </c>
      <c r="X220" s="2">
        <v>12</v>
      </c>
      <c r="Y220" t="s">
        <v>60</v>
      </c>
      <c r="Z220" t="s">
        <v>62</v>
      </c>
      <c r="AA220">
        <v>0</v>
      </c>
      <c r="AB220">
        <v>23</v>
      </c>
      <c r="AC220">
        <v>2</v>
      </c>
      <c r="AD220">
        <v>3</v>
      </c>
      <c r="AE220">
        <v>19</v>
      </c>
      <c r="AF220">
        <v>7</v>
      </c>
      <c r="AG220">
        <v>12</v>
      </c>
      <c r="AH220">
        <v>8</v>
      </c>
      <c r="AI220" t="str">
        <f t="shared" si="12"/>
        <v>10+ Years</v>
      </c>
      <c r="AJ220" t="str">
        <f t="shared" si="13"/>
        <v>6+</v>
      </c>
    </row>
    <row r="221" spans="1:36" x14ac:dyDescent="0.35">
      <c r="A221">
        <v>220</v>
      </c>
      <c r="B221">
        <v>54</v>
      </c>
      <c r="C221" t="str">
        <f t="shared" si="14"/>
        <v>46-55</v>
      </c>
      <c r="D221" t="s">
        <v>38</v>
      </c>
      <c r="E221" t="s">
        <v>32</v>
      </c>
      <c r="F221" s="3">
        <v>1389</v>
      </c>
      <c r="G221" t="s">
        <v>33</v>
      </c>
      <c r="H221" s="1">
        <v>3</v>
      </c>
      <c r="I221" t="s">
        <v>61</v>
      </c>
      <c r="J221" t="s">
        <v>54</v>
      </c>
      <c r="K221" t="s">
        <v>62</v>
      </c>
      <c r="L221" t="s">
        <v>35</v>
      </c>
      <c r="M221" s="3">
        <v>52</v>
      </c>
      <c r="N221" t="s">
        <v>60</v>
      </c>
      <c r="O221" t="s">
        <v>61</v>
      </c>
      <c r="P221" t="s">
        <v>36</v>
      </c>
      <c r="Q221" t="s">
        <v>59</v>
      </c>
      <c r="R221" t="s">
        <v>43</v>
      </c>
      <c r="S221" s="3">
        <v>5940</v>
      </c>
      <c r="T221" s="3">
        <v>17011</v>
      </c>
      <c r="U221" s="3" t="str">
        <f t="shared" si="15"/>
        <v>Medium</v>
      </c>
      <c r="V221">
        <v>2</v>
      </c>
      <c r="W221" t="s">
        <v>38</v>
      </c>
      <c r="X221" s="2">
        <v>14</v>
      </c>
      <c r="Y221" t="s">
        <v>60</v>
      </c>
      <c r="Z221" t="s">
        <v>62</v>
      </c>
      <c r="AA221">
        <v>1</v>
      </c>
      <c r="AB221">
        <v>16</v>
      </c>
      <c r="AC221">
        <v>4</v>
      </c>
      <c r="AD221">
        <v>3</v>
      </c>
      <c r="AE221">
        <v>6</v>
      </c>
      <c r="AF221">
        <v>2</v>
      </c>
      <c r="AG221">
        <v>0</v>
      </c>
      <c r="AH221">
        <v>5</v>
      </c>
      <c r="AI221" t="str">
        <f t="shared" si="12"/>
        <v>6-10 Years</v>
      </c>
      <c r="AJ221" t="str">
        <f t="shared" si="13"/>
        <v>0-2</v>
      </c>
    </row>
    <row r="222" spans="1:36" x14ac:dyDescent="0.35">
      <c r="A222">
        <v>221</v>
      </c>
      <c r="B222">
        <v>36</v>
      </c>
      <c r="C222" t="str">
        <f t="shared" si="14"/>
        <v>36-45</v>
      </c>
      <c r="D222" t="s">
        <v>38</v>
      </c>
      <c r="E222" t="s">
        <v>32</v>
      </c>
      <c r="F222" s="3">
        <v>1389</v>
      </c>
      <c r="G222" t="s">
        <v>40</v>
      </c>
      <c r="H222" s="1">
        <v>5</v>
      </c>
      <c r="I222" t="s">
        <v>58</v>
      </c>
      <c r="J222" t="s">
        <v>34</v>
      </c>
      <c r="K222" t="s">
        <v>62</v>
      </c>
      <c r="L222" t="s">
        <v>41</v>
      </c>
      <c r="M222" s="3">
        <v>62</v>
      </c>
      <c r="N222" t="s">
        <v>60</v>
      </c>
      <c r="O222" t="s">
        <v>61</v>
      </c>
      <c r="P222" t="s">
        <v>45</v>
      </c>
      <c r="Q222" t="s">
        <v>61</v>
      </c>
      <c r="R222" t="s">
        <v>37</v>
      </c>
      <c r="S222" s="3">
        <v>5914</v>
      </c>
      <c r="T222" s="3">
        <v>9945</v>
      </c>
      <c r="U222" s="3" t="str">
        <f t="shared" si="15"/>
        <v>Medium</v>
      </c>
      <c r="V222">
        <v>8</v>
      </c>
      <c r="W222" t="s">
        <v>38</v>
      </c>
      <c r="X222" s="2">
        <v>16</v>
      </c>
      <c r="Y222" t="s">
        <v>60</v>
      </c>
      <c r="Z222" t="s">
        <v>62</v>
      </c>
      <c r="AA222">
        <v>0</v>
      </c>
      <c r="AB222">
        <v>16</v>
      </c>
      <c r="AC222">
        <v>3</v>
      </c>
      <c r="AD222">
        <v>4</v>
      </c>
      <c r="AE222">
        <v>13</v>
      </c>
      <c r="AF222">
        <v>11</v>
      </c>
      <c r="AG222">
        <v>3</v>
      </c>
      <c r="AH222">
        <v>7</v>
      </c>
      <c r="AI222" t="str">
        <f t="shared" si="12"/>
        <v>10+ Years</v>
      </c>
      <c r="AJ222" t="str">
        <f t="shared" si="13"/>
        <v>3-5</v>
      </c>
    </row>
    <row r="223" spans="1:36" x14ac:dyDescent="0.35">
      <c r="A223">
        <v>222</v>
      </c>
      <c r="B223">
        <v>33</v>
      </c>
      <c r="C223" t="str">
        <f t="shared" si="14"/>
        <v>26-35</v>
      </c>
      <c r="D223" t="s">
        <v>38</v>
      </c>
      <c r="E223" t="s">
        <v>32</v>
      </c>
      <c r="F223" s="3">
        <v>1389</v>
      </c>
      <c r="G223" t="s">
        <v>40</v>
      </c>
      <c r="H223" s="1">
        <v>4</v>
      </c>
      <c r="I223" t="s">
        <v>60</v>
      </c>
      <c r="J223" t="s">
        <v>46</v>
      </c>
      <c r="K223" t="s">
        <v>60</v>
      </c>
      <c r="L223" t="s">
        <v>35</v>
      </c>
      <c r="M223" s="3">
        <v>47</v>
      </c>
      <c r="N223" t="s">
        <v>61</v>
      </c>
      <c r="O223" t="s">
        <v>59</v>
      </c>
      <c r="P223" t="s">
        <v>42</v>
      </c>
      <c r="Q223" t="s">
        <v>61</v>
      </c>
      <c r="R223" t="s">
        <v>43</v>
      </c>
      <c r="S223" s="3">
        <v>2622</v>
      </c>
      <c r="T223" s="3">
        <v>13248</v>
      </c>
      <c r="U223" s="3" t="str">
        <f t="shared" si="15"/>
        <v>Low</v>
      </c>
      <c r="V223">
        <v>6</v>
      </c>
      <c r="W223" t="s">
        <v>38</v>
      </c>
      <c r="X223" s="2">
        <v>21</v>
      </c>
      <c r="Y223" t="s">
        <v>62</v>
      </c>
      <c r="Z223" t="s">
        <v>62</v>
      </c>
      <c r="AA223">
        <v>0</v>
      </c>
      <c r="AB223">
        <v>7</v>
      </c>
      <c r="AC223">
        <v>3</v>
      </c>
      <c r="AD223">
        <v>3</v>
      </c>
      <c r="AE223">
        <v>3</v>
      </c>
      <c r="AF223">
        <v>2</v>
      </c>
      <c r="AG223">
        <v>1</v>
      </c>
      <c r="AH223">
        <v>1</v>
      </c>
      <c r="AI223" t="str">
        <f t="shared" si="12"/>
        <v>3-5 Years</v>
      </c>
      <c r="AJ223" t="str">
        <f t="shared" si="13"/>
        <v>0-2</v>
      </c>
    </row>
    <row r="224" spans="1:36" x14ac:dyDescent="0.35">
      <c r="A224">
        <v>223</v>
      </c>
      <c r="B224">
        <v>37</v>
      </c>
      <c r="C224" t="str">
        <f t="shared" si="14"/>
        <v>36-45</v>
      </c>
      <c r="D224" t="s">
        <v>38</v>
      </c>
      <c r="E224" t="s">
        <v>39</v>
      </c>
      <c r="F224" s="3">
        <v>1389</v>
      </c>
      <c r="G224" t="s">
        <v>40</v>
      </c>
      <c r="H224" s="1">
        <v>11</v>
      </c>
      <c r="I224" t="s">
        <v>61</v>
      </c>
      <c r="J224" t="s">
        <v>44</v>
      </c>
      <c r="K224" t="s">
        <v>61</v>
      </c>
      <c r="L224" t="s">
        <v>41</v>
      </c>
      <c r="M224" s="3">
        <v>47</v>
      </c>
      <c r="N224" t="s">
        <v>60</v>
      </c>
      <c r="O224" t="s">
        <v>60</v>
      </c>
      <c r="P224" t="s">
        <v>53</v>
      </c>
      <c r="Q224" t="s">
        <v>62</v>
      </c>
      <c r="R224" t="s">
        <v>47</v>
      </c>
      <c r="S224" s="3">
        <v>12185</v>
      </c>
      <c r="T224" s="3">
        <v>10056</v>
      </c>
      <c r="U224" s="3" t="str">
        <f t="shared" si="15"/>
        <v>High</v>
      </c>
      <c r="V224">
        <v>1</v>
      </c>
      <c r="W224" t="s">
        <v>31</v>
      </c>
      <c r="X224" s="2">
        <v>14</v>
      </c>
      <c r="Y224" t="s">
        <v>60</v>
      </c>
      <c r="Z224" t="s">
        <v>60</v>
      </c>
      <c r="AA224">
        <v>3</v>
      </c>
      <c r="AB224">
        <v>10</v>
      </c>
      <c r="AC224">
        <v>1</v>
      </c>
      <c r="AD224">
        <v>3</v>
      </c>
      <c r="AE224">
        <v>10</v>
      </c>
      <c r="AF224">
        <v>8</v>
      </c>
      <c r="AG224">
        <v>0</v>
      </c>
      <c r="AH224">
        <v>7</v>
      </c>
      <c r="AI224" t="str">
        <f t="shared" si="12"/>
        <v>6-10 Years</v>
      </c>
      <c r="AJ224" t="str">
        <f t="shared" si="13"/>
        <v>0-2</v>
      </c>
    </row>
    <row r="225" spans="1:36" x14ac:dyDescent="0.35">
      <c r="A225">
        <v>224</v>
      </c>
      <c r="B225">
        <v>38</v>
      </c>
      <c r="C225" t="str">
        <f t="shared" si="14"/>
        <v>36-45</v>
      </c>
      <c r="D225" t="s">
        <v>38</v>
      </c>
      <c r="E225" t="s">
        <v>32</v>
      </c>
      <c r="F225" s="3">
        <v>1389</v>
      </c>
      <c r="G225" t="s">
        <v>33</v>
      </c>
      <c r="H225" s="1">
        <v>3</v>
      </c>
      <c r="I225" t="s">
        <v>61</v>
      </c>
      <c r="J225" t="s">
        <v>34</v>
      </c>
      <c r="K225" t="s">
        <v>59</v>
      </c>
      <c r="L225" t="s">
        <v>41</v>
      </c>
      <c r="M225" s="3">
        <v>76</v>
      </c>
      <c r="N225" t="s">
        <v>60</v>
      </c>
      <c r="O225" t="s">
        <v>60</v>
      </c>
      <c r="P225" t="s">
        <v>36</v>
      </c>
      <c r="Q225" t="s">
        <v>60</v>
      </c>
      <c r="R225" t="s">
        <v>47</v>
      </c>
      <c r="S225" s="3">
        <v>10609</v>
      </c>
      <c r="T225" s="3">
        <v>9647</v>
      </c>
      <c r="U225" s="3" t="str">
        <f t="shared" si="15"/>
        <v>High</v>
      </c>
      <c r="V225">
        <v>0</v>
      </c>
      <c r="W225" t="s">
        <v>38</v>
      </c>
      <c r="X225" s="2">
        <v>12</v>
      </c>
      <c r="Y225" t="s">
        <v>60</v>
      </c>
      <c r="Z225" t="s">
        <v>60</v>
      </c>
      <c r="AA225">
        <v>2</v>
      </c>
      <c r="AB225">
        <v>17</v>
      </c>
      <c r="AC225">
        <v>6</v>
      </c>
      <c r="AD225">
        <v>2</v>
      </c>
      <c r="AE225">
        <v>16</v>
      </c>
      <c r="AF225">
        <v>10</v>
      </c>
      <c r="AG225">
        <v>5</v>
      </c>
      <c r="AH225">
        <v>13</v>
      </c>
      <c r="AI225" t="str">
        <f t="shared" si="12"/>
        <v>10+ Years</v>
      </c>
      <c r="AJ225" t="str">
        <f t="shared" si="13"/>
        <v>3-5</v>
      </c>
    </row>
    <row r="226" spans="1:36" x14ac:dyDescent="0.35">
      <c r="A226">
        <v>225</v>
      </c>
      <c r="B226">
        <v>31</v>
      </c>
      <c r="C226" t="str">
        <f t="shared" si="14"/>
        <v>26-35</v>
      </c>
      <c r="D226" t="s">
        <v>38</v>
      </c>
      <c r="E226" t="s">
        <v>50</v>
      </c>
      <c r="F226" s="3">
        <v>1389</v>
      </c>
      <c r="G226" t="s">
        <v>40</v>
      </c>
      <c r="H226" s="1">
        <v>1</v>
      </c>
      <c r="I226" t="s">
        <v>60</v>
      </c>
      <c r="J226" t="s">
        <v>46</v>
      </c>
      <c r="K226" t="s">
        <v>60</v>
      </c>
      <c r="L226" t="s">
        <v>41</v>
      </c>
      <c r="M226" s="3">
        <v>90</v>
      </c>
      <c r="N226" t="s">
        <v>59</v>
      </c>
      <c r="O226" t="s">
        <v>61</v>
      </c>
      <c r="P226" t="s">
        <v>48</v>
      </c>
      <c r="Q226" t="s">
        <v>60</v>
      </c>
      <c r="R226" t="s">
        <v>43</v>
      </c>
      <c r="S226" s="3">
        <v>4345</v>
      </c>
      <c r="T226" s="3">
        <v>4381</v>
      </c>
      <c r="U226" s="3" t="str">
        <f t="shared" si="15"/>
        <v>Low</v>
      </c>
      <c r="V226">
        <v>0</v>
      </c>
      <c r="W226" t="s">
        <v>38</v>
      </c>
      <c r="X226" s="2">
        <v>12</v>
      </c>
      <c r="Y226" t="s">
        <v>60</v>
      </c>
      <c r="Z226" t="s">
        <v>62</v>
      </c>
      <c r="AA226">
        <v>1</v>
      </c>
      <c r="AB226">
        <v>6</v>
      </c>
      <c r="AC226">
        <v>2</v>
      </c>
      <c r="AD226">
        <v>3</v>
      </c>
      <c r="AE226">
        <v>5</v>
      </c>
      <c r="AF226">
        <v>4</v>
      </c>
      <c r="AG226">
        <v>1</v>
      </c>
      <c r="AH226">
        <v>4</v>
      </c>
      <c r="AI226" t="str">
        <f t="shared" si="12"/>
        <v>3-5 Years</v>
      </c>
      <c r="AJ226" t="str">
        <f t="shared" si="13"/>
        <v>0-2</v>
      </c>
    </row>
    <row r="227" spans="1:36" x14ac:dyDescent="0.35">
      <c r="A227">
        <v>226</v>
      </c>
      <c r="B227">
        <v>59</v>
      </c>
      <c r="C227" t="str">
        <f t="shared" si="14"/>
        <v>55+</v>
      </c>
      <c r="D227" t="s">
        <v>38</v>
      </c>
      <c r="E227" t="s">
        <v>32</v>
      </c>
      <c r="F227" s="3">
        <v>1389</v>
      </c>
      <c r="G227" t="s">
        <v>40</v>
      </c>
      <c r="H227" s="1">
        <v>3</v>
      </c>
      <c r="I227" t="s">
        <v>61</v>
      </c>
      <c r="J227" t="s">
        <v>34</v>
      </c>
      <c r="K227" t="s">
        <v>60</v>
      </c>
      <c r="L227" t="s">
        <v>41</v>
      </c>
      <c r="M227" s="3">
        <v>70</v>
      </c>
      <c r="N227" t="s">
        <v>61</v>
      </c>
      <c r="O227" t="s">
        <v>59</v>
      </c>
      <c r="P227" t="s">
        <v>42</v>
      </c>
      <c r="Q227" t="s">
        <v>62</v>
      </c>
      <c r="R227" t="s">
        <v>43</v>
      </c>
      <c r="S227" s="3">
        <v>2177</v>
      </c>
      <c r="T227" s="3">
        <v>8456</v>
      </c>
      <c r="U227" s="3" t="str">
        <f t="shared" si="15"/>
        <v>Low</v>
      </c>
      <c r="V227">
        <v>3</v>
      </c>
      <c r="W227" t="s">
        <v>38</v>
      </c>
      <c r="X227" s="2">
        <v>17</v>
      </c>
      <c r="Y227" t="s">
        <v>60</v>
      </c>
      <c r="Z227" t="s">
        <v>59</v>
      </c>
      <c r="AA227">
        <v>1</v>
      </c>
      <c r="AB227">
        <v>7</v>
      </c>
      <c r="AC227">
        <v>6</v>
      </c>
      <c r="AD227">
        <v>3</v>
      </c>
      <c r="AE227">
        <v>1</v>
      </c>
      <c r="AF227">
        <v>0</v>
      </c>
      <c r="AG227">
        <v>0</v>
      </c>
      <c r="AH227">
        <v>0</v>
      </c>
      <c r="AI227" t="str">
        <f t="shared" si="12"/>
        <v>0-2 Years</v>
      </c>
      <c r="AJ227" t="str">
        <f t="shared" si="13"/>
        <v>0-2</v>
      </c>
    </row>
    <row r="228" spans="1:36" x14ac:dyDescent="0.35">
      <c r="A228">
        <v>227</v>
      </c>
      <c r="B228">
        <v>37</v>
      </c>
      <c r="C228" t="str">
        <f t="shared" si="14"/>
        <v>36-45</v>
      </c>
      <c r="D228" t="s">
        <v>38</v>
      </c>
      <c r="E228" t="s">
        <v>39</v>
      </c>
      <c r="F228" s="3">
        <v>1389</v>
      </c>
      <c r="G228" t="s">
        <v>33</v>
      </c>
      <c r="H228" s="1">
        <v>4</v>
      </c>
      <c r="I228" t="s">
        <v>60</v>
      </c>
      <c r="J228" t="s">
        <v>54</v>
      </c>
      <c r="K228" t="s">
        <v>59</v>
      </c>
      <c r="L228" t="s">
        <v>41</v>
      </c>
      <c r="M228" s="3">
        <v>41</v>
      </c>
      <c r="N228" t="s">
        <v>60</v>
      </c>
      <c r="O228" t="s">
        <v>59</v>
      </c>
      <c r="P228" t="s">
        <v>52</v>
      </c>
      <c r="Q228" t="s">
        <v>62</v>
      </c>
      <c r="R228" t="s">
        <v>47</v>
      </c>
      <c r="S228" s="3">
        <v>2793</v>
      </c>
      <c r="T228" s="3">
        <v>2539</v>
      </c>
      <c r="U228" s="3" t="str">
        <f t="shared" si="15"/>
        <v>Low</v>
      </c>
      <c r="V228">
        <v>4</v>
      </c>
      <c r="W228" t="s">
        <v>38</v>
      </c>
      <c r="X228" s="2">
        <v>17</v>
      </c>
      <c r="Y228" t="s">
        <v>60</v>
      </c>
      <c r="Z228" t="s">
        <v>60</v>
      </c>
      <c r="AA228">
        <v>1</v>
      </c>
      <c r="AB228">
        <v>13</v>
      </c>
      <c r="AC228">
        <v>2</v>
      </c>
      <c r="AD228">
        <v>3</v>
      </c>
      <c r="AE228">
        <v>9</v>
      </c>
      <c r="AF228">
        <v>8</v>
      </c>
      <c r="AG228">
        <v>5</v>
      </c>
      <c r="AH228">
        <v>8</v>
      </c>
      <c r="AI228" t="str">
        <f t="shared" si="12"/>
        <v>6-10 Years</v>
      </c>
      <c r="AJ228" t="str">
        <f t="shared" si="13"/>
        <v>3-5</v>
      </c>
    </row>
    <row r="229" spans="1:36" x14ac:dyDescent="0.35">
      <c r="A229">
        <v>228</v>
      </c>
      <c r="B229">
        <v>29</v>
      </c>
      <c r="C229" t="str">
        <f t="shared" si="14"/>
        <v>26-35</v>
      </c>
      <c r="D229" t="s">
        <v>38</v>
      </c>
      <c r="E229" t="s">
        <v>39</v>
      </c>
      <c r="F229" s="3">
        <v>1389</v>
      </c>
      <c r="G229" t="s">
        <v>33</v>
      </c>
      <c r="H229" s="1">
        <v>1</v>
      </c>
      <c r="I229" t="s">
        <v>59</v>
      </c>
      <c r="J229" t="s">
        <v>46</v>
      </c>
      <c r="K229" t="s">
        <v>61</v>
      </c>
      <c r="L229" t="s">
        <v>35</v>
      </c>
      <c r="M229" s="3">
        <v>42</v>
      </c>
      <c r="N229" t="s">
        <v>60</v>
      </c>
      <c r="O229" t="s">
        <v>60</v>
      </c>
      <c r="P229" t="s">
        <v>36</v>
      </c>
      <c r="Q229" t="s">
        <v>62</v>
      </c>
      <c r="R229" t="s">
        <v>43</v>
      </c>
      <c r="S229" s="3">
        <v>7918</v>
      </c>
      <c r="T229" s="3">
        <v>6599</v>
      </c>
      <c r="U229" s="3" t="str">
        <f t="shared" si="15"/>
        <v>Medium</v>
      </c>
      <c r="V229">
        <v>1</v>
      </c>
      <c r="W229" t="s">
        <v>38</v>
      </c>
      <c r="X229" s="2">
        <v>14</v>
      </c>
      <c r="Y229" t="s">
        <v>60</v>
      </c>
      <c r="Z229" t="s">
        <v>62</v>
      </c>
      <c r="AA229">
        <v>1</v>
      </c>
      <c r="AB229">
        <v>11</v>
      </c>
      <c r="AC229">
        <v>5</v>
      </c>
      <c r="AD229">
        <v>3</v>
      </c>
      <c r="AE229">
        <v>11</v>
      </c>
      <c r="AF229">
        <v>10</v>
      </c>
      <c r="AG229">
        <v>4</v>
      </c>
      <c r="AH229">
        <v>1</v>
      </c>
      <c r="AI229" t="str">
        <f t="shared" si="12"/>
        <v>10+ Years</v>
      </c>
      <c r="AJ229" t="str">
        <f t="shared" si="13"/>
        <v>3-5</v>
      </c>
    </row>
    <row r="230" spans="1:36" x14ac:dyDescent="0.35">
      <c r="A230">
        <v>229</v>
      </c>
      <c r="B230">
        <v>35</v>
      </c>
      <c r="C230" t="str">
        <f t="shared" si="14"/>
        <v>26-35</v>
      </c>
      <c r="D230" t="s">
        <v>38</v>
      </c>
      <c r="E230" t="s">
        <v>39</v>
      </c>
      <c r="F230" s="3">
        <v>1389</v>
      </c>
      <c r="G230" t="s">
        <v>33</v>
      </c>
      <c r="H230" s="1">
        <v>1</v>
      </c>
      <c r="I230" t="s">
        <v>61</v>
      </c>
      <c r="J230" t="s">
        <v>54</v>
      </c>
      <c r="K230" t="s">
        <v>60</v>
      </c>
      <c r="L230" t="s">
        <v>35</v>
      </c>
      <c r="M230" s="3">
        <v>92</v>
      </c>
      <c r="N230" t="s">
        <v>60</v>
      </c>
      <c r="O230" t="s">
        <v>60</v>
      </c>
      <c r="P230" t="s">
        <v>36</v>
      </c>
      <c r="Q230" t="s">
        <v>60</v>
      </c>
      <c r="R230" t="s">
        <v>37</v>
      </c>
      <c r="S230" s="3">
        <v>8789</v>
      </c>
      <c r="T230" s="3">
        <v>9096</v>
      </c>
      <c r="U230" s="3" t="str">
        <f t="shared" si="15"/>
        <v>Medium</v>
      </c>
      <c r="V230">
        <v>1</v>
      </c>
      <c r="W230" t="s">
        <v>38</v>
      </c>
      <c r="X230" s="2">
        <v>14</v>
      </c>
      <c r="Y230" t="s">
        <v>60</v>
      </c>
      <c r="Z230" t="s">
        <v>59</v>
      </c>
      <c r="AA230">
        <v>0</v>
      </c>
      <c r="AB230">
        <v>10</v>
      </c>
      <c r="AC230">
        <v>3</v>
      </c>
      <c r="AD230">
        <v>4</v>
      </c>
      <c r="AE230">
        <v>10</v>
      </c>
      <c r="AF230">
        <v>7</v>
      </c>
      <c r="AG230">
        <v>0</v>
      </c>
      <c r="AH230">
        <v>8</v>
      </c>
      <c r="AI230" t="str">
        <f t="shared" si="12"/>
        <v>6-10 Years</v>
      </c>
      <c r="AJ230" t="str">
        <f t="shared" si="13"/>
        <v>0-2</v>
      </c>
    </row>
    <row r="231" spans="1:36" x14ac:dyDescent="0.35">
      <c r="A231">
        <v>230</v>
      </c>
      <c r="B231">
        <v>29</v>
      </c>
      <c r="C231" t="str">
        <f t="shared" si="14"/>
        <v>26-35</v>
      </c>
      <c r="D231" t="s">
        <v>31</v>
      </c>
      <c r="E231" t="s">
        <v>32</v>
      </c>
      <c r="F231" s="3">
        <v>1389</v>
      </c>
      <c r="G231" t="s">
        <v>40</v>
      </c>
      <c r="H231" s="1">
        <v>18</v>
      </c>
      <c r="I231" t="s">
        <v>59</v>
      </c>
      <c r="J231" t="s">
        <v>46</v>
      </c>
      <c r="K231" t="s">
        <v>60</v>
      </c>
      <c r="L231" t="s">
        <v>41</v>
      </c>
      <c r="M231" s="3">
        <v>86</v>
      </c>
      <c r="N231" t="s">
        <v>61</v>
      </c>
      <c r="O231" t="s">
        <v>59</v>
      </c>
      <c r="P231" t="s">
        <v>42</v>
      </c>
      <c r="Q231" t="s">
        <v>62</v>
      </c>
      <c r="R231" t="s">
        <v>37</v>
      </c>
      <c r="S231" s="3">
        <v>2389</v>
      </c>
      <c r="T231" s="3">
        <v>14961</v>
      </c>
      <c r="U231" s="3" t="str">
        <f t="shared" si="15"/>
        <v>Low</v>
      </c>
      <c r="V231">
        <v>1</v>
      </c>
      <c r="W231" t="s">
        <v>31</v>
      </c>
      <c r="X231" s="2">
        <v>13</v>
      </c>
      <c r="Y231" t="s">
        <v>60</v>
      </c>
      <c r="Z231" t="s">
        <v>60</v>
      </c>
      <c r="AA231">
        <v>0</v>
      </c>
      <c r="AB231">
        <v>4</v>
      </c>
      <c r="AC231">
        <v>3</v>
      </c>
      <c r="AD231">
        <v>2</v>
      </c>
      <c r="AE231">
        <v>4</v>
      </c>
      <c r="AF231">
        <v>3</v>
      </c>
      <c r="AG231">
        <v>0</v>
      </c>
      <c r="AH231">
        <v>1</v>
      </c>
      <c r="AI231" t="str">
        <f t="shared" si="12"/>
        <v>3-5 Years</v>
      </c>
      <c r="AJ231" t="str">
        <f t="shared" si="13"/>
        <v>0-2</v>
      </c>
    </row>
    <row r="232" spans="1:36" x14ac:dyDescent="0.35">
      <c r="A232">
        <v>231</v>
      </c>
      <c r="B232">
        <v>52</v>
      </c>
      <c r="C232" t="str">
        <f t="shared" si="14"/>
        <v>46-55</v>
      </c>
      <c r="D232" t="s">
        <v>38</v>
      </c>
      <c r="E232" t="s">
        <v>32</v>
      </c>
      <c r="F232" s="3">
        <v>1389</v>
      </c>
      <c r="G232" t="s">
        <v>40</v>
      </c>
      <c r="H232" s="1">
        <v>2</v>
      </c>
      <c r="I232" t="s">
        <v>61</v>
      </c>
      <c r="J232" t="s">
        <v>34</v>
      </c>
      <c r="K232" t="s">
        <v>60</v>
      </c>
      <c r="L232" t="s">
        <v>35</v>
      </c>
      <c r="M232" s="3">
        <v>89</v>
      </c>
      <c r="N232" t="s">
        <v>61</v>
      </c>
      <c r="O232" t="s">
        <v>59</v>
      </c>
      <c r="P232" t="s">
        <v>45</v>
      </c>
      <c r="Q232" t="s">
        <v>62</v>
      </c>
      <c r="R232" t="s">
        <v>37</v>
      </c>
      <c r="S232" s="3">
        <v>3212</v>
      </c>
      <c r="T232" s="3">
        <v>3300</v>
      </c>
      <c r="U232" s="3" t="str">
        <f t="shared" si="15"/>
        <v>Low</v>
      </c>
      <c r="V232">
        <v>7</v>
      </c>
      <c r="W232" t="s">
        <v>38</v>
      </c>
      <c r="X232" s="2">
        <v>15</v>
      </c>
      <c r="Y232" t="s">
        <v>60</v>
      </c>
      <c r="Z232" t="s">
        <v>61</v>
      </c>
      <c r="AA232">
        <v>0</v>
      </c>
      <c r="AB232">
        <v>6</v>
      </c>
      <c r="AC232">
        <v>3</v>
      </c>
      <c r="AD232">
        <v>2</v>
      </c>
      <c r="AE232">
        <v>2</v>
      </c>
      <c r="AF232">
        <v>2</v>
      </c>
      <c r="AG232">
        <v>2</v>
      </c>
      <c r="AH232">
        <v>2</v>
      </c>
      <c r="AI232" t="str">
        <f t="shared" si="12"/>
        <v>0-2 Years</v>
      </c>
      <c r="AJ232" t="str">
        <f t="shared" si="13"/>
        <v>0-2</v>
      </c>
    </row>
    <row r="233" spans="1:36" x14ac:dyDescent="0.35">
      <c r="A233">
        <v>232</v>
      </c>
      <c r="B233">
        <v>42</v>
      </c>
      <c r="C233" t="str">
        <f t="shared" si="14"/>
        <v>36-45</v>
      </c>
      <c r="D233" t="s">
        <v>38</v>
      </c>
      <c r="E233" t="s">
        <v>32</v>
      </c>
      <c r="F233" s="3">
        <v>1389</v>
      </c>
      <c r="G233" t="s">
        <v>40</v>
      </c>
      <c r="H233" s="1">
        <v>4</v>
      </c>
      <c r="I233" t="s">
        <v>58</v>
      </c>
      <c r="J233" t="s">
        <v>55</v>
      </c>
      <c r="K233" t="s">
        <v>60</v>
      </c>
      <c r="L233" t="s">
        <v>41</v>
      </c>
      <c r="M233" s="3">
        <v>58</v>
      </c>
      <c r="N233" t="s">
        <v>60</v>
      </c>
      <c r="O233" t="e">
        <v>#N/A</v>
      </c>
      <c r="P233" t="s">
        <v>51</v>
      </c>
      <c r="Q233" t="s">
        <v>62</v>
      </c>
      <c r="R233" t="s">
        <v>43</v>
      </c>
      <c r="S233" s="3">
        <v>19232</v>
      </c>
      <c r="T233" s="3">
        <v>4933</v>
      </c>
      <c r="U233" s="3" t="str">
        <f t="shared" si="15"/>
        <v>High</v>
      </c>
      <c r="V233">
        <v>1</v>
      </c>
      <c r="W233" t="s">
        <v>38</v>
      </c>
      <c r="X233" s="2">
        <v>11</v>
      </c>
      <c r="Y233" t="s">
        <v>60</v>
      </c>
      <c r="Z233" t="s">
        <v>62</v>
      </c>
      <c r="AA233">
        <v>0</v>
      </c>
      <c r="AB233">
        <v>22</v>
      </c>
      <c r="AC233">
        <v>3</v>
      </c>
      <c r="AD233">
        <v>3</v>
      </c>
      <c r="AE233">
        <v>22</v>
      </c>
      <c r="AF233">
        <v>17</v>
      </c>
      <c r="AG233">
        <v>11</v>
      </c>
      <c r="AH233">
        <v>15</v>
      </c>
      <c r="AI233" t="str">
        <f t="shared" si="12"/>
        <v>10+ Years</v>
      </c>
      <c r="AJ233" t="str">
        <f t="shared" si="13"/>
        <v>6+</v>
      </c>
    </row>
    <row r="234" spans="1:36" x14ac:dyDescent="0.35">
      <c r="A234">
        <v>233</v>
      </c>
      <c r="B234">
        <v>59</v>
      </c>
      <c r="C234" t="str">
        <f t="shared" si="14"/>
        <v>55+</v>
      </c>
      <c r="D234" t="s">
        <v>38</v>
      </c>
      <c r="E234" t="s">
        <v>32</v>
      </c>
      <c r="F234" s="3">
        <v>1389</v>
      </c>
      <c r="G234" t="s">
        <v>56</v>
      </c>
      <c r="H234" s="1">
        <v>6</v>
      </c>
      <c r="I234" t="s">
        <v>58</v>
      </c>
      <c r="J234" t="s">
        <v>46</v>
      </c>
      <c r="K234" t="s">
        <v>61</v>
      </c>
      <c r="L234" t="s">
        <v>41</v>
      </c>
      <c r="M234" s="3">
        <v>52</v>
      </c>
      <c r="N234" t="s">
        <v>60</v>
      </c>
      <c r="O234" t="s">
        <v>59</v>
      </c>
      <c r="P234" t="s">
        <v>56</v>
      </c>
      <c r="Q234" t="s">
        <v>60</v>
      </c>
      <c r="R234" t="s">
        <v>43</v>
      </c>
      <c r="S234" s="3">
        <v>2267</v>
      </c>
      <c r="T234" s="3">
        <v>25657</v>
      </c>
      <c r="U234" s="3" t="str">
        <f t="shared" si="15"/>
        <v>Low</v>
      </c>
      <c r="V234">
        <v>8</v>
      </c>
      <c r="W234" t="s">
        <v>38</v>
      </c>
      <c r="X234" s="2">
        <v>17</v>
      </c>
      <c r="Y234" t="s">
        <v>60</v>
      </c>
      <c r="Z234" t="s">
        <v>62</v>
      </c>
      <c r="AA234">
        <v>0</v>
      </c>
      <c r="AB234">
        <v>7</v>
      </c>
      <c r="AC234">
        <v>2</v>
      </c>
      <c r="AD234">
        <v>2</v>
      </c>
      <c r="AE234">
        <v>2</v>
      </c>
      <c r="AF234">
        <v>2</v>
      </c>
      <c r="AG234">
        <v>2</v>
      </c>
      <c r="AH234">
        <v>2</v>
      </c>
      <c r="AI234" t="str">
        <f t="shared" si="12"/>
        <v>0-2 Years</v>
      </c>
      <c r="AJ234" t="str">
        <f t="shared" si="13"/>
        <v>0-2</v>
      </c>
    </row>
    <row r="235" spans="1:36" x14ac:dyDescent="0.35">
      <c r="A235">
        <v>234</v>
      </c>
      <c r="B235">
        <v>50</v>
      </c>
      <c r="C235" t="str">
        <f t="shared" si="14"/>
        <v>46-55</v>
      </c>
      <c r="D235" t="s">
        <v>38</v>
      </c>
      <c r="E235" t="s">
        <v>32</v>
      </c>
      <c r="F235" s="3">
        <v>1389</v>
      </c>
      <c r="G235" t="s">
        <v>33</v>
      </c>
      <c r="H235" s="1">
        <v>1</v>
      </c>
      <c r="I235" t="s">
        <v>60</v>
      </c>
      <c r="J235" t="s">
        <v>46</v>
      </c>
      <c r="K235" t="s">
        <v>62</v>
      </c>
      <c r="L235" t="s">
        <v>35</v>
      </c>
      <c r="M235" s="3">
        <v>68</v>
      </c>
      <c r="N235" t="s">
        <v>60</v>
      </c>
      <c r="O235" t="e">
        <v>#N/A</v>
      </c>
      <c r="P235" t="s">
        <v>51</v>
      </c>
      <c r="Q235" t="s">
        <v>62</v>
      </c>
      <c r="R235" t="s">
        <v>47</v>
      </c>
      <c r="S235" s="3">
        <v>19517</v>
      </c>
      <c r="T235" s="3">
        <v>24118</v>
      </c>
      <c r="U235" s="3" t="str">
        <f t="shared" si="15"/>
        <v>High</v>
      </c>
      <c r="V235">
        <v>3</v>
      </c>
      <c r="W235" t="s">
        <v>38</v>
      </c>
      <c r="X235" s="2">
        <v>11</v>
      </c>
      <c r="Y235" t="s">
        <v>60</v>
      </c>
      <c r="Z235" t="s">
        <v>60</v>
      </c>
      <c r="AA235">
        <v>1</v>
      </c>
      <c r="AB235">
        <v>32</v>
      </c>
      <c r="AC235">
        <v>3</v>
      </c>
      <c r="AD235">
        <v>2</v>
      </c>
      <c r="AE235">
        <v>7</v>
      </c>
      <c r="AF235">
        <v>0</v>
      </c>
      <c r="AG235">
        <v>0</v>
      </c>
      <c r="AH235">
        <v>6</v>
      </c>
      <c r="AI235" t="str">
        <f t="shared" si="12"/>
        <v>6-10 Years</v>
      </c>
      <c r="AJ235" t="str">
        <f t="shared" si="13"/>
        <v>0-2</v>
      </c>
    </row>
    <row r="236" spans="1:36" x14ac:dyDescent="0.35">
      <c r="A236">
        <v>235</v>
      </c>
      <c r="B236">
        <v>33</v>
      </c>
      <c r="C236" t="str">
        <f t="shared" si="14"/>
        <v>26-35</v>
      </c>
      <c r="D236" t="s">
        <v>31</v>
      </c>
      <c r="E236" t="s">
        <v>32</v>
      </c>
      <c r="F236" s="3">
        <v>1389</v>
      </c>
      <c r="G236" t="s">
        <v>40</v>
      </c>
      <c r="H236" s="1">
        <v>14</v>
      </c>
      <c r="I236" t="s">
        <v>61</v>
      </c>
      <c r="J236" t="s">
        <v>46</v>
      </c>
      <c r="K236" t="s">
        <v>60</v>
      </c>
      <c r="L236" t="s">
        <v>41</v>
      </c>
      <c r="M236" s="3">
        <v>58</v>
      </c>
      <c r="N236" t="s">
        <v>60</v>
      </c>
      <c r="O236" t="s">
        <v>59</v>
      </c>
      <c r="P236" t="s">
        <v>45</v>
      </c>
      <c r="Q236" t="s">
        <v>62</v>
      </c>
      <c r="R236" t="s">
        <v>43</v>
      </c>
      <c r="S236" s="3">
        <v>2436</v>
      </c>
      <c r="T236" s="3">
        <v>22149</v>
      </c>
      <c r="U236" s="3" t="str">
        <f t="shared" si="15"/>
        <v>Low</v>
      </c>
      <c r="V236">
        <v>5</v>
      </c>
      <c r="W236" t="s">
        <v>31</v>
      </c>
      <c r="X236" s="2">
        <v>13</v>
      </c>
      <c r="Y236" t="s">
        <v>60</v>
      </c>
      <c r="Z236" t="s">
        <v>60</v>
      </c>
      <c r="AA236">
        <v>1</v>
      </c>
      <c r="AB236">
        <v>8</v>
      </c>
      <c r="AC236">
        <v>2</v>
      </c>
      <c r="AD236">
        <v>1</v>
      </c>
      <c r="AE236">
        <v>5</v>
      </c>
      <c r="AF236">
        <v>4</v>
      </c>
      <c r="AG236">
        <v>0</v>
      </c>
      <c r="AH236">
        <v>4</v>
      </c>
      <c r="AI236" t="str">
        <f t="shared" si="12"/>
        <v>3-5 Years</v>
      </c>
      <c r="AJ236" t="str">
        <f t="shared" si="13"/>
        <v>0-2</v>
      </c>
    </row>
    <row r="237" spans="1:36" x14ac:dyDescent="0.35">
      <c r="A237">
        <v>236</v>
      </c>
      <c r="B237">
        <v>43</v>
      </c>
      <c r="C237" t="str">
        <f t="shared" si="14"/>
        <v>36-45</v>
      </c>
      <c r="D237" t="s">
        <v>38</v>
      </c>
      <c r="E237" t="s">
        <v>32</v>
      </c>
      <c r="F237" s="3">
        <v>1389</v>
      </c>
      <c r="G237" t="s">
        <v>33</v>
      </c>
      <c r="H237" s="1">
        <v>16</v>
      </c>
      <c r="I237" t="s">
        <v>61</v>
      </c>
      <c r="J237" t="s">
        <v>54</v>
      </c>
      <c r="K237" t="s">
        <v>62</v>
      </c>
      <c r="L237" t="s">
        <v>35</v>
      </c>
      <c r="M237" s="3">
        <v>80</v>
      </c>
      <c r="N237" t="s">
        <v>60</v>
      </c>
      <c r="O237" t="s">
        <v>62</v>
      </c>
      <c r="P237" t="s">
        <v>51</v>
      </c>
      <c r="Q237" t="s">
        <v>62</v>
      </c>
      <c r="R237" t="s">
        <v>43</v>
      </c>
      <c r="S237" s="3">
        <v>16064</v>
      </c>
      <c r="T237" s="3">
        <v>7744</v>
      </c>
      <c r="U237" s="3" t="str">
        <f t="shared" si="15"/>
        <v>High</v>
      </c>
      <c r="V237">
        <v>5</v>
      </c>
      <c r="W237" t="s">
        <v>31</v>
      </c>
      <c r="X237" s="2">
        <v>22</v>
      </c>
      <c r="Y237" t="s">
        <v>62</v>
      </c>
      <c r="Z237" t="s">
        <v>60</v>
      </c>
      <c r="AA237">
        <v>1</v>
      </c>
      <c r="AB237">
        <v>22</v>
      </c>
      <c r="AC237">
        <v>3</v>
      </c>
      <c r="AD237">
        <v>3</v>
      </c>
      <c r="AE237">
        <v>17</v>
      </c>
      <c r="AF237">
        <v>13</v>
      </c>
      <c r="AG237">
        <v>1</v>
      </c>
      <c r="AH237">
        <v>9</v>
      </c>
      <c r="AI237" t="str">
        <f t="shared" si="12"/>
        <v>10+ Years</v>
      </c>
      <c r="AJ237" t="str">
        <f t="shared" si="13"/>
        <v>0-2</v>
      </c>
    </row>
    <row r="238" spans="1:36" x14ac:dyDescent="0.35">
      <c r="A238">
        <v>237</v>
      </c>
      <c r="B238">
        <v>33</v>
      </c>
      <c r="C238" t="str">
        <f t="shared" si="14"/>
        <v>26-35</v>
      </c>
      <c r="D238" t="s">
        <v>31</v>
      </c>
      <c r="E238" t="s">
        <v>32</v>
      </c>
      <c r="F238" s="3">
        <v>1389</v>
      </c>
      <c r="G238" t="s">
        <v>40</v>
      </c>
      <c r="H238" s="1">
        <v>2</v>
      </c>
      <c r="I238" t="s">
        <v>58</v>
      </c>
      <c r="J238" t="s">
        <v>34</v>
      </c>
      <c r="K238" t="s">
        <v>59</v>
      </c>
      <c r="L238" t="s">
        <v>35</v>
      </c>
      <c r="M238" s="3">
        <v>39</v>
      </c>
      <c r="N238" t="s">
        <v>60</v>
      </c>
      <c r="O238" t="s">
        <v>59</v>
      </c>
      <c r="P238" t="s">
        <v>45</v>
      </c>
      <c r="Q238" t="s">
        <v>59</v>
      </c>
      <c r="R238" t="s">
        <v>43</v>
      </c>
      <c r="S238" s="3">
        <v>2707</v>
      </c>
      <c r="T238" s="3">
        <v>21509</v>
      </c>
      <c r="U238" s="3" t="str">
        <f t="shared" si="15"/>
        <v>Low</v>
      </c>
      <c r="V238">
        <v>7</v>
      </c>
      <c r="W238" t="s">
        <v>38</v>
      </c>
      <c r="X238" s="2">
        <v>20</v>
      </c>
      <c r="Y238" t="s">
        <v>62</v>
      </c>
      <c r="Z238" t="s">
        <v>59</v>
      </c>
      <c r="AA238">
        <v>0</v>
      </c>
      <c r="AB238">
        <v>13</v>
      </c>
      <c r="AC238">
        <v>3</v>
      </c>
      <c r="AD238">
        <v>4</v>
      </c>
      <c r="AE238">
        <v>9</v>
      </c>
      <c r="AF238">
        <v>7</v>
      </c>
      <c r="AG238">
        <v>1</v>
      </c>
      <c r="AH238">
        <v>7</v>
      </c>
      <c r="AI238" t="str">
        <f t="shared" si="12"/>
        <v>6-10 Years</v>
      </c>
      <c r="AJ238" t="str">
        <f t="shared" si="13"/>
        <v>0-2</v>
      </c>
    </row>
    <row r="239" spans="1:36" x14ac:dyDescent="0.35">
      <c r="A239">
        <v>238</v>
      </c>
      <c r="B239">
        <v>52</v>
      </c>
      <c r="C239" t="str">
        <f t="shared" si="14"/>
        <v>46-55</v>
      </c>
      <c r="D239" t="s">
        <v>38</v>
      </c>
      <c r="E239" t="s">
        <v>50</v>
      </c>
      <c r="F239" s="3">
        <v>1389</v>
      </c>
      <c r="G239" t="s">
        <v>33</v>
      </c>
      <c r="H239" s="1">
        <v>2</v>
      </c>
      <c r="I239" t="s">
        <v>60</v>
      </c>
      <c r="J239" t="s">
        <v>34</v>
      </c>
      <c r="K239" t="s">
        <v>59</v>
      </c>
      <c r="L239" t="s">
        <v>41</v>
      </c>
      <c r="M239" s="3">
        <v>79</v>
      </c>
      <c r="N239" t="s">
        <v>61</v>
      </c>
      <c r="O239" t="e">
        <v>#N/A</v>
      </c>
      <c r="P239" t="s">
        <v>51</v>
      </c>
      <c r="Q239" t="s">
        <v>60</v>
      </c>
      <c r="R239" t="s">
        <v>37</v>
      </c>
      <c r="S239" s="3">
        <v>19068</v>
      </c>
      <c r="T239" s="3">
        <v>21030</v>
      </c>
      <c r="U239" s="3" t="str">
        <f t="shared" si="15"/>
        <v>High</v>
      </c>
      <c r="V239">
        <v>1</v>
      </c>
      <c r="W239" t="s">
        <v>31</v>
      </c>
      <c r="X239" s="2">
        <v>18</v>
      </c>
      <c r="Y239" t="s">
        <v>60</v>
      </c>
      <c r="Z239" t="s">
        <v>62</v>
      </c>
      <c r="AA239">
        <v>0</v>
      </c>
      <c r="AB239">
        <v>33</v>
      </c>
      <c r="AC239">
        <v>2</v>
      </c>
      <c r="AD239">
        <v>4</v>
      </c>
      <c r="AE239">
        <v>33</v>
      </c>
      <c r="AF239">
        <v>7</v>
      </c>
      <c r="AG239">
        <v>15</v>
      </c>
      <c r="AH239">
        <v>12</v>
      </c>
      <c r="AI239" t="str">
        <f t="shared" si="12"/>
        <v>10+ Years</v>
      </c>
      <c r="AJ239" t="str">
        <f t="shared" si="13"/>
        <v>6+</v>
      </c>
    </row>
    <row r="240" spans="1:36" x14ac:dyDescent="0.35">
      <c r="A240">
        <v>239</v>
      </c>
      <c r="B240">
        <v>32</v>
      </c>
      <c r="C240" t="str">
        <f t="shared" si="14"/>
        <v>26-35</v>
      </c>
      <c r="D240" t="s">
        <v>38</v>
      </c>
      <c r="E240" t="s">
        <v>32</v>
      </c>
      <c r="F240" s="3">
        <v>1389</v>
      </c>
      <c r="G240" t="s">
        <v>33</v>
      </c>
      <c r="H240" s="1">
        <v>4</v>
      </c>
      <c r="I240" t="s">
        <v>58</v>
      </c>
      <c r="J240" t="s">
        <v>34</v>
      </c>
      <c r="K240" t="s">
        <v>60</v>
      </c>
      <c r="L240" t="s">
        <v>35</v>
      </c>
      <c r="M240" s="3">
        <v>56</v>
      </c>
      <c r="N240" t="s">
        <v>60</v>
      </c>
      <c r="O240" t="s">
        <v>59</v>
      </c>
      <c r="P240" t="s">
        <v>52</v>
      </c>
      <c r="Q240" t="s">
        <v>61</v>
      </c>
      <c r="R240" t="s">
        <v>43</v>
      </c>
      <c r="S240" s="3">
        <v>3931</v>
      </c>
      <c r="T240" s="3">
        <v>20990</v>
      </c>
      <c r="U240" s="3" t="str">
        <f t="shared" si="15"/>
        <v>Low</v>
      </c>
      <c r="V240">
        <v>2</v>
      </c>
      <c r="W240" t="s">
        <v>38</v>
      </c>
      <c r="X240" s="2">
        <v>11</v>
      </c>
      <c r="Y240" t="s">
        <v>60</v>
      </c>
      <c r="Z240" t="s">
        <v>59</v>
      </c>
      <c r="AA240">
        <v>1</v>
      </c>
      <c r="AB240">
        <v>6</v>
      </c>
      <c r="AC240">
        <v>5</v>
      </c>
      <c r="AD240">
        <v>3</v>
      </c>
      <c r="AE240">
        <v>4</v>
      </c>
      <c r="AF240">
        <v>3</v>
      </c>
      <c r="AG240">
        <v>1</v>
      </c>
      <c r="AH240">
        <v>2</v>
      </c>
      <c r="AI240" t="str">
        <f t="shared" si="12"/>
        <v>3-5 Years</v>
      </c>
      <c r="AJ240" t="str">
        <f t="shared" si="13"/>
        <v>0-2</v>
      </c>
    </row>
    <row r="241" spans="1:36" x14ac:dyDescent="0.35">
      <c r="A241">
        <v>240</v>
      </c>
      <c r="B241">
        <v>32</v>
      </c>
      <c r="C241" t="str">
        <f t="shared" si="14"/>
        <v>26-35</v>
      </c>
      <c r="D241" t="s">
        <v>31</v>
      </c>
      <c r="E241" t="s">
        <v>32</v>
      </c>
      <c r="F241" s="3">
        <v>1389</v>
      </c>
      <c r="G241" t="s">
        <v>40</v>
      </c>
      <c r="H241" s="1">
        <v>1</v>
      </c>
      <c r="I241" t="s">
        <v>61</v>
      </c>
      <c r="J241" t="s">
        <v>34</v>
      </c>
      <c r="K241" t="s">
        <v>62</v>
      </c>
      <c r="L241" t="s">
        <v>41</v>
      </c>
      <c r="M241" s="3">
        <v>62</v>
      </c>
      <c r="N241" t="s">
        <v>61</v>
      </c>
      <c r="O241" t="s">
        <v>59</v>
      </c>
      <c r="P241" t="s">
        <v>45</v>
      </c>
      <c r="Q241" t="s">
        <v>60</v>
      </c>
      <c r="R241" t="s">
        <v>37</v>
      </c>
      <c r="S241" s="3">
        <v>3730</v>
      </c>
      <c r="T241" s="3">
        <v>9571</v>
      </c>
      <c r="U241" s="3" t="str">
        <f t="shared" si="15"/>
        <v>Low</v>
      </c>
      <c r="V241">
        <v>0</v>
      </c>
      <c r="W241" t="s">
        <v>31</v>
      </c>
      <c r="X241" s="2">
        <v>14</v>
      </c>
      <c r="Y241" t="s">
        <v>60</v>
      </c>
      <c r="Z241" t="s">
        <v>62</v>
      </c>
      <c r="AA241">
        <v>0</v>
      </c>
      <c r="AB241">
        <v>4</v>
      </c>
      <c r="AC241">
        <v>2</v>
      </c>
      <c r="AD241">
        <v>1</v>
      </c>
      <c r="AE241">
        <v>3</v>
      </c>
      <c r="AF241">
        <v>2</v>
      </c>
      <c r="AG241">
        <v>1</v>
      </c>
      <c r="AH241">
        <v>2</v>
      </c>
      <c r="AI241" t="str">
        <f t="shared" si="12"/>
        <v>3-5 Years</v>
      </c>
      <c r="AJ241" t="str">
        <f t="shared" si="13"/>
        <v>0-2</v>
      </c>
    </row>
    <row r="242" spans="1:36" x14ac:dyDescent="0.35">
      <c r="A242">
        <v>241</v>
      </c>
      <c r="B242">
        <v>39</v>
      </c>
      <c r="C242" t="str">
        <f t="shared" si="14"/>
        <v>36-45</v>
      </c>
      <c r="D242" t="s">
        <v>38</v>
      </c>
      <c r="E242" t="s">
        <v>32</v>
      </c>
      <c r="F242" s="3">
        <v>1389</v>
      </c>
      <c r="G242" t="s">
        <v>40</v>
      </c>
      <c r="H242" s="1">
        <v>1</v>
      </c>
      <c r="I242" t="s">
        <v>60</v>
      </c>
      <c r="J242" t="s">
        <v>46</v>
      </c>
      <c r="K242" t="s">
        <v>60</v>
      </c>
      <c r="L242" t="s">
        <v>35</v>
      </c>
      <c r="M242" s="3">
        <v>96</v>
      </c>
      <c r="N242" t="s">
        <v>60</v>
      </c>
      <c r="O242" t="s">
        <v>59</v>
      </c>
      <c r="P242" t="s">
        <v>45</v>
      </c>
      <c r="Q242" t="s">
        <v>60</v>
      </c>
      <c r="R242" t="s">
        <v>47</v>
      </c>
      <c r="S242" s="3">
        <v>2232</v>
      </c>
      <c r="T242" s="3">
        <v>15417</v>
      </c>
      <c r="U242" s="3" t="str">
        <f t="shared" si="15"/>
        <v>Low</v>
      </c>
      <c r="V242">
        <v>7</v>
      </c>
      <c r="W242" t="s">
        <v>38</v>
      </c>
      <c r="X242" s="2">
        <v>14</v>
      </c>
      <c r="Y242" t="s">
        <v>60</v>
      </c>
      <c r="Z242" t="s">
        <v>60</v>
      </c>
      <c r="AA242">
        <v>3</v>
      </c>
      <c r="AB242">
        <v>7</v>
      </c>
      <c r="AC242">
        <v>1</v>
      </c>
      <c r="AD242">
        <v>3</v>
      </c>
      <c r="AE242">
        <v>3</v>
      </c>
      <c r="AF242">
        <v>2</v>
      </c>
      <c r="AG242">
        <v>1</v>
      </c>
      <c r="AH242">
        <v>2</v>
      </c>
      <c r="AI242" t="str">
        <f t="shared" si="12"/>
        <v>3-5 Years</v>
      </c>
      <c r="AJ242" t="str">
        <f t="shared" si="13"/>
        <v>0-2</v>
      </c>
    </row>
    <row r="243" spans="1:36" x14ac:dyDescent="0.35">
      <c r="A243">
        <v>242</v>
      </c>
      <c r="B243">
        <v>32</v>
      </c>
      <c r="C243" t="str">
        <f t="shared" si="14"/>
        <v>26-35</v>
      </c>
      <c r="D243" t="s">
        <v>38</v>
      </c>
      <c r="E243" t="s">
        <v>50</v>
      </c>
      <c r="F243" s="3">
        <v>1389</v>
      </c>
      <c r="G243" t="s">
        <v>33</v>
      </c>
      <c r="H243" s="1">
        <v>26</v>
      </c>
      <c r="I243" t="s">
        <v>60</v>
      </c>
      <c r="J243" t="s">
        <v>54</v>
      </c>
      <c r="K243" t="s">
        <v>60</v>
      </c>
      <c r="L243" t="s">
        <v>41</v>
      </c>
      <c r="M243" s="3">
        <v>100</v>
      </c>
      <c r="N243" t="s">
        <v>60</v>
      </c>
      <c r="O243" t="s">
        <v>61</v>
      </c>
      <c r="P243" t="s">
        <v>36</v>
      </c>
      <c r="Q243" t="s">
        <v>62</v>
      </c>
      <c r="R243" t="s">
        <v>43</v>
      </c>
      <c r="S243" s="3">
        <v>4465</v>
      </c>
      <c r="T243" s="3">
        <v>12069</v>
      </c>
      <c r="U243" s="3" t="str">
        <f t="shared" si="15"/>
        <v>Low</v>
      </c>
      <c r="V243">
        <v>0</v>
      </c>
      <c r="W243" t="s">
        <v>38</v>
      </c>
      <c r="X243" s="2">
        <v>18</v>
      </c>
      <c r="Y243" t="s">
        <v>60</v>
      </c>
      <c r="Z243" t="s">
        <v>59</v>
      </c>
      <c r="AA243">
        <v>0</v>
      </c>
      <c r="AB243">
        <v>4</v>
      </c>
      <c r="AC243">
        <v>2</v>
      </c>
      <c r="AD243">
        <v>3</v>
      </c>
      <c r="AE243">
        <v>3</v>
      </c>
      <c r="AF243">
        <v>2</v>
      </c>
      <c r="AG243">
        <v>2</v>
      </c>
      <c r="AH243">
        <v>2</v>
      </c>
      <c r="AI243" t="str">
        <f t="shared" si="12"/>
        <v>3-5 Years</v>
      </c>
      <c r="AJ243" t="str">
        <f t="shared" si="13"/>
        <v>0-2</v>
      </c>
    </row>
    <row r="244" spans="1:36" x14ac:dyDescent="0.35">
      <c r="A244">
        <v>243</v>
      </c>
      <c r="B244">
        <v>41</v>
      </c>
      <c r="C244" t="str">
        <f t="shared" si="14"/>
        <v>36-45</v>
      </c>
      <c r="D244" t="s">
        <v>38</v>
      </c>
      <c r="E244" t="s">
        <v>32</v>
      </c>
      <c r="F244" s="3">
        <v>1389</v>
      </c>
      <c r="G244" t="s">
        <v>40</v>
      </c>
      <c r="H244" s="1">
        <v>19</v>
      </c>
      <c r="I244" t="s">
        <v>58</v>
      </c>
      <c r="J244" t="s">
        <v>34</v>
      </c>
      <c r="K244" t="s">
        <v>60</v>
      </c>
      <c r="L244" t="s">
        <v>41</v>
      </c>
      <c r="M244" s="3">
        <v>36</v>
      </c>
      <c r="N244" t="s">
        <v>60</v>
      </c>
      <c r="O244" t="s">
        <v>61</v>
      </c>
      <c r="P244" t="s">
        <v>42</v>
      </c>
      <c r="Q244" t="s">
        <v>59</v>
      </c>
      <c r="R244" t="s">
        <v>47</v>
      </c>
      <c r="S244" s="3">
        <v>3072</v>
      </c>
      <c r="T244" s="3">
        <v>19877</v>
      </c>
      <c r="U244" s="3" t="str">
        <f t="shared" si="15"/>
        <v>Low</v>
      </c>
      <c r="V244">
        <v>2</v>
      </c>
      <c r="W244" t="s">
        <v>38</v>
      </c>
      <c r="X244" s="2">
        <v>16</v>
      </c>
      <c r="Y244" t="s">
        <v>60</v>
      </c>
      <c r="Z244" t="s">
        <v>59</v>
      </c>
      <c r="AA244">
        <v>2</v>
      </c>
      <c r="AB244">
        <v>17</v>
      </c>
      <c r="AC244">
        <v>2</v>
      </c>
      <c r="AD244">
        <v>2</v>
      </c>
      <c r="AE244">
        <v>1</v>
      </c>
      <c r="AF244">
        <v>0</v>
      </c>
      <c r="AG244">
        <v>0</v>
      </c>
      <c r="AH244">
        <v>0</v>
      </c>
      <c r="AI244" t="str">
        <f t="shared" si="12"/>
        <v>0-2 Years</v>
      </c>
      <c r="AJ244" t="str">
        <f t="shared" si="13"/>
        <v>0-2</v>
      </c>
    </row>
    <row r="245" spans="1:36" x14ac:dyDescent="0.35">
      <c r="A245">
        <v>244</v>
      </c>
      <c r="B245">
        <v>40</v>
      </c>
      <c r="C245" t="str">
        <f t="shared" si="14"/>
        <v>36-45</v>
      </c>
      <c r="D245" t="s">
        <v>38</v>
      </c>
      <c r="E245" t="s">
        <v>32</v>
      </c>
      <c r="F245" s="3">
        <v>1389</v>
      </c>
      <c r="G245" t="s">
        <v>40</v>
      </c>
      <c r="H245" s="1">
        <v>24</v>
      </c>
      <c r="I245" t="s">
        <v>58</v>
      </c>
      <c r="J245" t="s">
        <v>55</v>
      </c>
      <c r="K245" t="s">
        <v>59</v>
      </c>
      <c r="L245" t="s">
        <v>41</v>
      </c>
      <c r="M245" s="3">
        <v>62</v>
      </c>
      <c r="N245" t="s">
        <v>60</v>
      </c>
      <c r="O245" t="s">
        <v>61</v>
      </c>
      <c r="P245" t="s">
        <v>42</v>
      </c>
      <c r="Q245" t="s">
        <v>62</v>
      </c>
      <c r="R245" t="s">
        <v>47</v>
      </c>
      <c r="S245" s="3">
        <v>3319</v>
      </c>
      <c r="T245" s="3">
        <v>24447</v>
      </c>
      <c r="U245" s="3" t="str">
        <f t="shared" si="15"/>
        <v>Low</v>
      </c>
      <c r="V245">
        <v>1</v>
      </c>
      <c r="W245" t="s">
        <v>38</v>
      </c>
      <c r="X245" s="2">
        <v>17</v>
      </c>
      <c r="Y245" t="s">
        <v>60</v>
      </c>
      <c r="Z245" t="s">
        <v>59</v>
      </c>
      <c r="AA245">
        <v>2</v>
      </c>
      <c r="AB245">
        <v>9</v>
      </c>
      <c r="AC245">
        <v>3</v>
      </c>
      <c r="AD245">
        <v>3</v>
      </c>
      <c r="AE245">
        <v>9</v>
      </c>
      <c r="AF245">
        <v>8</v>
      </c>
      <c r="AG245">
        <v>4</v>
      </c>
      <c r="AH245">
        <v>7</v>
      </c>
      <c r="AI245" t="str">
        <f t="shared" si="12"/>
        <v>6-10 Years</v>
      </c>
      <c r="AJ245" t="str">
        <f t="shared" si="13"/>
        <v>3-5</v>
      </c>
    </row>
    <row r="246" spans="1:36" x14ac:dyDescent="0.35">
      <c r="A246">
        <v>245</v>
      </c>
      <c r="B246">
        <v>45</v>
      </c>
      <c r="C246" t="str">
        <f t="shared" si="14"/>
        <v>36-45</v>
      </c>
      <c r="D246" t="s">
        <v>38</v>
      </c>
      <c r="E246" t="s">
        <v>32</v>
      </c>
      <c r="F246" s="3">
        <v>1389</v>
      </c>
      <c r="G246" t="s">
        <v>40</v>
      </c>
      <c r="H246" s="1">
        <v>1</v>
      </c>
      <c r="I246" t="s">
        <v>61</v>
      </c>
      <c r="J246" t="s">
        <v>44</v>
      </c>
      <c r="K246" t="s">
        <v>60</v>
      </c>
      <c r="L246" t="s">
        <v>41</v>
      </c>
      <c r="M246" s="3">
        <v>70</v>
      </c>
      <c r="N246" t="s">
        <v>62</v>
      </c>
      <c r="O246" t="e">
        <v>#N/A</v>
      </c>
      <c r="P246" t="s">
        <v>51</v>
      </c>
      <c r="Q246" t="s">
        <v>62</v>
      </c>
      <c r="R246" t="s">
        <v>43</v>
      </c>
      <c r="S246" s="3">
        <v>19202</v>
      </c>
      <c r="T246" s="3">
        <v>15970</v>
      </c>
      <c r="U246" s="3" t="str">
        <f t="shared" si="15"/>
        <v>High</v>
      </c>
      <c r="V246">
        <v>0</v>
      </c>
      <c r="W246" t="s">
        <v>38</v>
      </c>
      <c r="X246" s="2">
        <v>11</v>
      </c>
      <c r="Y246" t="s">
        <v>60</v>
      </c>
      <c r="Z246" t="s">
        <v>60</v>
      </c>
      <c r="AA246">
        <v>1</v>
      </c>
      <c r="AB246">
        <v>25</v>
      </c>
      <c r="AC246">
        <v>2</v>
      </c>
      <c r="AD246">
        <v>3</v>
      </c>
      <c r="AE246">
        <v>24</v>
      </c>
      <c r="AF246">
        <v>0</v>
      </c>
      <c r="AG246">
        <v>1</v>
      </c>
      <c r="AH246">
        <v>7</v>
      </c>
      <c r="AI246" t="str">
        <f t="shared" si="12"/>
        <v>10+ Years</v>
      </c>
      <c r="AJ246" t="str">
        <f t="shared" si="13"/>
        <v>0-2</v>
      </c>
    </row>
    <row r="247" spans="1:36" x14ac:dyDescent="0.35">
      <c r="A247">
        <v>246</v>
      </c>
      <c r="B247">
        <v>31</v>
      </c>
      <c r="C247" t="str">
        <f t="shared" si="14"/>
        <v>26-35</v>
      </c>
      <c r="D247" t="s">
        <v>38</v>
      </c>
      <c r="E247" t="s">
        <v>39</v>
      </c>
      <c r="F247" s="3">
        <v>1389</v>
      </c>
      <c r="G247" t="s">
        <v>40</v>
      </c>
      <c r="H247" s="1">
        <v>3</v>
      </c>
      <c r="I247" t="s">
        <v>60</v>
      </c>
      <c r="J247" t="s">
        <v>46</v>
      </c>
      <c r="K247" t="s">
        <v>61</v>
      </c>
      <c r="L247" t="s">
        <v>41</v>
      </c>
      <c r="M247" s="3">
        <v>73</v>
      </c>
      <c r="N247" t="s">
        <v>60</v>
      </c>
      <c r="O247" t="s">
        <v>60</v>
      </c>
      <c r="P247" t="s">
        <v>53</v>
      </c>
      <c r="Q247" t="s">
        <v>60</v>
      </c>
      <c r="R247" t="s">
        <v>47</v>
      </c>
      <c r="S247" s="3">
        <v>13675</v>
      </c>
      <c r="T247" s="3">
        <v>13523</v>
      </c>
      <c r="U247" s="3" t="str">
        <f t="shared" si="15"/>
        <v>High</v>
      </c>
      <c r="V247">
        <v>9</v>
      </c>
      <c r="W247" t="s">
        <v>38</v>
      </c>
      <c r="X247" s="2">
        <v>12</v>
      </c>
      <c r="Y247" t="s">
        <v>60</v>
      </c>
      <c r="Z247" t="s">
        <v>59</v>
      </c>
      <c r="AA247">
        <v>1</v>
      </c>
      <c r="AB247">
        <v>9</v>
      </c>
      <c r="AC247">
        <v>3</v>
      </c>
      <c r="AD247">
        <v>3</v>
      </c>
      <c r="AE247">
        <v>2</v>
      </c>
      <c r="AF247">
        <v>2</v>
      </c>
      <c r="AG247">
        <v>2</v>
      </c>
      <c r="AH247">
        <v>2</v>
      </c>
      <c r="AI247" t="str">
        <f t="shared" si="12"/>
        <v>0-2 Years</v>
      </c>
      <c r="AJ247" t="str">
        <f t="shared" si="13"/>
        <v>0-2</v>
      </c>
    </row>
    <row r="248" spans="1:36" x14ac:dyDescent="0.35">
      <c r="A248">
        <v>247</v>
      </c>
      <c r="B248">
        <v>33</v>
      </c>
      <c r="C248" t="str">
        <f t="shared" si="14"/>
        <v>26-35</v>
      </c>
      <c r="D248" t="s">
        <v>38</v>
      </c>
      <c r="E248" t="s">
        <v>32</v>
      </c>
      <c r="F248" s="3">
        <v>1389</v>
      </c>
      <c r="G248" t="s">
        <v>40</v>
      </c>
      <c r="H248" s="1">
        <v>5</v>
      </c>
      <c r="I248" t="s">
        <v>60</v>
      </c>
      <c r="J248" t="s">
        <v>34</v>
      </c>
      <c r="K248" t="s">
        <v>60</v>
      </c>
      <c r="L248" t="s">
        <v>35</v>
      </c>
      <c r="M248" s="3">
        <v>63</v>
      </c>
      <c r="N248" t="s">
        <v>61</v>
      </c>
      <c r="O248" t="s">
        <v>59</v>
      </c>
      <c r="P248" t="s">
        <v>42</v>
      </c>
      <c r="Q248" t="s">
        <v>62</v>
      </c>
      <c r="R248" t="s">
        <v>43</v>
      </c>
      <c r="S248" s="3">
        <v>2911</v>
      </c>
      <c r="T248" s="3">
        <v>14776</v>
      </c>
      <c r="U248" s="3" t="str">
        <f t="shared" si="15"/>
        <v>Low</v>
      </c>
      <c r="V248">
        <v>1</v>
      </c>
      <c r="W248" t="s">
        <v>38</v>
      </c>
      <c r="X248" s="2">
        <v>13</v>
      </c>
      <c r="Y248" t="s">
        <v>60</v>
      </c>
      <c r="Z248" t="s">
        <v>60</v>
      </c>
      <c r="AA248">
        <v>1</v>
      </c>
      <c r="AB248">
        <v>2</v>
      </c>
      <c r="AC248">
        <v>2</v>
      </c>
      <c r="AD248">
        <v>2</v>
      </c>
      <c r="AE248">
        <v>2</v>
      </c>
      <c r="AF248">
        <v>2</v>
      </c>
      <c r="AG248">
        <v>0</v>
      </c>
      <c r="AH248">
        <v>2</v>
      </c>
      <c r="AI248" t="str">
        <f t="shared" si="12"/>
        <v>0-2 Years</v>
      </c>
      <c r="AJ248" t="str">
        <f t="shared" si="13"/>
        <v>0-2</v>
      </c>
    </row>
    <row r="249" spans="1:36" x14ac:dyDescent="0.35">
      <c r="A249">
        <v>248</v>
      </c>
      <c r="B249">
        <v>34</v>
      </c>
      <c r="C249" t="str">
        <f t="shared" si="14"/>
        <v>26-35</v>
      </c>
      <c r="D249" t="s">
        <v>38</v>
      </c>
      <c r="E249" t="s">
        <v>32</v>
      </c>
      <c r="F249" s="3">
        <v>1389</v>
      </c>
      <c r="G249" t="s">
        <v>40</v>
      </c>
      <c r="H249" s="1">
        <v>2</v>
      </c>
      <c r="I249" t="s">
        <v>60</v>
      </c>
      <c r="J249" t="s">
        <v>34</v>
      </c>
      <c r="K249" t="s">
        <v>62</v>
      </c>
      <c r="L249" t="s">
        <v>41</v>
      </c>
      <c r="M249" s="3">
        <v>84</v>
      </c>
      <c r="N249" t="s">
        <v>61</v>
      </c>
      <c r="O249" t="s">
        <v>61</v>
      </c>
      <c r="P249" t="s">
        <v>48</v>
      </c>
      <c r="Q249" t="s">
        <v>59</v>
      </c>
      <c r="R249" t="s">
        <v>43</v>
      </c>
      <c r="S249" s="3">
        <v>5957</v>
      </c>
      <c r="T249" s="3">
        <v>23687</v>
      </c>
      <c r="U249" s="3" t="str">
        <f t="shared" si="15"/>
        <v>Medium</v>
      </c>
      <c r="V249">
        <v>6</v>
      </c>
      <c r="W249" t="s">
        <v>38</v>
      </c>
      <c r="X249" s="2">
        <v>13</v>
      </c>
      <c r="Y249" t="s">
        <v>60</v>
      </c>
      <c r="Z249" t="s">
        <v>61</v>
      </c>
      <c r="AA249">
        <v>1</v>
      </c>
      <c r="AB249">
        <v>13</v>
      </c>
      <c r="AC249">
        <v>3</v>
      </c>
      <c r="AD249">
        <v>3</v>
      </c>
      <c r="AE249">
        <v>11</v>
      </c>
      <c r="AF249">
        <v>9</v>
      </c>
      <c r="AG249">
        <v>5</v>
      </c>
      <c r="AH249">
        <v>9</v>
      </c>
      <c r="AI249" t="str">
        <f t="shared" si="12"/>
        <v>10+ Years</v>
      </c>
      <c r="AJ249" t="str">
        <f t="shared" si="13"/>
        <v>3-5</v>
      </c>
    </row>
    <row r="250" spans="1:36" x14ac:dyDescent="0.35">
      <c r="A250">
        <v>249</v>
      </c>
      <c r="B250">
        <v>37</v>
      </c>
      <c r="C250" t="str">
        <f t="shared" si="14"/>
        <v>36-45</v>
      </c>
      <c r="D250" t="s">
        <v>38</v>
      </c>
      <c r="E250" t="s">
        <v>32</v>
      </c>
      <c r="F250" s="3">
        <v>1389</v>
      </c>
      <c r="G250" t="s">
        <v>40</v>
      </c>
      <c r="H250" s="1">
        <v>1</v>
      </c>
      <c r="I250" t="s">
        <v>58</v>
      </c>
      <c r="J250" t="s">
        <v>46</v>
      </c>
      <c r="K250" t="s">
        <v>60</v>
      </c>
      <c r="L250" t="s">
        <v>35</v>
      </c>
      <c r="M250" s="3">
        <v>83</v>
      </c>
      <c r="N250" t="s">
        <v>61</v>
      </c>
      <c r="O250" t="s">
        <v>59</v>
      </c>
      <c r="P250" t="s">
        <v>42</v>
      </c>
      <c r="Q250" t="s">
        <v>59</v>
      </c>
      <c r="R250" t="s">
        <v>43</v>
      </c>
      <c r="S250" s="3">
        <v>3920</v>
      </c>
      <c r="T250" s="3">
        <v>18697</v>
      </c>
      <c r="U250" s="3" t="str">
        <f t="shared" si="15"/>
        <v>Low</v>
      </c>
      <c r="V250">
        <v>2</v>
      </c>
      <c r="W250" t="s">
        <v>38</v>
      </c>
      <c r="X250" s="2">
        <v>14</v>
      </c>
      <c r="Y250" t="s">
        <v>60</v>
      </c>
      <c r="Z250" t="s">
        <v>59</v>
      </c>
      <c r="AA250">
        <v>1</v>
      </c>
      <c r="AB250">
        <v>17</v>
      </c>
      <c r="AC250">
        <v>2</v>
      </c>
      <c r="AD250">
        <v>2</v>
      </c>
      <c r="AE250">
        <v>3</v>
      </c>
      <c r="AF250">
        <v>1</v>
      </c>
      <c r="AG250">
        <v>0</v>
      </c>
      <c r="AH250">
        <v>2</v>
      </c>
      <c r="AI250" t="str">
        <f t="shared" si="12"/>
        <v>3-5 Years</v>
      </c>
      <c r="AJ250" t="str">
        <f t="shared" si="13"/>
        <v>0-2</v>
      </c>
    </row>
    <row r="251" spans="1:36" x14ac:dyDescent="0.35">
      <c r="A251">
        <v>250</v>
      </c>
      <c r="B251">
        <v>45</v>
      </c>
      <c r="C251" t="str">
        <f t="shared" si="14"/>
        <v>36-45</v>
      </c>
      <c r="D251" t="s">
        <v>38</v>
      </c>
      <c r="E251" t="s">
        <v>39</v>
      </c>
      <c r="F251" s="3">
        <v>1389</v>
      </c>
      <c r="G251" t="s">
        <v>40</v>
      </c>
      <c r="H251" s="1">
        <v>7</v>
      </c>
      <c r="I251" t="s">
        <v>60</v>
      </c>
      <c r="J251" t="s">
        <v>34</v>
      </c>
      <c r="K251" t="s">
        <v>59</v>
      </c>
      <c r="L251" t="s">
        <v>41</v>
      </c>
      <c r="M251" s="3">
        <v>77</v>
      </c>
      <c r="N251" t="s">
        <v>62</v>
      </c>
      <c r="O251" t="s">
        <v>61</v>
      </c>
      <c r="P251" t="s">
        <v>48</v>
      </c>
      <c r="Q251" t="s">
        <v>60</v>
      </c>
      <c r="R251" t="s">
        <v>43</v>
      </c>
      <c r="S251" s="3">
        <v>6434</v>
      </c>
      <c r="T251" s="3">
        <v>5118</v>
      </c>
      <c r="U251" s="3" t="str">
        <f t="shared" si="15"/>
        <v>Medium</v>
      </c>
      <c r="V251">
        <v>4</v>
      </c>
      <c r="W251" t="s">
        <v>38</v>
      </c>
      <c r="X251" s="2">
        <v>17</v>
      </c>
      <c r="Y251" t="s">
        <v>60</v>
      </c>
      <c r="Z251" t="s">
        <v>62</v>
      </c>
      <c r="AA251">
        <v>1</v>
      </c>
      <c r="AB251">
        <v>9</v>
      </c>
      <c r="AC251">
        <v>1</v>
      </c>
      <c r="AD251">
        <v>3</v>
      </c>
      <c r="AE251">
        <v>3</v>
      </c>
      <c r="AF251">
        <v>2</v>
      </c>
      <c r="AG251">
        <v>0</v>
      </c>
      <c r="AH251">
        <v>2</v>
      </c>
      <c r="AI251" t="str">
        <f t="shared" si="12"/>
        <v>3-5 Years</v>
      </c>
      <c r="AJ251" t="str">
        <f t="shared" si="13"/>
        <v>0-2</v>
      </c>
    </row>
    <row r="252" spans="1:36" x14ac:dyDescent="0.35">
      <c r="A252">
        <v>251</v>
      </c>
      <c r="B252">
        <v>37</v>
      </c>
      <c r="C252" t="str">
        <f t="shared" si="14"/>
        <v>36-45</v>
      </c>
      <c r="D252" t="s">
        <v>31</v>
      </c>
      <c r="E252" t="s">
        <v>39</v>
      </c>
      <c r="F252" s="3">
        <v>1389</v>
      </c>
      <c r="G252" t="s">
        <v>40</v>
      </c>
      <c r="H252" s="1">
        <v>10</v>
      </c>
      <c r="I252" t="s">
        <v>61</v>
      </c>
      <c r="J252" t="s">
        <v>46</v>
      </c>
      <c r="K252" t="s">
        <v>59</v>
      </c>
      <c r="L252" t="s">
        <v>41</v>
      </c>
      <c r="M252" s="3">
        <v>61</v>
      </c>
      <c r="N252" t="s">
        <v>60</v>
      </c>
      <c r="O252" t="s">
        <v>60</v>
      </c>
      <c r="P252" t="s">
        <v>48</v>
      </c>
      <c r="Q252" t="s">
        <v>60</v>
      </c>
      <c r="R252" t="s">
        <v>47</v>
      </c>
      <c r="S252" s="3">
        <v>10048</v>
      </c>
      <c r="T252" s="3">
        <v>22573</v>
      </c>
      <c r="U252" s="3" t="str">
        <f t="shared" si="15"/>
        <v>High</v>
      </c>
      <c r="V252">
        <v>6</v>
      </c>
      <c r="W252" t="s">
        <v>38</v>
      </c>
      <c r="X252" s="2">
        <v>11</v>
      </c>
      <c r="Y252" t="s">
        <v>60</v>
      </c>
      <c r="Z252" t="s">
        <v>61</v>
      </c>
      <c r="AA252">
        <v>2</v>
      </c>
      <c r="AB252">
        <v>17</v>
      </c>
      <c r="AC252">
        <v>5</v>
      </c>
      <c r="AD252">
        <v>3</v>
      </c>
      <c r="AE252">
        <v>1</v>
      </c>
      <c r="AF252">
        <v>0</v>
      </c>
      <c r="AG252">
        <v>0</v>
      </c>
      <c r="AH252">
        <v>0</v>
      </c>
      <c r="AI252" t="str">
        <f t="shared" si="12"/>
        <v>0-2 Years</v>
      </c>
      <c r="AJ252" t="str">
        <f t="shared" si="13"/>
        <v>0-2</v>
      </c>
    </row>
    <row r="253" spans="1:36" x14ac:dyDescent="0.35">
      <c r="A253">
        <v>252</v>
      </c>
      <c r="B253">
        <v>39</v>
      </c>
      <c r="C253" t="str">
        <f t="shared" si="14"/>
        <v>36-45</v>
      </c>
      <c r="D253" t="s">
        <v>38</v>
      </c>
      <c r="E253" t="s">
        <v>39</v>
      </c>
      <c r="F253" s="3">
        <v>1389</v>
      </c>
      <c r="G253" t="s">
        <v>40</v>
      </c>
      <c r="H253" s="1">
        <v>2</v>
      </c>
      <c r="I253" t="s">
        <v>60</v>
      </c>
      <c r="J253" t="s">
        <v>55</v>
      </c>
      <c r="K253" t="s">
        <v>60</v>
      </c>
      <c r="L253" t="s">
        <v>35</v>
      </c>
      <c r="M253" s="3">
        <v>64</v>
      </c>
      <c r="N253" t="s">
        <v>60</v>
      </c>
      <c r="O253" t="s">
        <v>60</v>
      </c>
      <c r="P253" t="s">
        <v>49</v>
      </c>
      <c r="Q253" t="s">
        <v>60</v>
      </c>
      <c r="R253" t="s">
        <v>37</v>
      </c>
      <c r="S253" s="3">
        <v>10938</v>
      </c>
      <c r="T253" s="3">
        <v>6420</v>
      </c>
      <c r="U253" s="3" t="str">
        <f t="shared" si="15"/>
        <v>High</v>
      </c>
      <c r="V253">
        <v>0</v>
      </c>
      <c r="W253" t="s">
        <v>38</v>
      </c>
      <c r="X253" s="2">
        <v>25</v>
      </c>
      <c r="Y253" t="s">
        <v>62</v>
      </c>
      <c r="Z253" t="s">
        <v>62</v>
      </c>
      <c r="AA253">
        <v>0</v>
      </c>
      <c r="AB253">
        <v>20</v>
      </c>
      <c r="AC253">
        <v>1</v>
      </c>
      <c r="AD253">
        <v>3</v>
      </c>
      <c r="AE253">
        <v>19</v>
      </c>
      <c r="AF253">
        <v>6</v>
      </c>
      <c r="AG253">
        <v>11</v>
      </c>
      <c r="AH253">
        <v>8</v>
      </c>
      <c r="AI253" t="str">
        <f t="shared" si="12"/>
        <v>10+ Years</v>
      </c>
      <c r="AJ253" t="str">
        <f t="shared" si="13"/>
        <v>6+</v>
      </c>
    </row>
    <row r="254" spans="1:36" x14ac:dyDescent="0.35">
      <c r="A254">
        <v>253</v>
      </c>
      <c r="B254">
        <v>29</v>
      </c>
      <c r="C254" t="str">
        <f t="shared" si="14"/>
        <v>26-35</v>
      </c>
      <c r="D254" t="s">
        <v>38</v>
      </c>
      <c r="E254" t="s">
        <v>32</v>
      </c>
      <c r="F254" s="3">
        <v>1389</v>
      </c>
      <c r="G254" t="s">
        <v>40</v>
      </c>
      <c r="H254" s="1">
        <v>15</v>
      </c>
      <c r="I254" t="s">
        <v>61</v>
      </c>
      <c r="J254" t="s">
        <v>34</v>
      </c>
      <c r="K254" t="s">
        <v>60</v>
      </c>
      <c r="L254" t="s">
        <v>41</v>
      </c>
      <c r="M254" s="3">
        <v>60</v>
      </c>
      <c r="N254" t="s">
        <v>60</v>
      </c>
      <c r="O254" t="s">
        <v>59</v>
      </c>
      <c r="P254" t="s">
        <v>42</v>
      </c>
      <c r="Q254" t="s">
        <v>62</v>
      </c>
      <c r="R254" t="s">
        <v>37</v>
      </c>
      <c r="S254" s="3">
        <v>2340</v>
      </c>
      <c r="T254" s="3">
        <v>22673</v>
      </c>
      <c r="U254" s="3" t="str">
        <f t="shared" si="15"/>
        <v>Low</v>
      </c>
      <c r="V254">
        <v>1</v>
      </c>
      <c r="W254" t="s">
        <v>38</v>
      </c>
      <c r="X254" s="2">
        <v>19</v>
      </c>
      <c r="Y254" t="s">
        <v>60</v>
      </c>
      <c r="Z254" t="s">
        <v>59</v>
      </c>
      <c r="AA254">
        <v>0</v>
      </c>
      <c r="AB254">
        <v>6</v>
      </c>
      <c r="AC254">
        <v>1</v>
      </c>
      <c r="AD254">
        <v>3</v>
      </c>
      <c r="AE254">
        <v>6</v>
      </c>
      <c r="AF254">
        <v>5</v>
      </c>
      <c r="AG254">
        <v>1</v>
      </c>
      <c r="AH254">
        <v>5</v>
      </c>
      <c r="AI254" t="str">
        <f t="shared" si="12"/>
        <v>6-10 Years</v>
      </c>
      <c r="AJ254" t="str">
        <f t="shared" si="13"/>
        <v>0-2</v>
      </c>
    </row>
    <row r="255" spans="1:36" x14ac:dyDescent="0.35">
      <c r="A255">
        <v>254</v>
      </c>
      <c r="B255">
        <v>42</v>
      </c>
      <c r="C255" t="str">
        <f t="shared" si="14"/>
        <v>36-45</v>
      </c>
      <c r="D255" t="s">
        <v>38</v>
      </c>
      <c r="E255" t="s">
        <v>32</v>
      </c>
      <c r="F255" s="3">
        <v>1389</v>
      </c>
      <c r="G255" t="s">
        <v>40</v>
      </c>
      <c r="H255" s="1">
        <v>17</v>
      </c>
      <c r="I255" t="s">
        <v>58</v>
      </c>
      <c r="J255" t="s">
        <v>34</v>
      </c>
      <c r="K255" t="s">
        <v>62</v>
      </c>
      <c r="L255" t="s">
        <v>35</v>
      </c>
      <c r="M255" s="3">
        <v>82</v>
      </c>
      <c r="N255" t="s">
        <v>62</v>
      </c>
      <c r="O255" t="s">
        <v>61</v>
      </c>
      <c r="P255" t="s">
        <v>42</v>
      </c>
      <c r="Q255" t="s">
        <v>59</v>
      </c>
      <c r="R255" t="s">
        <v>37</v>
      </c>
      <c r="S255" s="3">
        <v>6545</v>
      </c>
      <c r="T255" s="3">
        <v>23016</v>
      </c>
      <c r="U255" s="3" t="str">
        <f t="shared" si="15"/>
        <v>Medium</v>
      </c>
      <c r="V255">
        <v>3</v>
      </c>
      <c r="W255" t="s">
        <v>31</v>
      </c>
      <c r="X255" s="2">
        <v>13</v>
      </c>
      <c r="Y255" t="s">
        <v>60</v>
      </c>
      <c r="Z255" t="s">
        <v>60</v>
      </c>
      <c r="AA255">
        <v>0</v>
      </c>
      <c r="AB255">
        <v>10</v>
      </c>
      <c r="AC255">
        <v>1</v>
      </c>
      <c r="AD255">
        <v>3</v>
      </c>
      <c r="AE255">
        <v>3</v>
      </c>
      <c r="AF255">
        <v>2</v>
      </c>
      <c r="AG255">
        <v>0</v>
      </c>
      <c r="AH255">
        <v>2</v>
      </c>
      <c r="AI255" t="str">
        <f t="shared" si="12"/>
        <v>3-5 Years</v>
      </c>
      <c r="AJ255" t="str">
        <f t="shared" si="13"/>
        <v>0-2</v>
      </c>
    </row>
    <row r="256" spans="1:36" x14ac:dyDescent="0.35">
      <c r="A256">
        <v>255</v>
      </c>
      <c r="B256">
        <v>29</v>
      </c>
      <c r="C256" t="str">
        <f t="shared" si="14"/>
        <v>26-35</v>
      </c>
      <c r="D256" t="s">
        <v>38</v>
      </c>
      <c r="E256" t="s">
        <v>32</v>
      </c>
      <c r="F256" s="3">
        <v>1389</v>
      </c>
      <c r="G256" t="s">
        <v>33</v>
      </c>
      <c r="H256" s="1">
        <v>20</v>
      </c>
      <c r="I256" t="s">
        <v>58</v>
      </c>
      <c r="J256" t="s">
        <v>54</v>
      </c>
      <c r="K256" t="s">
        <v>62</v>
      </c>
      <c r="L256" t="s">
        <v>41</v>
      </c>
      <c r="M256" s="3">
        <v>45</v>
      </c>
      <c r="N256" t="s">
        <v>60</v>
      </c>
      <c r="O256" t="s">
        <v>61</v>
      </c>
      <c r="P256" t="s">
        <v>36</v>
      </c>
      <c r="Q256" t="s">
        <v>62</v>
      </c>
      <c r="R256" t="s">
        <v>47</v>
      </c>
      <c r="S256" s="3">
        <v>6931</v>
      </c>
      <c r="T256" s="3">
        <v>10732</v>
      </c>
      <c r="U256" s="3" t="str">
        <f t="shared" si="15"/>
        <v>Medium</v>
      </c>
      <c r="V256">
        <v>2</v>
      </c>
      <c r="W256" t="s">
        <v>38</v>
      </c>
      <c r="X256" s="2">
        <v>14</v>
      </c>
      <c r="Y256" t="s">
        <v>60</v>
      </c>
      <c r="Z256" t="s">
        <v>62</v>
      </c>
      <c r="AA256">
        <v>1</v>
      </c>
      <c r="AB256">
        <v>10</v>
      </c>
      <c r="AC256">
        <v>2</v>
      </c>
      <c r="AD256">
        <v>3</v>
      </c>
      <c r="AE256">
        <v>3</v>
      </c>
      <c r="AF256">
        <v>2</v>
      </c>
      <c r="AG256">
        <v>0</v>
      </c>
      <c r="AH256">
        <v>2</v>
      </c>
      <c r="AI256" t="str">
        <f t="shared" si="12"/>
        <v>3-5 Years</v>
      </c>
      <c r="AJ256" t="str">
        <f t="shared" si="13"/>
        <v>0-2</v>
      </c>
    </row>
    <row r="257" spans="1:36" x14ac:dyDescent="0.35">
      <c r="A257">
        <v>256</v>
      </c>
      <c r="B257">
        <v>25</v>
      </c>
      <c r="C257" t="str">
        <f t="shared" si="14"/>
        <v>18-25</v>
      </c>
      <c r="D257" t="s">
        <v>38</v>
      </c>
      <c r="E257" t="s">
        <v>32</v>
      </c>
      <c r="F257" s="3">
        <v>1389</v>
      </c>
      <c r="G257" t="s">
        <v>40</v>
      </c>
      <c r="H257" s="1">
        <v>1</v>
      </c>
      <c r="I257" t="s">
        <v>61</v>
      </c>
      <c r="J257" t="s">
        <v>34</v>
      </c>
      <c r="K257" t="s">
        <v>59</v>
      </c>
      <c r="L257" t="s">
        <v>35</v>
      </c>
      <c r="M257" s="3">
        <v>62</v>
      </c>
      <c r="N257" t="s">
        <v>60</v>
      </c>
      <c r="O257" t="s">
        <v>61</v>
      </c>
      <c r="P257" t="s">
        <v>48</v>
      </c>
      <c r="Q257" t="s">
        <v>60</v>
      </c>
      <c r="R257" t="s">
        <v>43</v>
      </c>
      <c r="S257" s="3">
        <v>4898</v>
      </c>
      <c r="T257" s="3">
        <v>7505</v>
      </c>
      <c r="U257" s="3" t="str">
        <f t="shared" si="15"/>
        <v>Low</v>
      </c>
      <c r="V257">
        <v>0</v>
      </c>
      <c r="W257" t="s">
        <v>38</v>
      </c>
      <c r="X257" s="2">
        <v>12</v>
      </c>
      <c r="Y257" t="s">
        <v>60</v>
      </c>
      <c r="Z257" t="s">
        <v>62</v>
      </c>
      <c r="AA257">
        <v>2</v>
      </c>
      <c r="AB257">
        <v>5</v>
      </c>
      <c r="AC257">
        <v>3</v>
      </c>
      <c r="AD257">
        <v>3</v>
      </c>
      <c r="AE257">
        <v>4</v>
      </c>
      <c r="AF257">
        <v>2</v>
      </c>
      <c r="AG257">
        <v>1</v>
      </c>
      <c r="AH257">
        <v>2</v>
      </c>
      <c r="AI257" t="str">
        <f t="shared" si="12"/>
        <v>3-5 Years</v>
      </c>
      <c r="AJ257" t="str">
        <f t="shared" si="13"/>
        <v>0-2</v>
      </c>
    </row>
    <row r="258" spans="1:36" x14ac:dyDescent="0.35">
      <c r="A258">
        <v>257</v>
      </c>
      <c r="B258">
        <v>42</v>
      </c>
      <c r="C258" t="str">
        <f t="shared" si="14"/>
        <v>36-45</v>
      </c>
      <c r="D258" t="s">
        <v>38</v>
      </c>
      <c r="E258" t="s">
        <v>32</v>
      </c>
      <c r="F258" s="3">
        <v>1389</v>
      </c>
      <c r="G258" t="s">
        <v>40</v>
      </c>
      <c r="H258" s="1">
        <v>2</v>
      </c>
      <c r="I258" t="s">
        <v>61</v>
      </c>
      <c r="J258" t="s">
        <v>46</v>
      </c>
      <c r="K258" t="s">
        <v>62</v>
      </c>
      <c r="L258" t="s">
        <v>35</v>
      </c>
      <c r="M258" s="3">
        <v>56</v>
      </c>
      <c r="N258" t="s">
        <v>61</v>
      </c>
      <c r="O258" t="s">
        <v>59</v>
      </c>
      <c r="P258" t="s">
        <v>45</v>
      </c>
      <c r="Q258" t="s">
        <v>59</v>
      </c>
      <c r="R258" t="s">
        <v>47</v>
      </c>
      <c r="S258" s="3">
        <v>2593</v>
      </c>
      <c r="T258" s="3">
        <v>8007</v>
      </c>
      <c r="U258" s="3" t="str">
        <f t="shared" si="15"/>
        <v>Low</v>
      </c>
      <c r="V258">
        <v>0</v>
      </c>
      <c r="W258" t="s">
        <v>31</v>
      </c>
      <c r="X258" s="2">
        <v>11</v>
      </c>
      <c r="Y258" t="s">
        <v>60</v>
      </c>
      <c r="Z258" t="s">
        <v>60</v>
      </c>
      <c r="AA258">
        <v>1</v>
      </c>
      <c r="AB258">
        <v>10</v>
      </c>
      <c r="AC258">
        <v>4</v>
      </c>
      <c r="AD258">
        <v>3</v>
      </c>
      <c r="AE258">
        <v>9</v>
      </c>
      <c r="AF258">
        <v>6</v>
      </c>
      <c r="AG258">
        <v>7</v>
      </c>
      <c r="AH258">
        <v>8</v>
      </c>
      <c r="AI258" t="str">
        <f t="shared" ref="AI258:AI321" si="16">IF(AE258&lt;=2,"0-2 Years",
IF(AE258&lt;=5,"3-5 Years",
IF(AE258&lt;=10,"6-10 Years","10+ Years")))</f>
        <v>6-10 Years</v>
      </c>
      <c r="AJ258" t="str">
        <f t="shared" ref="AJ258:AJ321" si="17">IF(AG258&lt;=2,"0-2",
IF(AG258&lt;=5,"3-5","6+"))</f>
        <v>6+</v>
      </c>
    </row>
    <row r="259" spans="1:36" x14ac:dyDescent="0.35">
      <c r="A259">
        <v>258</v>
      </c>
      <c r="B259">
        <v>40</v>
      </c>
      <c r="C259" t="str">
        <f t="shared" ref="C259:C322" si="18">IF(B259&lt;=25,"18-25",
IF(B259&lt;=35,"26-35",
IF(B259&lt;=45,"36-45",
IF(B259&lt;=55,"46-55","55+"))))</f>
        <v>36-45</v>
      </c>
      <c r="D259" t="s">
        <v>38</v>
      </c>
      <c r="E259" t="s">
        <v>32</v>
      </c>
      <c r="F259" s="3">
        <v>1389</v>
      </c>
      <c r="G259" t="s">
        <v>40</v>
      </c>
      <c r="H259" s="1">
        <v>2</v>
      </c>
      <c r="I259" t="s">
        <v>58</v>
      </c>
      <c r="J259" t="s">
        <v>46</v>
      </c>
      <c r="K259" t="s">
        <v>59</v>
      </c>
      <c r="L259" t="s">
        <v>41</v>
      </c>
      <c r="M259" s="3">
        <v>49</v>
      </c>
      <c r="N259" t="s">
        <v>60</v>
      </c>
      <c r="O259" t="e">
        <v>#N/A</v>
      </c>
      <c r="P259" t="s">
        <v>53</v>
      </c>
      <c r="Q259" t="s">
        <v>60</v>
      </c>
      <c r="R259" t="s">
        <v>47</v>
      </c>
      <c r="S259" s="3">
        <v>19436</v>
      </c>
      <c r="T259" s="3">
        <v>5949</v>
      </c>
      <c r="U259" s="3" t="str">
        <f t="shared" ref="U259:U322" si="19">_xlfn.IFS(S259&lt;5000,"Low",S259&lt;10000,"Medium",S259&gt;10000,"High")</f>
        <v>High</v>
      </c>
      <c r="V259">
        <v>0</v>
      </c>
      <c r="W259" t="s">
        <v>38</v>
      </c>
      <c r="X259" s="2">
        <v>19</v>
      </c>
      <c r="Y259" t="s">
        <v>60</v>
      </c>
      <c r="Z259" t="s">
        <v>62</v>
      </c>
      <c r="AA259">
        <v>1</v>
      </c>
      <c r="AB259">
        <v>22</v>
      </c>
      <c r="AC259">
        <v>5</v>
      </c>
      <c r="AD259">
        <v>3</v>
      </c>
      <c r="AE259">
        <v>21</v>
      </c>
      <c r="AF259">
        <v>7</v>
      </c>
      <c r="AG259">
        <v>3</v>
      </c>
      <c r="AH259">
        <v>9</v>
      </c>
      <c r="AI259" t="str">
        <f t="shared" si="16"/>
        <v>10+ Years</v>
      </c>
      <c r="AJ259" t="str">
        <f t="shared" si="17"/>
        <v>3-5</v>
      </c>
    </row>
    <row r="260" spans="1:36" x14ac:dyDescent="0.35">
      <c r="A260">
        <v>259</v>
      </c>
      <c r="B260">
        <v>51</v>
      </c>
      <c r="C260" t="str">
        <f t="shared" si="18"/>
        <v>46-55</v>
      </c>
      <c r="D260" t="s">
        <v>38</v>
      </c>
      <c r="E260" t="s">
        <v>32</v>
      </c>
      <c r="F260" s="3">
        <v>1389</v>
      </c>
      <c r="G260" t="s">
        <v>40</v>
      </c>
      <c r="H260" s="1">
        <v>1</v>
      </c>
      <c r="I260" t="s">
        <v>61</v>
      </c>
      <c r="J260" t="s">
        <v>34</v>
      </c>
      <c r="K260" t="s">
        <v>60</v>
      </c>
      <c r="L260" t="s">
        <v>41</v>
      </c>
      <c r="M260" s="3">
        <v>96</v>
      </c>
      <c r="N260" t="s">
        <v>60</v>
      </c>
      <c r="O260" t="s">
        <v>59</v>
      </c>
      <c r="P260" t="s">
        <v>42</v>
      </c>
      <c r="Q260" t="s">
        <v>62</v>
      </c>
      <c r="R260" t="s">
        <v>43</v>
      </c>
      <c r="S260" s="3">
        <v>2723</v>
      </c>
      <c r="T260" s="3">
        <v>23231</v>
      </c>
      <c r="U260" s="3" t="str">
        <f t="shared" si="19"/>
        <v>Low</v>
      </c>
      <c r="V260">
        <v>1</v>
      </c>
      <c r="W260" t="s">
        <v>38</v>
      </c>
      <c r="X260" s="2">
        <v>11</v>
      </c>
      <c r="Y260" t="s">
        <v>60</v>
      </c>
      <c r="Z260" t="s">
        <v>61</v>
      </c>
      <c r="AA260">
        <v>0</v>
      </c>
      <c r="AB260">
        <v>1</v>
      </c>
      <c r="AC260">
        <v>0</v>
      </c>
      <c r="AD260">
        <v>2</v>
      </c>
      <c r="AE260">
        <v>1</v>
      </c>
      <c r="AF260">
        <v>0</v>
      </c>
      <c r="AG260">
        <v>0</v>
      </c>
      <c r="AH260">
        <v>0</v>
      </c>
      <c r="AI260" t="str">
        <f t="shared" si="16"/>
        <v>0-2 Years</v>
      </c>
      <c r="AJ260" t="str">
        <f t="shared" si="17"/>
        <v>0-2</v>
      </c>
    </row>
    <row r="261" spans="1:36" x14ac:dyDescent="0.35">
      <c r="A261">
        <v>260</v>
      </c>
      <c r="B261">
        <v>31</v>
      </c>
      <c r="C261" t="str">
        <f t="shared" si="18"/>
        <v>26-35</v>
      </c>
      <c r="D261" t="s">
        <v>31</v>
      </c>
      <c r="E261" t="s">
        <v>39</v>
      </c>
      <c r="F261" s="3">
        <v>1389</v>
      </c>
      <c r="G261" t="s">
        <v>40</v>
      </c>
      <c r="H261" s="1">
        <v>29</v>
      </c>
      <c r="I261" t="s">
        <v>58</v>
      </c>
      <c r="J261" t="s">
        <v>46</v>
      </c>
      <c r="K261" t="s">
        <v>60</v>
      </c>
      <c r="L261" t="s">
        <v>41</v>
      </c>
      <c r="M261" s="3">
        <v>71</v>
      </c>
      <c r="N261" t="s">
        <v>61</v>
      </c>
      <c r="O261" t="s">
        <v>59</v>
      </c>
      <c r="P261" t="s">
        <v>45</v>
      </c>
      <c r="Q261" t="s">
        <v>61</v>
      </c>
      <c r="R261" t="s">
        <v>37</v>
      </c>
      <c r="S261" s="3">
        <v>3479</v>
      </c>
      <c r="T261" s="3">
        <v>11652</v>
      </c>
      <c r="U261" s="3" t="str">
        <f t="shared" si="19"/>
        <v>Low</v>
      </c>
      <c r="V261">
        <v>0</v>
      </c>
      <c r="W261" t="s">
        <v>38</v>
      </c>
      <c r="X261" s="2">
        <v>11</v>
      </c>
      <c r="Y261" t="s">
        <v>60</v>
      </c>
      <c r="Z261" t="s">
        <v>61</v>
      </c>
      <c r="AA261">
        <v>0</v>
      </c>
      <c r="AB261">
        <v>6</v>
      </c>
      <c r="AC261">
        <v>2</v>
      </c>
      <c r="AD261">
        <v>4</v>
      </c>
      <c r="AE261">
        <v>5</v>
      </c>
      <c r="AF261">
        <v>4</v>
      </c>
      <c r="AG261">
        <v>1</v>
      </c>
      <c r="AH261">
        <v>4</v>
      </c>
      <c r="AI261" t="str">
        <f t="shared" si="16"/>
        <v>3-5 Years</v>
      </c>
      <c r="AJ261" t="str">
        <f t="shared" si="17"/>
        <v>0-2</v>
      </c>
    </row>
    <row r="262" spans="1:36" x14ac:dyDescent="0.35">
      <c r="A262">
        <v>261</v>
      </c>
      <c r="B262">
        <v>32</v>
      </c>
      <c r="C262" t="str">
        <f t="shared" si="18"/>
        <v>26-35</v>
      </c>
      <c r="D262" t="s">
        <v>38</v>
      </c>
      <c r="E262" t="s">
        <v>39</v>
      </c>
      <c r="F262" s="3">
        <v>1389</v>
      </c>
      <c r="G262" t="s">
        <v>40</v>
      </c>
      <c r="H262" s="1">
        <v>7</v>
      </c>
      <c r="I262" t="s">
        <v>61</v>
      </c>
      <c r="J262" t="s">
        <v>34</v>
      </c>
      <c r="K262" t="s">
        <v>61</v>
      </c>
      <c r="L262" t="s">
        <v>41</v>
      </c>
      <c r="M262" s="3">
        <v>100</v>
      </c>
      <c r="N262" t="s">
        <v>62</v>
      </c>
      <c r="O262" t="s">
        <v>59</v>
      </c>
      <c r="P262" t="s">
        <v>45</v>
      </c>
      <c r="Q262" t="s">
        <v>61</v>
      </c>
      <c r="R262" t="s">
        <v>43</v>
      </c>
      <c r="S262" s="3">
        <v>2794</v>
      </c>
      <c r="T262" s="3">
        <v>26062</v>
      </c>
      <c r="U262" s="3" t="str">
        <f t="shared" si="19"/>
        <v>Low</v>
      </c>
      <c r="V262">
        <v>1</v>
      </c>
      <c r="W262" t="s">
        <v>38</v>
      </c>
      <c r="X262" s="2">
        <v>20</v>
      </c>
      <c r="Y262" t="s">
        <v>62</v>
      </c>
      <c r="Z262" t="s">
        <v>60</v>
      </c>
      <c r="AA262">
        <v>0</v>
      </c>
      <c r="AB262">
        <v>5</v>
      </c>
      <c r="AC262">
        <v>3</v>
      </c>
      <c r="AD262">
        <v>1</v>
      </c>
      <c r="AE262">
        <v>5</v>
      </c>
      <c r="AF262">
        <v>1</v>
      </c>
      <c r="AG262">
        <v>0</v>
      </c>
      <c r="AH262">
        <v>3</v>
      </c>
      <c r="AI262" t="str">
        <f t="shared" si="16"/>
        <v>3-5 Years</v>
      </c>
      <c r="AJ262" t="str">
        <f t="shared" si="17"/>
        <v>0-2</v>
      </c>
    </row>
    <row r="263" spans="1:36" x14ac:dyDescent="0.35">
      <c r="A263">
        <v>262</v>
      </c>
      <c r="B263">
        <v>38</v>
      </c>
      <c r="C263" t="str">
        <f t="shared" si="18"/>
        <v>36-45</v>
      </c>
      <c r="D263" t="s">
        <v>38</v>
      </c>
      <c r="E263" t="s">
        <v>50</v>
      </c>
      <c r="F263" s="3">
        <v>1389</v>
      </c>
      <c r="G263" t="s">
        <v>33</v>
      </c>
      <c r="H263" s="1">
        <v>2</v>
      </c>
      <c r="I263" t="s">
        <v>58</v>
      </c>
      <c r="J263" t="s">
        <v>34</v>
      </c>
      <c r="K263" t="s">
        <v>62</v>
      </c>
      <c r="L263" t="s">
        <v>41</v>
      </c>
      <c r="M263" s="3">
        <v>39</v>
      </c>
      <c r="N263" t="s">
        <v>61</v>
      </c>
      <c r="O263" t="s">
        <v>61</v>
      </c>
      <c r="P263" t="s">
        <v>36</v>
      </c>
      <c r="Q263" t="s">
        <v>62</v>
      </c>
      <c r="R263" t="s">
        <v>43</v>
      </c>
      <c r="S263" s="3">
        <v>5249</v>
      </c>
      <c r="T263" s="3">
        <v>19682</v>
      </c>
      <c r="U263" s="3" t="str">
        <f t="shared" si="19"/>
        <v>Medium</v>
      </c>
      <c r="V263">
        <v>3</v>
      </c>
      <c r="W263" t="s">
        <v>38</v>
      </c>
      <c r="X263" s="2">
        <v>18</v>
      </c>
      <c r="Y263" t="s">
        <v>60</v>
      </c>
      <c r="Z263" t="s">
        <v>62</v>
      </c>
      <c r="AA263">
        <v>1</v>
      </c>
      <c r="AB263">
        <v>13</v>
      </c>
      <c r="AC263">
        <v>0</v>
      </c>
      <c r="AD263">
        <v>3</v>
      </c>
      <c r="AE263">
        <v>8</v>
      </c>
      <c r="AF263">
        <v>7</v>
      </c>
      <c r="AG263">
        <v>7</v>
      </c>
      <c r="AH263">
        <v>5</v>
      </c>
      <c r="AI263" t="str">
        <f t="shared" si="16"/>
        <v>6-10 Years</v>
      </c>
      <c r="AJ263" t="str">
        <f t="shared" si="17"/>
        <v>6+</v>
      </c>
    </row>
    <row r="264" spans="1:36" x14ac:dyDescent="0.35">
      <c r="A264">
        <v>263</v>
      </c>
      <c r="B264">
        <v>32</v>
      </c>
      <c r="C264" t="str">
        <f t="shared" si="18"/>
        <v>26-35</v>
      </c>
      <c r="D264" t="s">
        <v>38</v>
      </c>
      <c r="E264" t="s">
        <v>32</v>
      </c>
      <c r="F264" s="3">
        <v>1389</v>
      </c>
      <c r="G264" t="s">
        <v>40</v>
      </c>
      <c r="H264" s="1">
        <v>2</v>
      </c>
      <c r="I264" t="s">
        <v>59</v>
      </c>
      <c r="J264" t="s">
        <v>55</v>
      </c>
      <c r="K264" t="s">
        <v>62</v>
      </c>
      <c r="L264" t="s">
        <v>41</v>
      </c>
      <c r="M264" s="3">
        <v>84</v>
      </c>
      <c r="N264" t="s">
        <v>61</v>
      </c>
      <c r="O264" t="s">
        <v>61</v>
      </c>
      <c r="P264" t="s">
        <v>45</v>
      </c>
      <c r="Q264" t="s">
        <v>59</v>
      </c>
      <c r="R264" t="s">
        <v>37</v>
      </c>
      <c r="S264" s="3">
        <v>2176</v>
      </c>
      <c r="T264" s="3">
        <v>19737</v>
      </c>
      <c r="U264" s="3" t="str">
        <f t="shared" si="19"/>
        <v>Low</v>
      </c>
      <c r="V264">
        <v>4</v>
      </c>
      <c r="W264" t="s">
        <v>38</v>
      </c>
      <c r="X264" s="2">
        <v>13</v>
      </c>
      <c r="Y264" t="s">
        <v>60</v>
      </c>
      <c r="Z264" t="s">
        <v>62</v>
      </c>
      <c r="AA264">
        <v>0</v>
      </c>
      <c r="AB264">
        <v>9</v>
      </c>
      <c r="AC264">
        <v>5</v>
      </c>
      <c r="AD264">
        <v>3</v>
      </c>
      <c r="AE264">
        <v>6</v>
      </c>
      <c r="AF264">
        <v>2</v>
      </c>
      <c r="AG264">
        <v>0</v>
      </c>
      <c r="AH264">
        <v>4</v>
      </c>
      <c r="AI264" t="str">
        <f t="shared" si="16"/>
        <v>6-10 Years</v>
      </c>
      <c r="AJ264" t="str">
        <f t="shared" si="17"/>
        <v>0-2</v>
      </c>
    </row>
    <row r="265" spans="1:36" x14ac:dyDescent="0.35">
      <c r="A265">
        <v>264</v>
      </c>
      <c r="B265">
        <v>46</v>
      </c>
      <c r="C265" t="str">
        <f t="shared" si="18"/>
        <v>46-55</v>
      </c>
      <c r="D265" t="s">
        <v>38</v>
      </c>
      <c r="E265" t="s">
        <v>32</v>
      </c>
      <c r="F265" s="3">
        <v>1389</v>
      </c>
      <c r="G265" t="s">
        <v>33</v>
      </c>
      <c r="H265" s="1">
        <v>2</v>
      </c>
      <c r="I265" t="s">
        <v>61</v>
      </c>
      <c r="J265" t="s">
        <v>55</v>
      </c>
      <c r="K265" t="s">
        <v>60</v>
      </c>
      <c r="L265" t="s">
        <v>35</v>
      </c>
      <c r="M265" s="3">
        <v>75</v>
      </c>
      <c r="N265" t="s">
        <v>59</v>
      </c>
      <c r="O265" t="s">
        <v>62</v>
      </c>
      <c r="P265" t="s">
        <v>51</v>
      </c>
      <c r="Q265" t="s">
        <v>61</v>
      </c>
      <c r="R265" t="s">
        <v>43</v>
      </c>
      <c r="S265" s="3">
        <v>16872</v>
      </c>
      <c r="T265" s="3">
        <v>14977</v>
      </c>
      <c r="U265" s="3" t="str">
        <f t="shared" si="19"/>
        <v>High</v>
      </c>
      <c r="V265">
        <v>3</v>
      </c>
      <c r="W265" t="s">
        <v>31</v>
      </c>
      <c r="X265" s="2">
        <v>12</v>
      </c>
      <c r="Y265" t="s">
        <v>60</v>
      </c>
      <c r="Z265" t="s">
        <v>61</v>
      </c>
      <c r="AA265">
        <v>1</v>
      </c>
      <c r="AB265">
        <v>28</v>
      </c>
      <c r="AC265">
        <v>2</v>
      </c>
      <c r="AD265">
        <v>2</v>
      </c>
      <c r="AE265">
        <v>7</v>
      </c>
      <c r="AF265">
        <v>7</v>
      </c>
      <c r="AG265">
        <v>7</v>
      </c>
      <c r="AH265">
        <v>7</v>
      </c>
      <c r="AI265" t="str">
        <f t="shared" si="16"/>
        <v>6-10 Years</v>
      </c>
      <c r="AJ265" t="str">
        <f t="shared" si="17"/>
        <v>6+</v>
      </c>
    </row>
    <row r="266" spans="1:36" x14ac:dyDescent="0.35">
      <c r="A266">
        <v>265</v>
      </c>
      <c r="B266">
        <v>28</v>
      </c>
      <c r="C266" t="str">
        <f t="shared" si="18"/>
        <v>26-35</v>
      </c>
      <c r="D266" t="s">
        <v>31</v>
      </c>
      <c r="E266" t="s">
        <v>32</v>
      </c>
      <c r="F266" s="3">
        <v>1389</v>
      </c>
      <c r="G266" t="s">
        <v>40</v>
      </c>
      <c r="H266" s="1">
        <v>2</v>
      </c>
      <c r="I266" t="s">
        <v>60</v>
      </c>
      <c r="J266" t="s">
        <v>34</v>
      </c>
      <c r="K266" t="s">
        <v>59</v>
      </c>
      <c r="L266" t="s">
        <v>41</v>
      </c>
      <c r="M266" s="3">
        <v>79</v>
      </c>
      <c r="N266" t="s">
        <v>60</v>
      </c>
      <c r="O266" t="s">
        <v>59</v>
      </c>
      <c r="P266" t="s">
        <v>45</v>
      </c>
      <c r="Q266" t="s">
        <v>60</v>
      </c>
      <c r="R266" t="s">
        <v>37</v>
      </c>
      <c r="S266" s="3">
        <v>3485</v>
      </c>
      <c r="T266" s="3">
        <v>14935</v>
      </c>
      <c r="U266" s="3" t="str">
        <f t="shared" si="19"/>
        <v>Low</v>
      </c>
      <c r="V266">
        <v>2</v>
      </c>
      <c r="W266" t="s">
        <v>38</v>
      </c>
      <c r="X266" s="2">
        <v>11</v>
      </c>
      <c r="Y266" t="s">
        <v>60</v>
      </c>
      <c r="Z266" t="s">
        <v>60</v>
      </c>
      <c r="AA266">
        <v>0</v>
      </c>
      <c r="AB266">
        <v>5</v>
      </c>
      <c r="AC266">
        <v>5</v>
      </c>
      <c r="AD266">
        <v>1</v>
      </c>
      <c r="AE266">
        <v>0</v>
      </c>
      <c r="AF266">
        <v>0</v>
      </c>
      <c r="AG266">
        <v>0</v>
      </c>
      <c r="AH266">
        <v>0</v>
      </c>
      <c r="AI266" t="str">
        <f t="shared" si="16"/>
        <v>0-2 Years</v>
      </c>
      <c r="AJ266" t="str">
        <f t="shared" si="17"/>
        <v>0-2</v>
      </c>
    </row>
    <row r="267" spans="1:36" x14ac:dyDescent="0.35">
      <c r="A267">
        <v>266</v>
      </c>
      <c r="B267">
        <v>29</v>
      </c>
      <c r="C267" t="str">
        <f t="shared" si="18"/>
        <v>26-35</v>
      </c>
      <c r="D267" t="s">
        <v>38</v>
      </c>
      <c r="E267" t="s">
        <v>32</v>
      </c>
      <c r="F267" s="3">
        <v>1389</v>
      </c>
      <c r="G267" t="s">
        <v>33</v>
      </c>
      <c r="H267" s="1">
        <v>2</v>
      </c>
      <c r="I267" t="s">
        <v>61</v>
      </c>
      <c r="J267" t="s">
        <v>46</v>
      </c>
      <c r="K267" t="s">
        <v>59</v>
      </c>
      <c r="L267" t="s">
        <v>41</v>
      </c>
      <c r="M267" s="3">
        <v>78</v>
      </c>
      <c r="N267" t="s">
        <v>61</v>
      </c>
      <c r="O267" t="s">
        <v>61</v>
      </c>
      <c r="P267" t="s">
        <v>36</v>
      </c>
      <c r="Q267" t="s">
        <v>61</v>
      </c>
      <c r="R267" t="s">
        <v>43</v>
      </c>
      <c r="S267" s="3">
        <v>6644</v>
      </c>
      <c r="T267" s="3">
        <v>3687</v>
      </c>
      <c r="U267" s="3" t="str">
        <f t="shared" si="19"/>
        <v>Medium</v>
      </c>
      <c r="V267">
        <v>2</v>
      </c>
      <c r="W267" t="s">
        <v>38</v>
      </c>
      <c r="X267" s="2">
        <v>19</v>
      </c>
      <c r="Y267" t="s">
        <v>60</v>
      </c>
      <c r="Z267" t="s">
        <v>61</v>
      </c>
      <c r="AA267">
        <v>2</v>
      </c>
      <c r="AB267">
        <v>10</v>
      </c>
      <c r="AC267">
        <v>2</v>
      </c>
      <c r="AD267">
        <v>3</v>
      </c>
      <c r="AE267">
        <v>0</v>
      </c>
      <c r="AF267">
        <v>0</v>
      </c>
      <c r="AG267">
        <v>0</v>
      </c>
      <c r="AH267">
        <v>0</v>
      </c>
      <c r="AI267" t="str">
        <f t="shared" si="16"/>
        <v>0-2 Years</v>
      </c>
      <c r="AJ267" t="str">
        <f t="shared" si="17"/>
        <v>0-2</v>
      </c>
    </row>
    <row r="268" spans="1:36" x14ac:dyDescent="0.35">
      <c r="A268">
        <v>267</v>
      </c>
      <c r="B268">
        <v>31</v>
      </c>
      <c r="C268" t="str">
        <f t="shared" si="18"/>
        <v>26-35</v>
      </c>
      <c r="D268" t="s">
        <v>38</v>
      </c>
      <c r="E268" t="s">
        <v>32</v>
      </c>
      <c r="F268" s="3">
        <v>1389</v>
      </c>
      <c r="G268" t="s">
        <v>40</v>
      </c>
      <c r="H268" s="1">
        <v>23</v>
      </c>
      <c r="I268" t="s">
        <v>61</v>
      </c>
      <c r="J268" t="s">
        <v>46</v>
      </c>
      <c r="K268" t="s">
        <v>61</v>
      </c>
      <c r="L268" t="s">
        <v>41</v>
      </c>
      <c r="M268" s="3">
        <v>64</v>
      </c>
      <c r="N268" t="s">
        <v>61</v>
      </c>
      <c r="O268" t="s">
        <v>61</v>
      </c>
      <c r="P268" t="s">
        <v>49</v>
      </c>
      <c r="Q268" t="s">
        <v>62</v>
      </c>
      <c r="R268" t="s">
        <v>43</v>
      </c>
      <c r="S268" s="3">
        <v>5582</v>
      </c>
      <c r="T268" s="3">
        <v>14408</v>
      </c>
      <c r="U268" s="3" t="str">
        <f t="shared" si="19"/>
        <v>Medium</v>
      </c>
      <c r="V268">
        <v>0</v>
      </c>
      <c r="W268" t="s">
        <v>38</v>
      </c>
      <c r="X268" s="2">
        <v>21</v>
      </c>
      <c r="Y268" t="s">
        <v>62</v>
      </c>
      <c r="Z268" t="s">
        <v>61</v>
      </c>
      <c r="AA268">
        <v>1</v>
      </c>
      <c r="AB268">
        <v>10</v>
      </c>
      <c r="AC268">
        <v>2</v>
      </c>
      <c r="AD268">
        <v>3</v>
      </c>
      <c r="AE268">
        <v>9</v>
      </c>
      <c r="AF268">
        <v>0</v>
      </c>
      <c r="AG268">
        <v>7</v>
      </c>
      <c r="AH268">
        <v>8</v>
      </c>
      <c r="AI268" t="str">
        <f t="shared" si="16"/>
        <v>6-10 Years</v>
      </c>
      <c r="AJ268" t="str">
        <f t="shared" si="17"/>
        <v>6+</v>
      </c>
    </row>
    <row r="269" spans="1:36" x14ac:dyDescent="0.35">
      <c r="A269">
        <v>268</v>
      </c>
      <c r="B269">
        <v>25</v>
      </c>
      <c r="C269" t="str">
        <f t="shared" si="18"/>
        <v>18-25</v>
      </c>
      <c r="D269" t="s">
        <v>38</v>
      </c>
      <c r="E269" t="s">
        <v>50</v>
      </c>
      <c r="F269" s="3">
        <v>1389</v>
      </c>
      <c r="G269" t="s">
        <v>40</v>
      </c>
      <c r="H269" s="1">
        <v>5</v>
      </c>
      <c r="I269" t="s">
        <v>58</v>
      </c>
      <c r="J269" t="s">
        <v>34</v>
      </c>
      <c r="K269" t="s">
        <v>61</v>
      </c>
      <c r="L269" t="s">
        <v>41</v>
      </c>
      <c r="M269" s="3">
        <v>85</v>
      </c>
      <c r="N269" t="s">
        <v>62</v>
      </c>
      <c r="O269" t="s">
        <v>61</v>
      </c>
      <c r="P269" t="s">
        <v>49</v>
      </c>
      <c r="Q269" t="s">
        <v>59</v>
      </c>
      <c r="R269" t="s">
        <v>47</v>
      </c>
      <c r="S269" s="3">
        <v>4000</v>
      </c>
      <c r="T269" s="3">
        <v>18384</v>
      </c>
      <c r="U269" s="3" t="str">
        <f t="shared" si="19"/>
        <v>Low</v>
      </c>
      <c r="V269">
        <v>1</v>
      </c>
      <c r="W269" t="s">
        <v>38</v>
      </c>
      <c r="X269" s="2">
        <v>12</v>
      </c>
      <c r="Y269" t="s">
        <v>60</v>
      </c>
      <c r="Z269" t="s">
        <v>62</v>
      </c>
      <c r="AA269">
        <v>2</v>
      </c>
      <c r="AB269">
        <v>6</v>
      </c>
      <c r="AC269">
        <v>2</v>
      </c>
      <c r="AD269">
        <v>3</v>
      </c>
      <c r="AE269">
        <v>6</v>
      </c>
      <c r="AF269">
        <v>3</v>
      </c>
      <c r="AG269">
        <v>1</v>
      </c>
      <c r="AH269">
        <v>5</v>
      </c>
      <c r="AI269" t="str">
        <f t="shared" si="16"/>
        <v>6-10 Years</v>
      </c>
      <c r="AJ269" t="str">
        <f t="shared" si="17"/>
        <v>0-2</v>
      </c>
    </row>
    <row r="270" spans="1:36" x14ac:dyDescent="0.35">
      <c r="A270">
        <v>269</v>
      </c>
      <c r="B270">
        <v>45</v>
      </c>
      <c r="C270" t="str">
        <f t="shared" si="18"/>
        <v>36-45</v>
      </c>
      <c r="D270" t="s">
        <v>38</v>
      </c>
      <c r="E270" t="s">
        <v>32</v>
      </c>
      <c r="F270" s="3">
        <v>1389</v>
      </c>
      <c r="G270" t="s">
        <v>40</v>
      </c>
      <c r="H270" s="1">
        <v>20</v>
      </c>
      <c r="I270" t="s">
        <v>58</v>
      </c>
      <c r="J270" t="s">
        <v>46</v>
      </c>
      <c r="K270" t="s">
        <v>60</v>
      </c>
      <c r="L270" t="s">
        <v>41</v>
      </c>
      <c r="M270" s="3">
        <v>79</v>
      </c>
      <c r="N270" t="s">
        <v>60</v>
      </c>
      <c r="O270" t="s">
        <v>62</v>
      </c>
      <c r="P270" t="s">
        <v>49</v>
      </c>
      <c r="Q270" t="s">
        <v>62</v>
      </c>
      <c r="R270" t="s">
        <v>43</v>
      </c>
      <c r="S270" s="3">
        <v>13496</v>
      </c>
      <c r="T270" s="3">
        <v>7501</v>
      </c>
      <c r="U270" s="3" t="str">
        <f t="shared" si="19"/>
        <v>High</v>
      </c>
      <c r="V270">
        <v>0</v>
      </c>
      <c r="W270" t="s">
        <v>31</v>
      </c>
      <c r="X270" s="2">
        <v>14</v>
      </c>
      <c r="Y270" t="s">
        <v>60</v>
      </c>
      <c r="Z270" t="s">
        <v>61</v>
      </c>
      <c r="AA270">
        <v>0</v>
      </c>
      <c r="AB270">
        <v>21</v>
      </c>
      <c r="AC270">
        <v>2</v>
      </c>
      <c r="AD270">
        <v>3</v>
      </c>
      <c r="AE270">
        <v>20</v>
      </c>
      <c r="AF270">
        <v>7</v>
      </c>
      <c r="AG270">
        <v>4</v>
      </c>
      <c r="AH270">
        <v>10</v>
      </c>
      <c r="AI270" t="str">
        <f t="shared" si="16"/>
        <v>10+ Years</v>
      </c>
      <c r="AJ270" t="str">
        <f t="shared" si="17"/>
        <v>3-5</v>
      </c>
    </row>
    <row r="271" spans="1:36" x14ac:dyDescent="0.35">
      <c r="A271">
        <v>270</v>
      </c>
      <c r="B271">
        <v>36</v>
      </c>
      <c r="C271" t="str">
        <f t="shared" si="18"/>
        <v>36-45</v>
      </c>
      <c r="D271" t="s">
        <v>38</v>
      </c>
      <c r="E271" t="s">
        <v>32</v>
      </c>
      <c r="F271" s="3">
        <v>1389</v>
      </c>
      <c r="G271" t="s">
        <v>40</v>
      </c>
      <c r="H271" s="1">
        <v>6</v>
      </c>
      <c r="I271" t="s">
        <v>61</v>
      </c>
      <c r="J271" t="s">
        <v>34</v>
      </c>
      <c r="K271" t="s">
        <v>62</v>
      </c>
      <c r="L271" t="s">
        <v>41</v>
      </c>
      <c r="M271" s="3">
        <v>47</v>
      </c>
      <c r="N271" t="s">
        <v>60</v>
      </c>
      <c r="O271" t="s">
        <v>59</v>
      </c>
      <c r="P271" t="s">
        <v>45</v>
      </c>
      <c r="Q271" t="s">
        <v>62</v>
      </c>
      <c r="R271" t="s">
        <v>43</v>
      </c>
      <c r="S271" s="3">
        <v>3210</v>
      </c>
      <c r="T271" s="3">
        <v>20251</v>
      </c>
      <c r="U271" s="3" t="str">
        <f t="shared" si="19"/>
        <v>Low</v>
      </c>
      <c r="V271">
        <v>0</v>
      </c>
      <c r="W271" t="s">
        <v>38</v>
      </c>
      <c r="X271" s="2">
        <v>11</v>
      </c>
      <c r="Y271" t="s">
        <v>60</v>
      </c>
      <c r="Z271" t="s">
        <v>60</v>
      </c>
      <c r="AA271">
        <v>1</v>
      </c>
      <c r="AB271">
        <v>16</v>
      </c>
      <c r="AC271">
        <v>4</v>
      </c>
      <c r="AD271">
        <v>3</v>
      </c>
      <c r="AE271">
        <v>15</v>
      </c>
      <c r="AF271">
        <v>13</v>
      </c>
      <c r="AG271">
        <v>10</v>
      </c>
      <c r="AH271">
        <v>11</v>
      </c>
      <c r="AI271" t="str">
        <f t="shared" si="16"/>
        <v>10+ Years</v>
      </c>
      <c r="AJ271" t="str">
        <f t="shared" si="17"/>
        <v>6+</v>
      </c>
    </row>
    <row r="272" spans="1:36" x14ac:dyDescent="0.35">
      <c r="A272">
        <v>271</v>
      </c>
      <c r="B272">
        <v>55</v>
      </c>
      <c r="C272" t="str">
        <f t="shared" si="18"/>
        <v>46-55</v>
      </c>
      <c r="D272" t="s">
        <v>38</v>
      </c>
      <c r="E272" t="s">
        <v>32</v>
      </c>
      <c r="F272" s="3">
        <v>1389</v>
      </c>
      <c r="G272" t="s">
        <v>40</v>
      </c>
      <c r="H272" s="1">
        <v>1</v>
      </c>
      <c r="I272" t="s">
        <v>61</v>
      </c>
      <c r="J272" t="s">
        <v>46</v>
      </c>
      <c r="K272" t="s">
        <v>62</v>
      </c>
      <c r="L272" t="s">
        <v>41</v>
      </c>
      <c r="M272" s="3">
        <v>81</v>
      </c>
      <c r="N272" t="s">
        <v>60</v>
      </c>
      <c r="O272" t="e">
        <v>#N/A</v>
      </c>
      <c r="P272" t="s">
        <v>51</v>
      </c>
      <c r="Q272" t="s">
        <v>59</v>
      </c>
      <c r="R272" t="s">
        <v>37</v>
      </c>
      <c r="S272" s="3">
        <v>19045</v>
      </c>
      <c r="T272" s="3">
        <v>18938</v>
      </c>
      <c r="U272" s="3" t="str">
        <f t="shared" si="19"/>
        <v>High</v>
      </c>
      <c r="V272">
        <v>0</v>
      </c>
      <c r="W272" t="s">
        <v>31</v>
      </c>
      <c r="X272" s="2">
        <v>14</v>
      </c>
      <c r="Y272" t="s">
        <v>60</v>
      </c>
      <c r="Z272" t="s">
        <v>60</v>
      </c>
      <c r="AA272">
        <v>0</v>
      </c>
      <c r="AB272">
        <v>37</v>
      </c>
      <c r="AC272">
        <v>2</v>
      </c>
      <c r="AD272">
        <v>3</v>
      </c>
      <c r="AE272">
        <v>36</v>
      </c>
      <c r="AF272">
        <v>10</v>
      </c>
      <c r="AG272">
        <v>4</v>
      </c>
      <c r="AH272">
        <v>13</v>
      </c>
      <c r="AI272" t="str">
        <f t="shared" si="16"/>
        <v>10+ Years</v>
      </c>
      <c r="AJ272" t="str">
        <f t="shared" si="17"/>
        <v>3-5</v>
      </c>
    </row>
    <row r="273" spans="1:36" x14ac:dyDescent="0.35">
      <c r="A273">
        <v>272</v>
      </c>
      <c r="B273">
        <v>47</v>
      </c>
      <c r="C273" t="str">
        <f t="shared" si="18"/>
        <v>46-55</v>
      </c>
      <c r="D273" t="s">
        <v>31</v>
      </c>
      <c r="E273" t="s">
        <v>50</v>
      </c>
      <c r="F273" s="3">
        <v>1389</v>
      </c>
      <c r="G273" t="s">
        <v>40</v>
      </c>
      <c r="H273" s="1">
        <v>29</v>
      </c>
      <c r="I273" t="s">
        <v>60</v>
      </c>
      <c r="J273" t="s">
        <v>34</v>
      </c>
      <c r="K273" t="s">
        <v>59</v>
      </c>
      <c r="L273" t="s">
        <v>41</v>
      </c>
      <c r="M273" s="3">
        <v>88</v>
      </c>
      <c r="N273" t="s">
        <v>60</v>
      </c>
      <c r="O273" t="s">
        <v>60</v>
      </c>
      <c r="P273" t="s">
        <v>51</v>
      </c>
      <c r="Q273" t="s">
        <v>61</v>
      </c>
      <c r="R273" t="s">
        <v>43</v>
      </c>
      <c r="S273" s="3">
        <v>11849</v>
      </c>
      <c r="T273" s="3">
        <v>10268</v>
      </c>
      <c r="U273" s="3" t="str">
        <f t="shared" si="19"/>
        <v>High</v>
      </c>
      <c r="V273">
        <v>1</v>
      </c>
      <c r="W273" t="s">
        <v>31</v>
      </c>
      <c r="X273" s="2">
        <v>12</v>
      </c>
      <c r="Y273" t="s">
        <v>60</v>
      </c>
      <c r="Z273" t="s">
        <v>62</v>
      </c>
      <c r="AA273">
        <v>1</v>
      </c>
      <c r="AB273">
        <v>10</v>
      </c>
      <c r="AC273">
        <v>2</v>
      </c>
      <c r="AD273">
        <v>2</v>
      </c>
      <c r="AE273">
        <v>10</v>
      </c>
      <c r="AF273">
        <v>7</v>
      </c>
      <c r="AG273">
        <v>9</v>
      </c>
      <c r="AH273">
        <v>9</v>
      </c>
      <c r="AI273" t="str">
        <f t="shared" si="16"/>
        <v>6-10 Years</v>
      </c>
      <c r="AJ273" t="str">
        <f t="shared" si="17"/>
        <v>6+</v>
      </c>
    </row>
    <row r="274" spans="1:36" x14ac:dyDescent="0.35">
      <c r="A274">
        <v>273</v>
      </c>
      <c r="B274">
        <v>28</v>
      </c>
      <c r="C274" t="str">
        <f t="shared" si="18"/>
        <v>26-35</v>
      </c>
      <c r="D274" t="s">
        <v>38</v>
      </c>
      <c r="E274" t="s">
        <v>32</v>
      </c>
      <c r="F274" s="3">
        <v>1389</v>
      </c>
      <c r="G274" t="s">
        <v>40</v>
      </c>
      <c r="H274" s="1">
        <v>9</v>
      </c>
      <c r="I274" t="s">
        <v>61</v>
      </c>
      <c r="J274" t="s">
        <v>46</v>
      </c>
      <c r="K274" t="s">
        <v>62</v>
      </c>
      <c r="L274" t="s">
        <v>41</v>
      </c>
      <c r="M274" s="3">
        <v>94</v>
      </c>
      <c r="N274" t="s">
        <v>60</v>
      </c>
      <c r="O274" t="s">
        <v>59</v>
      </c>
      <c r="P274" t="s">
        <v>42</v>
      </c>
      <c r="Q274" t="s">
        <v>62</v>
      </c>
      <c r="R274" t="s">
        <v>43</v>
      </c>
      <c r="S274" s="3">
        <v>2070</v>
      </c>
      <c r="T274" s="3">
        <v>2613</v>
      </c>
      <c r="U274" s="3" t="str">
        <f t="shared" si="19"/>
        <v>Low</v>
      </c>
      <c r="V274">
        <v>1</v>
      </c>
      <c r="W274" t="s">
        <v>38</v>
      </c>
      <c r="X274" s="2">
        <v>23</v>
      </c>
      <c r="Y274" t="s">
        <v>62</v>
      </c>
      <c r="Z274" t="s">
        <v>62</v>
      </c>
      <c r="AA274">
        <v>1</v>
      </c>
      <c r="AB274">
        <v>5</v>
      </c>
      <c r="AC274">
        <v>3</v>
      </c>
      <c r="AD274">
        <v>2</v>
      </c>
      <c r="AE274">
        <v>5</v>
      </c>
      <c r="AF274">
        <v>2</v>
      </c>
      <c r="AG274">
        <v>0</v>
      </c>
      <c r="AH274">
        <v>4</v>
      </c>
      <c r="AI274" t="str">
        <f t="shared" si="16"/>
        <v>3-5 Years</v>
      </c>
      <c r="AJ274" t="str">
        <f t="shared" si="17"/>
        <v>0-2</v>
      </c>
    </row>
    <row r="275" spans="1:36" x14ac:dyDescent="0.35">
      <c r="A275">
        <v>274</v>
      </c>
      <c r="B275">
        <v>37</v>
      </c>
      <c r="C275" t="str">
        <f t="shared" si="18"/>
        <v>36-45</v>
      </c>
      <c r="D275" t="s">
        <v>38</v>
      </c>
      <c r="E275" t="s">
        <v>32</v>
      </c>
      <c r="F275" s="3">
        <v>1389</v>
      </c>
      <c r="G275" t="s">
        <v>33</v>
      </c>
      <c r="H275" s="1">
        <v>6</v>
      </c>
      <c r="I275" t="s">
        <v>60</v>
      </c>
      <c r="J275" t="s">
        <v>46</v>
      </c>
      <c r="K275" t="s">
        <v>60</v>
      </c>
      <c r="L275" t="s">
        <v>41</v>
      </c>
      <c r="M275" s="3">
        <v>98</v>
      </c>
      <c r="N275" t="s">
        <v>60</v>
      </c>
      <c r="O275" t="s">
        <v>61</v>
      </c>
      <c r="P275" t="s">
        <v>36</v>
      </c>
      <c r="Q275" t="s">
        <v>62</v>
      </c>
      <c r="R275" t="s">
        <v>43</v>
      </c>
      <c r="S275" s="3">
        <v>6502</v>
      </c>
      <c r="T275" s="3">
        <v>22825</v>
      </c>
      <c r="U275" s="3" t="str">
        <f t="shared" si="19"/>
        <v>Medium</v>
      </c>
      <c r="V275">
        <v>4</v>
      </c>
      <c r="W275" t="s">
        <v>38</v>
      </c>
      <c r="X275" s="2">
        <v>14</v>
      </c>
      <c r="Y275" t="s">
        <v>60</v>
      </c>
      <c r="Z275" t="s">
        <v>61</v>
      </c>
      <c r="AA275">
        <v>1</v>
      </c>
      <c r="AB275">
        <v>7</v>
      </c>
      <c r="AC275">
        <v>5</v>
      </c>
      <c r="AD275">
        <v>4</v>
      </c>
      <c r="AE275">
        <v>5</v>
      </c>
      <c r="AF275">
        <v>4</v>
      </c>
      <c r="AG275">
        <v>0</v>
      </c>
      <c r="AH275">
        <v>1</v>
      </c>
      <c r="AI275" t="str">
        <f t="shared" si="16"/>
        <v>3-5 Years</v>
      </c>
      <c r="AJ275" t="str">
        <f t="shared" si="17"/>
        <v>0-2</v>
      </c>
    </row>
    <row r="276" spans="1:36" x14ac:dyDescent="0.35">
      <c r="A276">
        <v>275</v>
      </c>
      <c r="B276">
        <v>21</v>
      </c>
      <c r="C276" t="str">
        <f t="shared" si="18"/>
        <v>18-25</v>
      </c>
      <c r="D276" t="s">
        <v>38</v>
      </c>
      <c r="E276" t="s">
        <v>32</v>
      </c>
      <c r="F276" s="3">
        <v>1389</v>
      </c>
      <c r="G276" t="s">
        <v>40</v>
      </c>
      <c r="H276" s="1">
        <v>3</v>
      </c>
      <c r="I276" t="s">
        <v>58</v>
      </c>
      <c r="J276" t="s">
        <v>46</v>
      </c>
      <c r="K276" t="s">
        <v>62</v>
      </c>
      <c r="L276" t="s">
        <v>41</v>
      </c>
      <c r="M276" s="3">
        <v>100</v>
      </c>
      <c r="N276" t="s">
        <v>61</v>
      </c>
      <c r="O276" t="s">
        <v>59</v>
      </c>
      <c r="P276" t="s">
        <v>42</v>
      </c>
      <c r="Q276" t="s">
        <v>60</v>
      </c>
      <c r="R276" t="s">
        <v>37</v>
      </c>
      <c r="S276" s="3">
        <v>3230</v>
      </c>
      <c r="T276" s="3">
        <v>10531</v>
      </c>
      <c r="U276" s="3" t="str">
        <f t="shared" si="19"/>
        <v>Low</v>
      </c>
      <c r="V276">
        <v>1</v>
      </c>
      <c r="W276" t="s">
        <v>38</v>
      </c>
      <c r="X276" s="2">
        <v>17</v>
      </c>
      <c r="Y276" t="s">
        <v>60</v>
      </c>
      <c r="Z276" t="s">
        <v>59</v>
      </c>
      <c r="AA276">
        <v>0</v>
      </c>
      <c r="AB276">
        <v>3</v>
      </c>
      <c r="AC276">
        <v>4</v>
      </c>
      <c r="AD276">
        <v>4</v>
      </c>
      <c r="AE276">
        <v>3</v>
      </c>
      <c r="AF276">
        <v>2</v>
      </c>
      <c r="AG276">
        <v>1</v>
      </c>
      <c r="AH276">
        <v>0</v>
      </c>
      <c r="AI276" t="str">
        <f t="shared" si="16"/>
        <v>3-5 Years</v>
      </c>
      <c r="AJ276" t="str">
        <f t="shared" si="17"/>
        <v>0-2</v>
      </c>
    </row>
    <row r="277" spans="1:36" x14ac:dyDescent="0.35">
      <c r="A277">
        <v>276</v>
      </c>
      <c r="B277">
        <v>37</v>
      </c>
      <c r="C277" t="str">
        <f t="shared" si="18"/>
        <v>36-45</v>
      </c>
      <c r="D277" t="s">
        <v>38</v>
      </c>
      <c r="E277" t="s">
        <v>50</v>
      </c>
      <c r="F277" s="3">
        <v>1389</v>
      </c>
      <c r="G277" t="s">
        <v>40</v>
      </c>
      <c r="H277" s="1">
        <v>1</v>
      </c>
      <c r="I277" t="s">
        <v>60</v>
      </c>
      <c r="J277" t="s">
        <v>46</v>
      </c>
      <c r="K277" t="s">
        <v>59</v>
      </c>
      <c r="L277" t="s">
        <v>35</v>
      </c>
      <c r="M277" s="3">
        <v>80</v>
      </c>
      <c r="N277" t="s">
        <v>60</v>
      </c>
      <c r="O277" t="s">
        <v>60</v>
      </c>
      <c r="P277" t="s">
        <v>53</v>
      </c>
      <c r="Q277" t="s">
        <v>62</v>
      </c>
      <c r="R277" t="s">
        <v>47</v>
      </c>
      <c r="S277" s="3">
        <v>13603</v>
      </c>
      <c r="T277" s="3">
        <v>11677</v>
      </c>
      <c r="U277" s="3" t="str">
        <f t="shared" si="19"/>
        <v>High</v>
      </c>
      <c r="V277">
        <v>2</v>
      </c>
      <c r="W277" t="s">
        <v>31</v>
      </c>
      <c r="X277" s="2">
        <v>18</v>
      </c>
      <c r="Y277" t="s">
        <v>60</v>
      </c>
      <c r="Z277" t="s">
        <v>59</v>
      </c>
      <c r="AA277">
        <v>2</v>
      </c>
      <c r="AB277">
        <v>15</v>
      </c>
      <c r="AC277">
        <v>2</v>
      </c>
      <c r="AD277">
        <v>3</v>
      </c>
      <c r="AE277">
        <v>5</v>
      </c>
      <c r="AF277">
        <v>2</v>
      </c>
      <c r="AG277">
        <v>0</v>
      </c>
      <c r="AH277">
        <v>2</v>
      </c>
      <c r="AI277" t="str">
        <f t="shared" si="16"/>
        <v>3-5 Years</v>
      </c>
      <c r="AJ277" t="str">
        <f t="shared" si="17"/>
        <v>0-2</v>
      </c>
    </row>
    <row r="278" spans="1:36" x14ac:dyDescent="0.35">
      <c r="A278">
        <v>277</v>
      </c>
      <c r="B278">
        <v>35</v>
      </c>
      <c r="C278" t="str">
        <f t="shared" si="18"/>
        <v>26-35</v>
      </c>
      <c r="D278" t="s">
        <v>38</v>
      </c>
      <c r="E278" t="s">
        <v>32</v>
      </c>
      <c r="F278" s="3">
        <v>1389</v>
      </c>
      <c r="G278" t="s">
        <v>40</v>
      </c>
      <c r="H278" s="1">
        <v>22</v>
      </c>
      <c r="I278" t="s">
        <v>61</v>
      </c>
      <c r="J278" t="s">
        <v>34</v>
      </c>
      <c r="K278" t="s">
        <v>61</v>
      </c>
      <c r="L278" t="s">
        <v>35</v>
      </c>
      <c r="M278" s="3">
        <v>71</v>
      </c>
      <c r="N278" t="s">
        <v>62</v>
      </c>
      <c r="O278" t="s">
        <v>60</v>
      </c>
      <c r="P278" t="s">
        <v>51</v>
      </c>
      <c r="Q278" t="s">
        <v>61</v>
      </c>
      <c r="R278" t="s">
        <v>47</v>
      </c>
      <c r="S278" s="3">
        <v>11996</v>
      </c>
      <c r="T278" s="3">
        <v>19100</v>
      </c>
      <c r="U278" s="3" t="str">
        <f t="shared" si="19"/>
        <v>High</v>
      </c>
      <c r="V278">
        <v>7</v>
      </c>
      <c r="W278" t="s">
        <v>38</v>
      </c>
      <c r="X278" s="2">
        <v>18</v>
      </c>
      <c r="Y278" t="s">
        <v>60</v>
      </c>
      <c r="Z278" t="s">
        <v>61</v>
      </c>
      <c r="AA278">
        <v>1</v>
      </c>
      <c r="AB278">
        <v>10</v>
      </c>
      <c r="AC278">
        <v>6</v>
      </c>
      <c r="AD278">
        <v>2</v>
      </c>
      <c r="AE278">
        <v>7</v>
      </c>
      <c r="AF278">
        <v>7</v>
      </c>
      <c r="AG278">
        <v>6</v>
      </c>
      <c r="AH278">
        <v>2</v>
      </c>
      <c r="AI278" t="str">
        <f t="shared" si="16"/>
        <v>6-10 Years</v>
      </c>
      <c r="AJ278" t="str">
        <f t="shared" si="17"/>
        <v>6+</v>
      </c>
    </row>
    <row r="279" spans="1:36" x14ac:dyDescent="0.35">
      <c r="A279">
        <v>278</v>
      </c>
      <c r="B279">
        <v>38</v>
      </c>
      <c r="C279" t="str">
        <f t="shared" si="18"/>
        <v>36-45</v>
      </c>
      <c r="D279" t="s">
        <v>38</v>
      </c>
      <c r="E279" t="s">
        <v>32</v>
      </c>
      <c r="F279" s="3">
        <v>1389</v>
      </c>
      <c r="G279" t="s">
        <v>33</v>
      </c>
      <c r="H279" s="1">
        <v>7</v>
      </c>
      <c r="I279" t="s">
        <v>58</v>
      </c>
      <c r="J279" t="s">
        <v>46</v>
      </c>
      <c r="K279" t="s">
        <v>59</v>
      </c>
      <c r="L279" t="s">
        <v>35</v>
      </c>
      <c r="M279" s="3">
        <v>44</v>
      </c>
      <c r="N279" t="s">
        <v>62</v>
      </c>
      <c r="O279" t="s">
        <v>61</v>
      </c>
      <c r="P279" t="s">
        <v>36</v>
      </c>
      <c r="Q279" t="s">
        <v>59</v>
      </c>
      <c r="R279" t="s">
        <v>47</v>
      </c>
      <c r="S279" s="3">
        <v>5605</v>
      </c>
      <c r="T279" s="3">
        <v>19191</v>
      </c>
      <c r="U279" s="3" t="str">
        <f t="shared" si="19"/>
        <v>Medium</v>
      </c>
      <c r="V279">
        <v>1</v>
      </c>
      <c r="W279" t="s">
        <v>31</v>
      </c>
      <c r="X279" s="2">
        <v>24</v>
      </c>
      <c r="Y279" t="s">
        <v>62</v>
      </c>
      <c r="Z279" t="s">
        <v>60</v>
      </c>
      <c r="AA279">
        <v>1</v>
      </c>
      <c r="AB279">
        <v>8</v>
      </c>
      <c r="AC279">
        <v>3</v>
      </c>
      <c r="AD279">
        <v>3</v>
      </c>
      <c r="AE279">
        <v>8</v>
      </c>
      <c r="AF279">
        <v>0</v>
      </c>
      <c r="AG279">
        <v>7</v>
      </c>
      <c r="AH279">
        <v>7</v>
      </c>
      <c r="AI279" t="str">
        <f t="shared" si="16"/>
        <v>6-10 Years</v>
      </c>
      <c r="AJ279" t="str">
        <f t="shared" si="17"/>
        <v>6+</v>
      </c>
    </row>
    <row r="280" spans="1:36" x14ac:dyDescent="0.35">
      <c r="A280">
        <v>279</v>
      </c>
      <c r="B280">
        <v>26</v>
      </c>
      <c r="C280" t="str">
        <f t="shared" si="18"/>
        <v>26-35</v>
      </c>
      <c r="D280" t="s">
        <v>38</v>
      </c>
      <c r="E280" t="s">
        <v>39</v>
      </c>
      <c r="F280" s="3">
        <v>1389</v>
      </c>
      <c r="G280" t="s">
        <v>40</v>
      </c>
      <c r="H280" s="1">
        <v>1</v>
      </c>
      <c r="I280" t="s">
        <v>61</v>
      </c>
      <c r="J280" t="s">
        <v>34</v>
      </c>
      <c r="K280" t="s">
        <v>60</v>
      </c>
      <c r="L280" t="s">
        <v>35</v>
      </c>
      <c r="M280" s="3">
        <v>84</v>
      </c>
      <c r="N280" t="s">
        <v>60</v>
      </c>
      <c r="O280" t="s">
        <v>61</v>
      </c>
      <c r="P280" t="s">
        <v>48</v>
      </c>
      <c r="Q280" t="s">
        <v>61</v>
      </c>
      <c r="R280" t="s">
        <v>47</v>
      </c>
      <c r="S280" s="3">
        <v>6397</v>
      </c>
      <c r="T280" s="3">
        <v>26767</v>
      </c>
      <c r="U280" s="3" t="str">
        <f t="shared" si="19"/>
        <v>Medium</v>
      </c>
      <c r="V280">
        <v>1</v>
      </c>
      <c r="W280" t="s">
        <v>38</v>
      </c>
      <c r="X280" s="2">
        <v>20</v>
      </c>
      <c r="Y280" t="s">
        <v>62</v>
      </c>
      <c r="Z280" t="s">
        <v>59</v>
      </c>
      <c r="AA280">
        <v>1</v>
      </c>
      <c r="AB280">
        <v>6</v>
      </c>
      <c r="AC280">
        <v>6</v>
      </c>
      <c r="AD280">
        <v>1</v>
      </c>
      <c r="AE280">
        <v>6</v>
      </c>
      <c r="AF280">
        <v>5</v>
      </c>
      <c r="AG280">
        <v>1</v>
      </c>
      <c r="AH280">
        <v>4</v>
      </c>
      <c r="AI280" t="str">
        <f t="shared" si="16"/>
        <v>6-10 Years</v>
      </c>
      <c r="AJ280" t="str">
        <f t="shared" si="17"/>
        <v>0-2</v>
      </c>
    </row>
    <row r="281" spans="1:36" x14ac:dyDescent="0.35">
      <c r="A281">
        <v>280</v>
      </c>
      <c r="B281">
        <v>50</v>
      </c>
      <c r="C281" t="str">
        <f t="shared" si="18"/>
        <v>46-55</v>
      </c>
      <c r="D281" t="s">
        <v>38</v>
      </c>
      <c r="E281" t="s">
        <v>32</v>
      </c>
      <c r="F281" s="3">
        <v>1389</v>
      </c>
      <c r="G281" t="s">
        <v>40</v>
      </c>
      <c r="H281" s="1">
        <v>4</v>
      </c>
      <c r="I281" t="s">
        <v>59</v>
      </c>
      <c r="J281" t="s">
        <v>34</v>
      </c>
      <c r="K281" t="s">
        <v>59</v>
      </c>
      <c r="L281" t="s">
        <v>41</v>
      </c>
      <c r="M281" s="3">
        <v>96</v>
      </c>
      <c r="N281" t="s">
        <v>60</v>
      </c>
      <c r="O281" t="e">
        <v>#N/A</v>
      </c>
      <c r="P281" t="s">
        <v>53</v>
      </c>
      <c r="Q281" t="s">
        <v>61</v>
      </c>
      <c r="R281" t="s">
        <v>47</v>
      </c>
      <c r="S281" s="3">
        <v>19144</v>
      </c>
      <c r="T281" s="3">
        <v>15815</v>
      </c>
      <c r="U281" s="3" t="str">
        <f t="shared" si="19"/>
        <v>High</v>
      </c>
      <c r="V281">
        <v>3</v>
      </c>
      <c r="W281" t="s">
        <v>38</v>
      </c>
      <c r="X281" s="2">
        <v>14</v>
      </c>
      <c r="Y281" t="s">
        <v>60</v>
      </c>
      <c r="Z281" t="s">
        <v>59</v>
      </c>
      <c r="AA281">
        <v>2</v>
      </c>
      <c r="AB281">
        <v>28</v>
      </c>
      <c r="AC281">
        <v>4</v>
      </c>
      <c r="AD281">
        <v>2</v>
      </c>
      <c r="AE281">
        <v>10</v>
      </c>
      <c r="AF281">
        <v>4</v>
      </c>
      <c r="AG281">
        <v>1</v>
      </c>
      <c r="AH281">
        <v>6</v>
      </c>
      <c r="AI281" t="str">
        <f t="shared" si="16"/>
        <v>6-10 Years</v>
      </c>
      <c r="AJ281" t="str">
        <f t="shared" si="17"/>
        <v>0-2</v>
      </c>
    </row>
    <row r="282" spans="1:36" x14ac:dyDescent="0.35">
      <c r="A282">
        <v>281</v>
      </c>
      <c r="B282">
        <v>53</v>
      </c>
      <c r="C282" t="str">
        <f t="shared" si="18"/>
        <v>46-55</v>
      </c>
      <c r="D282" t="s">
        <v>38</v>
      </c>
      <c r="E282" t="s">
        <v>32</v>
      </c>
      <c r="F282" s="3">
        <v>1389</v>
      </c>
      <c r="G282" t="s">
        <v>40</v>
      </c>
      <c r="H282" s="1">
        <v>3</v>
      </c>
      <c r="I282" t="s">
        <v>60</v>
      </c>
      <c r="J282" t="s">
        <v>46</v>
      </c>
      <c r="K282" t="s">
        <v>60</v>
      </c>
      <c r="L282" t="s">
        <v>41</v>
      </c>
      <c r="M282" s="3">
        <v>45</v>
      </c>
      <c r="N282" t="s">
        <v>60</v>
      </c>
      <c r="O282" t="s">
        <v>62</v>
      </c>
      <c r="P282" t="s">
        <v>53</v>
      </c>
      <c r="Q282" t="s">
        <v>60</v>
      </c>
      <c r="R282" t="s">
        <v>43</v>
      </c>
      <c r="S282" s="3">
        <v>17584</v>
      </c>
      <c r="T282" s="3">
        <v>21016</v>
      </c>
      <c r="U282" s="3" t="str">
        <f t="shared" si="19"/>
        <v>High</v>
      </c>
      <c r="V282">
        <v>3</v>
      </c>
      <c r="W282" t="s">
        <v>31</v>
      </c>
      <c r="X282" s="2">
        <v>16</v>
      </c>
      <c r="Y282" t="s">
        <v>60</v>
      </c>
      <c r="Z282" t="s">
        <v>62</v>
      </c>
      <c r="AA282">
        <v>3</v>
      </c>
      <c r="AB282">
        <v>21</v>
      </c>
      <c r="AC282">
        <v>5</v>
      </c>
      <c r="AD282">
        <v>2</v>
      </c>
      <c r="AE282">
        <v>5</v>
      </c>
      <c r="AF282">
        <v>3</v>
      </c>
      <c r="AG282">
        <v>1</v>
      </c>
      <c r="AH282">
        <v>3</v>
      </c>
      <c r="AI282" t="str">
        <f t="shared" si="16"/>
        <v>3-5 Years</v>
      </c>
      <c r="AJ282" t="str">
        <f t="shared" si="17"/>
        <v>0-2</v>
      </c>
    </row>
    <row r="283" spans="1:36" x14ac:dyDescent="0.35">
      <c r="A283">
        <v>282</v>
      </c>
      <c r="B283">
        <v>42</v>
      </c>
      <c r="C283" t="str">
        <f t="shared" si="18"/>
        <v>36-45</v>
      </c>
      <c r="D283" t="s">
        <v>38</v>
      </c>
      <c r="E283" t="s">
        <v>32</v>
      </c>
      <c r="F283" s="3">
        <v>1389</v>
      </c>
      <c r="G283" t="s">
        <v>33</v>
      </c>
      <c r="H283" s="1">
        <v>1</v>
      </c>
      <c r="I283" t="s">
        <v>59</v>
      </c>
      <c r="J283" t="s">
        <v>34</v>
      </c>
      <c r="K283" t="s">
        <v>61</v>
      </c>
      <c r="L283" t="s">
        <v>41</v>
      </c>
      <c r="M283" s="3">
        <v>99</v>
      </c>
      <c r="N283" t="s">
        <v>60</v>
      </c>
      <c r="O283" t="s">
        <v>61</v>
      </c>
      <c r="P283" t="s">
        <v>36</v>
      </c>
      <c r="Q283" t="s">
        <v>60</v>
      </c>
      <c r="R283" t="s">
        <v>43</v>
      </c>
      <c r="S283" s="3">
        <v>4907</v>
      </c>
      <c r="T283" s="3">
        <v>24532</v>
      </c>
      <c r="U283" s="3" t="str">
        <f t="shared" si="19"/>
        <v>Low</v>
      </c>
      <c r="V283">
        <v>1</v>
      </c>
      <c r="W283" t="s">
        <v>38</v>
      </c>
      <c r="X283" s="2">
        <v>25</v>
      </c>
      <c r="Y283" t="s">
        <v>62</v>
      </c>
      <c r="Z283" t="s">
        <v>60</v>
      </c>
      <c r="AA283">
        <v>0</v>
      </c>
      <c r="AB283">
        <v>20</v>
      </c>
      <c r="AC283">
        <v>3</v>
      </c>
      <c r="AD283">
        <v>3</v>
      </c>
      <c r="AE283">
        <v>20</v>
      </c>
      <c r="AF283">
        <v>16</v>
      </c>
      <c r="AG283">
        <v>11</v>
      </c>
      <c r="AH283">
        <v>6</v>
      </c>
      <c r="AI283" t="str">
        <f t="shared" si="16"/>
        <v>10+ Years</v>
      </c>
      <c r="AJ283" t="str">
        <f t="shared" si="17"/>
        <v>6+</v>
      </c>
    </row>
    <row r="284" spans="1:36" x14ac:dyDescent="0.35">
      <c r="A284">
        <v>283</v>
      </c>
      <c r="B284">
        <v>29</v>
      </c>
      <c r="C284" t="str">
        <f t="shared" si="18"/>
        <v>26-35</v>
      </c>
      <c r="D284" t="s">
        <v>38</v>
      </c>
      <c r="E284" t="s">
        <v>39</v>
      </c>
      <c r="F284" s="3">
        <v>1389</v>
      </c>
      <c r="G284" t="s">
        <v>33</v>
      </c>
      <c r="H284" s="1">
        <v>2</v>
      </c>
      <c r="I284" t="s">
        <v>58</v>
      </c>
      <c r="J284" t="s">
        <v>34</v>
      </c>
      <c r="K284" t="s">
        <v>61</v>
      </c>
      <c r="L284" t="s">
        <v>41</v>
      </c>
      <c r="M284" s="3">
        <v>44</v>
      </c>
      <c r="N284" t="s">
        <v>60</v>
      </c>
      <c r="O284" t="s">
        <v>61</v>
      </c>
      <c r="P284" t="s">
        <v>36</v>
      </c>
      <c r="Q284" t="s">
        <v>62</v>
      </c>
      <c r="R284" t="s">
        <v>37</v>
      </c>
      <c r="S284" s="3">
        <v>4554</v>
      </c>
      <c r="T284" s="3">
        <v>20260</v>
      </c>
      <c r="U284" s="3" t="str">
        <f t="shared" si="19"/>
        <v>Low</v>
      </c>
      <c r="V284">
        <v>1</v>
      </c>
      <c r="W284" t="s">
        <v>38</v>
      </c>
      <c r="X284" s="2">
        <v>18</v>
      </c>
      <c r="Y284" t="s">
        <v>60</v>
      </c>
      <c r="Z284" t="s">
        <v>59</v>
      </c>
      <c r="AA284">
        <v>0</v>
      </c>
      <c r="AB284">
        <v>10</v>
      </c>
      <c r="AC284">
        <v>3</v>
      </c>
      <c r="AD284">
        <v>2</v>
      </c>
      <c r="AE284">
        <v>10</v>
      </c>
      <c r="AF284">
        <v>7</v>
      </c>
      <c r="AG284">
        <v>0</v>
      </c>
      <c r="AH284">
        <v>9</v>
      </c>
      <c r="AI284" t="str">
        <f t="shared" si="16"/>
        <v>6-10 Years</v>
      </c>
      <c r="AJ284" t="str">
        <f t="shared" si="17"/>
        <v>0-2</v>
      </c>
    </row>
    <row r="285" spans="1:36" x14ac:dyDescent="0.35">
      <c r="A285">
        <v>284</v>
      </c>
      <c r="B285">
        <v>55</v>
      </c>
      <c r="C285" t="str">
        <f t="shared" si="18"/>
        <v>46-55</v>
      </c>
      <c r="D285" t="s">
        <v>38</v>
      </c>
      <c r="E285" t="s">
        <v>32</v>
      </c>
      <c r="F285" s="3">
        <v>1389</v>
      </c>
      <c r="G285" t="s">
        <v>40</v>
      </c>
      <c r="H285" s="1">
        <v>20</v>
      </c>
      <c r="I285" t="s">
        <v>58</v>
      </c>
      <c r="J285" t="s">
        <v>55</v>
      </c>
      <c r="K285" t="s">
        <v>61</v>
      </c>
      <c r="L285" t="s">
        <v>41</v>
      </c>
      <c r="M285" s="3">
        <v>37</v>
      </c>
      <c r="N285" t="s">
        <v>60</v>
      </c>
      <c r="O285" t="s">
        <v>61</v>
      </c>
      <c r="P285" t="s">
        <v>45</v>
      </c>
      <c r="Q285" t="s">
        <v>62</v>
      </c>
      <c r="R285" t="s">
        <v>43</v>
      </c>
      <c r="S285" s="3">
        <v>5415</v>
      </c>
      <c r="T285" s="3">
        <v>15972</v>
      </c>
      <c r="U285" s="3" t="str">
        <f t="shared" si="19"/>
        <v>Medium</v>
      </c>
      <c r="V285">
        <v>3</v>
      </c>
      <c r="W285" t="s">
        <v>31</v>
      </c>
      <c r="X285" s="2">
        <v>19</v>
      </c>
      <c r="Y285" t="s">
        <v>60</v>
      </c>
      <c r="Z285" t="s">
        <v>62</v>
      </c>
      <c r="AA285">
        <v>1</v>
      </c>
      <c r="AB285">
        <v>12</v>
      </c>
      <c r="AC285">
        <v>4</v>
      </c>
      <c r="AD285">
        <v>3</v>
      </c>
      <c r="AE285">
        <v>10</v>
      </c>
      <c r="AF285">
        <v>7</v>
      </c>
      <c r="AG285">
        <v>0</v>
      </c>
      <c r="AH285">
        <v>8</v>
      </c>
      <c r="AI285" t="str">
        <f t="shared" si="16"/>
        <v>6-10 Years</v>
      </c>
      <c r="AJ285" t="str">
        <f t="shared" si="17"/>
        <v>0-2</v>
      </c>
    </row>
    <row r="286" spans="1:36" x14ac:dyDescent="0.35">
      <c r="A286">
        <v>285</v>
      </c>
      <c r="B286">
        <v>26</v>
      </c>
      <c r="C286" t="str">
        <f t="shared" si="18"/>
        <v>26-35</v>
      </c>
      <c r="D286" t="s">
        <v>38</v>
      </c>
      <c r="E286" t="s">
        <v>39</v>
      </c>
      <c r="F286" s="3">
        <v>1389</v>
      </c>
      <c r="G286" t="s">
        <v>40</v>
      </c>
      <c r="H286" s="1">
        <v>11</v>
      </c>
      <c r="I286" t="s">
        <v>58</v>
      </c>
      <c r="J286" t="s">
        <v>46</v>
      </c>
      <c r="K286" t="s">
        <v>59</v>
      </c>
      <c r="L286" t="s">
        <v>41</v>
      </c>
      <c r="M286" s="3">
        <v>60</v>
      </c>
      <c r="N286" t="s">
        <v>60</v>
      </c>
      <c r="O286" t="s">
        <v>61</v>
      </c>
      <c r="P286" t="s">
        <v>49</v>
      </c>
      <c r="Q286" t="s">
        <v>59</v>
      </c>
      <c r="R286" t="s">
        <v>43</v>
      </c>
      <c r="S286" s="3">
        <v>4741</v>
      </c>
      <c r="T286" s="3">
        <v>22722</v>
      </c>
      <c r="U286" s="3" t="str">
        <f t="shared" si="19"/>
        <v>Low</v>
      </c>
      <c r="V286">
        <v>1</v>
      </c>
      <c r="W286" t="s">
        <v>31</v>
      </c>
      <c r="X286" s="2">
        <v>13</v>
      </c>
      <c r="Y286" t="s">
        <v>60</v>
      </c>
      <c r="Z286" t="s">
        <v>60</v>
      </c>
      <c r="AA286">
        <v>1</v>
      </c>
      <c r="AB286">
        <v>5</v>
      </c>
      <c r="AC286">
        <v>3</v>
      </c>
      <c r="AD286">
        <v>3</v>
      </c>
      <c r="AE286">
        <v>5</v>
      </c>
      <c r="AF286">
        <v>3</v>
      </c>
      <c r="AG286">
        <v>3</v>
      </c>
      <c r="AH286">
        <v>3</v>
      </c>
      <c r="AI286" t="str">
        <f t="shared" si="16"/>
        <v>3-5 Years</v>
      </c>
      <c r="AJ286" t="str">
        <f t="shared" si="17"/>
        <v>3-5</v>
      </c>
    </row>
    <row r="287" spans="1:36" x14ac:dyDescent="0.35">
      <c r="A287">
        <v>286</v>
      </c>
      <c r="B287">
        <v>37</v>
      </c>
      <c r="C287" t="str">
        <f t="shared" si="18"/>
        <v>36-45</v>
      </c>
      <c r="D287" t="s">
        <v>38</v>
      </c>
      <c r="E287" t="s">
        <v>32</v>
      </c>
      <c r="F287" s="3">
        <v>1389</v>
      </c>
      <c r="G287" t="s">
        <v>40</v>
      </c>
      <c r="H287" s="1">
        <v>1</v>
      </c>
      <c r="I287" t="s">
        <v>61</v>
      </c>
      <c r="J287" t="s">
        <v>34</v>
      </c>
      <c r="K287" t="s">
        <v>62</v>
      </c>
      <c r="L287" t="s">
        <v>35</v>
      </c>
      <c r="M287" s="3">
        <v>42</v>
      </c>
      <c r="N287" t="s">
        <v>60</v>
      </c>
      <c r="O287" t="s">
        <v>59</v>
      </c>
      <c r="P287" t="s">
        <v>42</v>
      </c>
      <c r="Q287" t="s">
        <v>62</v>
      </c>
      <c r="R287" t="s">
        <v>37</v>
      </c>
      <c r="S287" s="3">
        <v>2115</v>
      </c>
      <c r="T287" s="3">
        <v>15881</v>
      </c>
      <c r="U287" s="3" t="str">
        <f t="shared" si="19"/>
        <v>Low</v>
      </c>
      <c r="V287">
        <v>1</v>
      </c>
      <c r="W287" t="s">
        <v>38</v>
      </c>
      <c r="X287" s="2">
        <v>12</v>
      </c>
      <c r="Y287" t="s">
        <v>60</v>
      </c>
      <c r="Z287" t="s">
        <v>61</v>
      </c>
      <c r="AA287">
        <v>0</v>
      </c>
      <c r="AB287">
        <v>17</v>
      </c>
      <c r="AC287">
        <v>3</v>
      </c>
      <c r="AD287">
        <v>3</v>
      </c>
      <c r="AE287">
        <v>17</v>
      </c>
      <c r="AF287">
        <v>12</v>
      </c>
      <c r="AG287">
        <v>5</v>
      </c>
      <c r="AH287">
        <v>7</v>
      </c>
      <c r="AI287" t="str">
        <f t="shared" si="16"/>
        <v>10+ Years</v>
      </c>
      <c r="AJ287" t="str">
        <f t="shared" si="17"/>
        <v>3-5</v>
      </c>
    </row>
    <row r="288" spans="1:36" x14ac:dyDescent="0.35">
      <c r="A288">
        <v>287</v>
      </c>
      <c r="B288">
        <v>44</v>
      </c>
      <c r="C288" t="str">
        <f t="shared" si="18"/>
        <v>36-45</v>
      </c>
      <c r="D288" t="s">
        <v>31</v>
      </c>
      <c r="E288" t="s">
        <v>39</v>
      </c>
      <c r="F288" s="3">
        <v>1389</v>
      </c>
      <c r="G288" t="s">
        <v>40</v>
      </c>
      <c r="H288" s="1">
        <v>24</v>
      </c>
      <c r="I288" t="s">
        <v>61</v>
      </c>
      <c r="J288" t="s">
        <v>34</v>
      </c>
      <c r="K288" t="s">
        <v>62</v>
      </c>
      <c r="L288" t="s">
        <v>41</v>
      </c>
      <c r="M288" s="3">
        <v>43</v>
      </c>
      <c r="N288" t="s">
        <v>60</v>
      </c>
      <c r="O288" t="s">
        <v>59</v>
      </c>
      <c r="P288" t="s">
        <v>45</v>
      </c>
      <c r="Q288" t="s">
        <v>60</v>
      </c>
      <c r="R288" t="s">
        <v>47</v>
      </c>
      <c r="S288" s="3">
        <v>3161</v>
      </c>
      <c r="T288" s="3">
        <v>19920</v>
      </c>
      <c r="U288" s="3" t="str">
        <f t="shared" si="19"/>
        <v>Low</v>
      </c>
      <c r="V288">
        <v>3</v>
      </c>
      <c r="W288" t="s">
        <v>31</v>
      </c>
      <c r="X288" s="2">
        <v>22</v>
      </c>
      <c r="Y288" t="s">
        <v>62</v>
      </c>
      <c r="Z288" t="s">
        <v>62</v>
      </c>
      <c r="AA288">
        <v>1</v>
      </c>
      <c r="AB288">
        <v>19</v>
      </c>
      <c r="AC288">
        <v>0</v>
      </c>
      <c r="AD288">
        <v>1</v>
      </c>
      <c r="AE288">
        <v>1</v>
      </c>
      <c r="AF288">
        <v>0</v>
      </c>
      <c r="AG288">
        <v>0</v>
      </c>
      <c r="AH288">
        <v>0</v>
      </c>
      <c r="AI288" t="str">
        <f t="shared" si="16"/>
        <v>0-2 Years</v>
      </c>
      <c r="AJ288" t="str">
        <f t="shared" si="17"/>
        <v>0-2</v>
      </c>
    </row>
    <row r="289" spans="1:36" x14ac:dyDescent="0.35">
      <c r="A289">
        <v>288</v>
      </c>
      <c r="B289">
        <v>38</v>
      </c>
      <c r="C289" t="str">
        <f t="shared" si="18"/>
        <v>36-45</v>
      </c>
      <c r="D289" t="s">
        <v>38</v>
      </c>
      <c r="E289" t="s">
        <v>32</v>
      </c>
      <c r="F289" s="3">
        <v>1389</v>
      </c>
      <c r="G289" t="s">
        <v>40</v>
      </c>
      <c r="H289" s="1">
        <v>23</v>
      </c>
      <c r="I289" t="s">
        <v>60</v>
      </c>
      <c r="J289" t="s">
        <v>34</v>
      </c>
      <c r="K289" t="s">
        <v>62</v>
      </c>
      <c r="L289" t="s">
        <v>41</v>
      </c>
      <c r="M289" s="3">
        <v>82</v>
      </c>
      <c r="N289" t="s">
        <v>60</v>
      </c>
      <c r="O289" t="s">
        <v>61</v>
      </c>
      <c r="P289" t="s">
        <v>49</v>
      </c>
      <c r="Q289" t="s">
        <v>62</v>
      </c>
      <c r="R289" t="s">
        <v>47</v>
      </c>
      <c r="S289" s="3">
        <v>5745</v>
      </c>
      <c r="T289" s="3">
        <v>18899</v>
      </c>
      <c r="U289" s="3" t="str">
        <f t="shared" si="19"/>
        <v>Medium</v>
      </c>
      <c r="V289">
        <v>9</v>
      </c>
      <c r="W289" t="s">
        <v>38</v>
      </c>
      <c r="X289" s="2">
        <v>14</v>
      </c>
      <c r="Y289" t="s">
        <v>60</v>
      </c>
      <c r="Z289" t="s">
        <v>61</v>
      </c>
      <c r="AA289">
        <v>1</v>
      </c>
      <c r="AB289">
        <v>10</v>
      </c>
      <c r="AC289">
        <v>2</v>
      </c>
      <c r="AD289">
        <v>3</v>
      </c>
      <c r="AE289">
        <v>2</v>
      </c>
      <c r="AF289">
        <v>2</v>
      </c>
      <c r="AG289">
        <v>1</v>
      </c>
      <c r="AH289">
        <v>2</v>
      </c>
      <c r="AI289" t="str">
        <f t="shared" si="16"/>
        <v>0-2 Years</v>
      </c>
      <c r="AJ289" t="str">
        <f t="shared" si="17"/>
        <v>0-2</v>
      </c>
    </row>
    <row r="290" spans="1:36" x14ac:dyDescent="0.35">
      <c r="A290">
        <v>289</v>
      </c>
      <c r="B290">
        <v>26</v>
      </c>
      <c r="C290" t="str">
        <f t="shared" si="18"/>
        <v>26-35</v>
      </c>
      <c r="D290" t="s">
        <v>31</v>
      </c>
      <c r="E290" t="s">
        <v>32</v>
      </c>
      <c r="F290" s="3">
        <v>1389</v>
      </c>
      <c r="G290" t="s">
        <v>40</v>
      </c>
      <c r="H290" s="1">
        <v>16</v>
      </c>
      <c r="I290" t="s">
        <v>60</v>
      </c>
      <c r="J290" t="s">
        <v>46</v>
      </c>
      <c r="K290" t="s">
        <v>59</v>
      </c>
      <c r="L290" t="s">
        <v>41</v>
      </c>
      <c r="M290" s="3">
        <v>45</v>
      </c>
      <c r="N290" t="s">
        <v>60</v>
      </c>
      <c r="O290" t="s">
        <v>59</v>
      </c>
      <c r="P290" t="s">
        <v>45</v>
      </c>
      <c r="Q290" t="s">
        <v>61</v>
      </c>
      <c r="R290" t="s">
        <v>47</v>
      </c>
      <c r="S290" s="3">
        <v>2373</v>
      </c>
      <c r="T290" s="3">
        <v>14180</v>
      </c>
      <c r="U290" s="3" t="str">
        <f t="shared" si="19"/>
        <v>Low</v>
      </c>
      <c r="V290">
        <v>2</v>
      </c>
      <c r="W290" t="s">
        <v>31</v>
      </c>
      <c r="X290" s="2">
        <v>13</v>
      </c>
      <c r="Y290" t="s">
        <v>60</v>
      </c>
      <c r="Z290" t="s">
        <v>62</v>
      </c>
      <c r="AA290">
        <v>1</v>
      </c>
      <c r="AB290">
        <v>5</v>
      </c>
      <c r="AC290">
        <v>2</v>
      </c>
      <c r="AD290">
        <v>3</v>
      </c>
      <c r="AE290">
        <v>3</v>
      </c>
      <c r="AF290">
        <v>2</v>
      </c>
      <c r="AG290">
        <v>0</v>
      </c>
      <c r="AH290">
        <v>2</v>
      </c>
      <c r="AI290" t="str">
        <f t="shared" si="16"/>
        <v>3-5 Years</v>
      </c>
      <c r="AJ290" t="str">
        <f t="shared" si="17"/>
        <v>0-2</v>
      </c>
    </row>
    <row r="291" spans="1:36" x14ac:dyDescent="0.35">
      <c r="A291">
        <v>290</v>
      </c>
      <c r="B291">
        <v>28</v>
      </c>
      <c r="C291" t="str">
        <f t="shared" si="18"/>
        <v>26-35</v>
      </c>
      <c r="D291" t="s">
        <v>38</v>
      </c>
      <c r="E291" t="s">
        <v>32</v>
      </c>
      <c r="F291" s="3">
        <v>1389</v>
      </c>
      <c r="G291" t="s">
        <v>40</v>
      </c>
      <c r="H291" s="1">
        <v>8</v>
      </c>
      <c r="I291" t="s">
        <v>58</v>
      </c>
      <c r="J291" t="s">
        <v>34</v>
      </c>
      <c r="K291" t="s">
        <v>62</v>
      </c>
      <c r="L291" t="s">
        <v>35</v>
      </c>
      <c r="M291" s="3">
        <v>66</v>
      </c>
      <c r="N291" t="s">
        <v>60</v>
      </c>
      <c r="O291" t="s">
        <v>59</v>
      </c>
      <c r="P291" t="s">
        <v>42</v>
      </c>
      <c r="Q291" t="s">
        <v>62</v>
      </c>
      <c r="R291" t="s">
        <v>37</v>
      </c>
      <c r="S291" s="3">
        <v>3310</v>
      </c>
      <c r="T291" s="3">
        <v>4488</v>
      </c>
      <c r="U291" s="3" t="str">
        <f t="shared" si="19"/>
        <v>Low</v>
      </c>
      <c r="V291">
        <v>1</v>
      </c>
      <c r="W291" t="s">
        <v>38</v>
      </c>
      <c r="X291" s="2">
        <v>21</v>
      </c>
      <c r="Y291" t="s">
        <v>62</v>
      </c>
      <c r="Z291" t="s">
        <v>62</v>
      </c>
      <c r="AA291">
        <v>0</v>
      </c>
      <c r="AB291">
        <v>5</v>
      </c>
      <c r="AC291">
        <v>3</v>
      </c>
      <c r="AD291">
        <v>3</v>
      </c>
      <c r="AE291">
        <v>5</v>
      </c>
      <c r="AF291">
        <v>3</v>
      </c>
      <c r="AG291">
        <v>0</v>
      </c>
      <c r="AH291">
        <v>2</v>
      </c>
      <c r="AI291" t="str">
        <f t="shared" si="16"/>
        <v>3-5 Years</v>
      </c>
      <c r="AJ291" t="str">
        <f t="shared" si="17"/>
        <v>0-2</v>
      </c>
    </row>
    <row r="292" spans="1:36" x14ac:dyDescent="0.35">
      <c r="A292">
        <v>291</v>
      </c>
      <c r="B292">
        <v>49</v>
      </c>
      <c r="C292" t="str">
        <f t="shared" si="18"/>
        <v>46-55</v>
      </c>
      <c r="D292" t="s">
        <v>38</v>
      </c>
      <c r="E292" t="s">
        <v>39</v>
      </c>
      <c r="F292" s="3">
        <v>1389</v>
      </c>
      <c r="G292" t="s">
        <v>40</v>
      </c>
      <c r="H292" s="1">
        <v>10</v>
      </c>
      <c r="I292" t="s">
        <v>60</v>
      </c>
      <c r="J292" t="s">
        <v>34</v>
      </c>
      <c r="K292" t="s">
        <v>60</v>
      </c>
      <c r="L292" t="s">
        <v>35</v>
      </c>
      <c r="M292" s="3">
        <v>35</v>
      </c>
      <c r="N292" t="s">
        <v>60</v>
      </c>
      <c r="O292" t="e">
        <v>#N/A</v>
      </c>
      <c r="P292" t="s">
        <v>53</v>
      </c>
      <c r="Q292" t="s">
        <v>59</v>
      </c>
      <c r="R292" t="s">
        <v>37</v>
      </c>
      <c r="S292" s="3">
        <v>18665</v>
      </c>
      <c r="T292" s="3">
        <v>25594</v>
      </c>
      <c r="U292" s="3" t="str">
        <f t="shared" si="19"/>
        <v>High</v>
      </c>
      <c r="V292">
        <v>9</v>
      </c>
      <c r="W292" t="s">
        <v>31</v>
      </c>
      <c r="X292" s="2">
        <v>11</v>
      </c>
      <c r="Y292" t="s">
        <v>60</v>
      </c>
      <c r="Z292" t="s">
        <v>62</v>
      </c>
      <c r="AA292">
        <v>0</v>
      </c>
      <c r="AB292">
        <v>22</v>
      </c>
      <c r="AC292">
        <v>4</v>
      </c>
      <c r="AD292">
        <v>3</v>
      </c>
      <c r="AE292">
        <v>3</v>
      </c>
      <c r="AF292">
        <v>2</v>
      </c>
      <c r="AG292">
        <v>1</v>
      </c>
      <c r="AH292">
        <v>2</v>
      </c>
      <c r="AI292" t="str">
        <f t="shared" si="16"/>
        <v>3-5 Years</v>
      </c>
      <c r="AJ292" t="str">
        <f t="shared" si="17"/>
        <v>0-2</v>
      </c>
    </row>
    <row r="293" spans="1:36" x14ac:dyDescent="0.35">
      <c r="A293">
        <v>292</v>
      </c>
      <c r="B293">
        <v>36</v>
      </c>
      <c r="C293" t="str">
        <f t="shared" si="18"/>
        <v>36-45</v>
      </c>
      <c r="D293" t="s">
        <v>38</v>
      </c>
      <c r="E293" t="s">
        <v>32</v>
      </c>
      <c r="F293" s="3">
        <v>1389</v>
      </c>
      <c r="G293" t="s">
        <v>40</v>
      </c>
      <c r="H293" s="1">
        <v>3</v>
      </c>
      <c r="I293" t="s">
        <v>61</v>
      </c>
      <c r="J293" t="s">
        <v>55</v>
      </c>
      <c r="K293" t="s">
        <v>60</v>
      </c>
      <c r="L293" t="s">
        <v>41</v>
      </c>
      <c r="M293" s="3">
        <v>30</v>
      </c>
      <c r="N293" t="s">
        <v>60</v>
      </c>
      <c r="O293" t="s">
        <v>61</v>
      </c>
      <c r="P293" t="s">
        <v>42</v>
      </c>
      <c r="Q293" t="s">
        <v>61</v>
      </c>
      <c r="R293" t="s">
        <v>37</v>
      </c>
      <c r="S293" s="3">
        <v>4485</v>
      </c>
      <c r="T293" s="3">
        <v>26285</v>
      </c>
      <c r="U293" s="3" t="str">
        <f t="shared" si="19"/>
        <v>Low</v>
      </c>
      <c r="V293">
        <v>4</v>
      </c>
      <c r="W293" t="s">
        <v>38</v>
      </c>
      <c r="X293" s="2">
        <v>12</v>
      </c>
      <c r="Y293" t="s">
        <v>60</v>
      </c>
      <c r="Z293" t="s">
        <v>62</v>
      </c>
      <c r="AA293">
        <v>0</v>
      </c>
      <c r="AB293">
        <v>10</v>
      </c>
      <c r="AC293">
        <v>2</v>
      </c>
      <c r="AD293">
        <v>3</v>
      </c>
      <c r="AE293">
        <v>8</v>
      </c>
      <c r="AF293">
        <v>0</v>
      </c>
      <c r="AG293">
        <v>7</v>
      </c>
      <c r="AH293">
        <v>7</v>
      </c>
      <c r="AI293" t="str">
        <f t="shared" si="16"/>
        <v>6-10 Years</v>
      </c>
      <c r="AJ293" t="str">
        <f t="shared" si="17"/>
        <v>6+</v>
      </c>
    </row>
    <row r="294" spans="1:36" x14ac:dyDescent="0.35">
      <c r="A294">
        <v>293</v>
      </c>
      <c r="B294">
        <v>31</v>
      </c>
      <c r="C294" t="str">
        <f t="shared" si="18"/>
        <v>26-35</v>
      </c>
      <c r="D294" t="s">
        <v>38</v>
      </c>
      <c r="E294" t="s">
        <v>39</v>
      </c>
      <c r="F294" s="3">
        <v>1389</v>
      </c>
      <c r="G294" t="s">
        <v>33</v>
      </c>
      <c r="H294" s="1">
        <v>5</v>
      </c>
      <c r="I294" t="s">
        <v>61</v>
      </c>
      <c r="J294" t="s">
        <v>54</v>
      </c>
      <c r="K294" t="s">
        <v>62</v>
      </c>
      <c r="L294" t="s">
        <v>35</v>
      </c>
      <c r="M294" s="3">
        <v>84</v>
      </c>
      <c r="N294" t="s">
        <v>60</v>
      </c>
      <c r="O294" t="s">
        <v>59</v>
      </c>
      <c r="P294" t="s">
        <v>52</v>
      </c>
      <c r="Q294" t="s">
        <v>61</v>
      </c>
      <c r="R294" t="s">
        <v>47</v>
      </c>
      <c r="S294" s="3">
        <v>2789</v>
      </c>
      <c r="T294" s="3">
        <v>3909</v>
      </c>
      <c r="U294" s="3" t="str">
        <f t="shared" si="19"/>
        <v>Low</v>
      </c>
      <c r="V294">
        <v>1</v>
      </c>
      <c r="W294" t="s">
        <v>38</v>
      </c>
      <c r="X294" s="2">
        <v>11</v>
      </c>
      <c r="Y294" t="s">
        <v>60</v>
      </c>
      <c r="Z294" t="s">
        <v>60</v>
      </c>
      <c r="AA294">
        <v>1</v>
      </c>
      <c r="AB294">
        <v>2</v>
      </c>
      <c r="AC294">
        <v>5</v>
      </c>
      <c r="AD294">
        <v>2</v>
      </c>
      <c r="AE294">
        <v>2</v>
      </c>
      <c r="AF294">
        <v>2</v>
      </c>
      <c r="AG294">
        <v>2</v>
      </c>
      <c r="AH294">
        <v>2</v>
      </c>
      <c r="AI294" t="str">
        <f t="shared" si="16"/>
        <v>0-2 Years</v>
      </c>
      <c r="AJ294" t="str">
        <f t="shared" si="17"/>
        <v>0-2</v>
      </c>
    </row>
    <row r="295" spans="1:36" x14ac:dyDescent="0.35">
      <c r="A295">
        <v>294</v>
      </c>
      <c r="B295">
        <v>26</v>
      </c>
      <c r="C295" t="str">
        <f t="shared" si="18"/>
        <v>26-35</v>
      </c>
      <c r="D295" t="s">
        <v>31</v>
      </c>
      <c r="E295" t="s">
        <v>32</v>
      </c>
      <c r="F295" s="3">
        <v>1389</v>
      </c>
      <c r="G295" t="s">
        <v>33</v>
      </c>
      <c r="H295" s="1">
        <v>4</v>
      </c>
      <c r="I295" t="s">
        <v>60</v>
      </c>
      <c r="J295" t="s">
        <v>54</v>
      </c>
      <c r="K295" t="s">
        <v>62</v>
      </c>
      <c r="L295" t="s">
        <v>41</v>
      </c>
      <c r="M295" s="3">
        <v>48</v>
      </c>
      <c r="N295" t="s">
        <v>61</v>
      </c>
      <c r="O295" t="s">
        <v>61</v>
      </c>
      <c r="P295" t="s">
        <v>36</v>
      </c>
      <c r="Q295" t="s">
        <v>62</v>
      </c>
      <c r="R295" t="s">
        <v>37</v>
      </c>
      <c r="S295" s="3">
        <v>5828</v>
      </c>
      <c r="T295" s="3">
        <v>8450</v>
      </c>
      <c r="U295" s="3" t="str">
        <f t="shared" si="19"/>
        <v>Medium</v>
      </c>
      <c r="V295">
        <v>1</v>
      </c>
      <c r="W295" t="s">
        <v>31</v>
      </c>
      <c r="X295" s="2">
        <v>12</v>
      </c>
      <c r="Y295" t="s">
        <v>60</v>
      </c>
      <c r="Z295" t="s">
        <v>61</v>
      </c>
      <c r="AA295">
        <v>0</v>
      </c>
      <c r="AB295">
        <v>8</v>
      </c>
      <c r="AC295">
        <v>0</v>
      </c>
      <c r="AD295">
        <v>3</v>
      </c>
      <c r="AE295">
        <v>8</v>
      </c>
      <c r="AF295">
        <v>7</v>
      </c>
      <c r="AG295">
        <v>7</v>
      </c>
      <c r="AH295">
        <v>4</v>
      </c>
      <c r="AI295" t="str">
        <f t="shared" si="16"/>
        <v>6-10 Years</v>
      </c>
      <c r="AJ295" t="str">
        <f t="shared" si="17"/>
        <v>6+</v>
      </c>
    </row>
    <row r="296" spans="1:36" x14ac:dyDescent="0.35">
      <c r="A296">
        <v>295</v>
      </c>
      <c r="B296">
        <v>37</v>
      </c>
      <c r="C296" t="str">
        <f t="shared" si="18"/>
        <v>36-45</v>
      </c>
      <c r="D296" t="s">
        <v>38</v>
      </c>
      <c r="E296" t="s">
        <v>39</v>
      </c>
      <c r="F296" s="3">
        <v>1389</v>
      </c>
      <c r="G296" t="s">
        <v>40</v>
      </c>
      <c r="H296" s="1">
        <v>9</v>
      </c>
      <c r="I296" t="s">
        <v>61</v>
      </c>
      <c r="J296" t="s">
        <v>46</v>
      </c>
      <c r="K296" t="s">
        <v>61</v>
      </c>
      <c r="L296" t="s">
        <v>41</v>
      </c>
      <c r="M296" s="3">
        <v>53</v>
      </c>
      <c r="N296" t="s">
        <v>60</v>
      </c>
      <c r="O296" t="s">
        <v>59</v>
      </c>
      <c r="P296" t="s">
        <v>42</v>
      </c>
      <c r="Q296" t="s">
        <v>62</v>
      </c>
      <c r="R296" t="s">
        <v>43</v>
      </c>
      <c r="S296" s="3">
        <v>2326</v>
      </c>
      <c r="T296" s="3">
        <v>11411</v>
      </c>
      <c r="U296" s="3" t="str">
        <f t="shared" si="19"/>
        <v>Low</v>
      </c>
      <c r="V296">
        <v>1</v>
      </c>
      <c r="W296" t="s">
        <v>31</v>
      </c>
      <c r="X296" s="2">
        <v>12</v>
      </c>
      <c r="Y296" t="s">
        <v>60</v>
      </c>
      <c r="Z296" t="s">
        <v>60</v>
      </c>
      <c r="AA296">
        <v>3</v>
      </c>
      <c r="AB296">
        <v>4</v>
      </c>
      <c r="AC296">
        <v>3</v>
      </c>
      <c r="AD296">
        <v>2</v>
      </c>
      <c r="AE296">
        <v>4</v>
      </c>
      <c r="AF296">
        <v>2</v>
      </c>
      <c r="AG296">
        <v>1</v>
      </c>
      <c r="AH296">
        <v>2</v>
      </c>
      <c r="AI296" t="str">
        <f t="shared" si="16"/>
        <v>3-5 Years</v>
      </c>
      <c r="AJ296" t="str">
        <f t="shared" si="17"/>
        <v>0-2</v>
      </c>
    </row>
    <row r="297" spans="1:36" x14ac:dyDescent="0.35">
      <c r="A297">
        <v>296</v>
      </c>
      <c r="B297">
        <v>42</v>
      </c>
      <c r="C297" t="str">
        <f t="shared" si="18"/>
        <v>36-45</v>
      </c>
      <c r="D297" t="s">
        <v>38</v>
      </c>
      <c r="E297" t="s">
        <v>39</v>
      </c>
      <c r="F297" s="3">
        <v>1389</v>
      </c>
      <c r="G297" t="s">
        <v>33</v>
      </c>
      <c r="H297" s="1">
        <v>26</v>
      </c>
      <c r="I297" t="s">
        <v>61</v>
      </c>
      <c r="J297" t="s">
        <v>54</v>
      </c>
      <c r="K297" t="s">
        <v>60</v>
      </c>
      <c r="L297" t="s">
        <v>35</v>
      </c>
      <c r="M297" s="3">
        <v>77</v>
      </c>
      <c r="N297" t="s">
        <v>60</v>
      </c>
      <c r="O297" t="s">
        <v>62</v>
      </c>
      <c r="P297" t="s">
        <v>36</v>
      </c>
      <c r="Q297" t="s">
        <v>61</v>
      </c>
      <c r="R297" t="s">
        <v>43</v>
      </c>
      <c r="S297" s="3">
        <v>13525</v>
      </c>
      <c r="T297" s="3">
        <v>14864</v>
      </c>
      <c r="U297" s="3" t="str">
        <f t="shared" si="19"/>
        <v>High</v>
      </c>
      <c r="V297">
        <v>5</v>
      </c>
      <c r="W297" t="s">
        <v>38</v>
      </c>
      <c r="X297" s="2">
        <v>14</v>
      </c>
      <c r="Y297" t="s">
        <v>60</v>
      </c>
      <c r="Z297" t="s">
        <v>62</v>
      </c>
      <c r="AA297">
        <v>1</v>
      </c>
      <c r="AB297">
        <v>23</v>
      </c>
      <c r="AC297">
        <v>2</v>
      </c>
      <c r="AD297">
        <v>4</v>
      </c>
      <c r="AE297">
        <v>20</v>
      </c>
      <c r="AF297">
        <v>4</v>
      </c>
      <c r="AG297">
        <v>4</v>
      </c>
      <c r="AH297">
        <v>8</v>
      </c>
      <c r="AI297" t="str">
        <f t="shared" si="16"/>
        <v>10+ Years</v>
      </c>
      <c r="AJ297" t="str">
        <f t="shared" si="17"/>
        <v>3-5</v>
      </c>
    </row>
    <row r="298" spans="1:36" x14ac:dyDescent="0.35">
      <c r="A298">
        <v>297</v>
      </c>
      <c r="B298">
        <v>18</v>
      </c>
      <c r="C298" t="str">
        <f t="shared" si="18"/>
        <v>18-25</v>
      </c>
      <c r="D298" t="s">
        <v>31</v>
      </c>
      <c r="E298" t="s">
        <v>32</v>
      </c>
      <c r="F298" s="3">
        <v>1389</v>
      </c>
      <c r="G298" t="s">
        <v>40</v>
      </c>
      <c r="H298" s="1">
        <v>3</v>
      </c>
      <c r="I298" t="s">
        <v>61</v>
      </c>
      <c r="J298" t="s">
        <v>34</v>
      </c>
      <c r="K298" t="s">
        <v>60</v>
      </c>
      <c r="L298" t="s">
        <v>41</v>
      </c>
      <c r="M298" s="3">
        <v>54</v>
      </c>
      <c r="N298" t="s">
        <v>60</v>
      </c>
      <c r="O298" t="s">
        <v>59</v>
      </c>
      <c r="P298" t="s">
        <v>45</v>
      </c>
      <c r="Q298" t="s">
        <v>60</v>
      </c>
      <c r="R298" t="s">
        <v>37</v>
      </c>
      <c r="S298" s="3">
        <v>1420</v>
      </c>
      <c r="T298" s="3">
        <v>25233</v>
      </c>
      <c r="U298" s="3" t="str">
        <f t="shared" si="19"/>
        <v>Low</v>
      </c>
      <c r="V298">
        <v>1</v>
      </c>
      <c r="W298" t="s">
        <v>38</v>
      </c>
      <c r="X298" s="2">
        <v>13</v>
      </c>
      <c r="Y298" t="s">
        <v>60</v>
      </c>
      <c r="Z298" t="s">
        <v>60</v>
      </c>
      <c r="AA298">
        <v>0</v>
      </c>
      <c r="AB298">
        <v>0</v>
      </c>
      <c r="AC298">
        <v>2</v>
      </c>
      <c r="AD298">
        <v>3</v>
      </c>
      <c r="AE298">
        <v>0</v>
      </c>
      <c r="AF298">
        <v>0</v>
      </c>
      <c r="AG298">
        <v>0</v>
      </c>
      <c r="AH298">
        <v>0</v>
      </c>
      <c r="AI298" t="str">
        <f t="shared" si="16"/>
        <v>0-2 Years</v>
      </c>
      <c r="AJ298" t="str">
        <f t="shared" si="17"/>
        <v>0-2</v>
      </c>
    </row>
    <row r="299" spans="1:36" x14ac:dyDescent="0.35">
      <c r="A299">
        <v>298</v>
      </c>
      <c r="B299">
        <v>35</v>
      </c>
      <c r="C299" t="str">
        <f t="shared" si="18"/>
        <v>26-35</v>
      </c>
      <c r="D299" t="s">
        <v>38</v>
      </c>
      <c r="E299" t="s">
        <v>32</v>
      </c>
      <c r="F299" s="3">
        <v>1389</v>
      </c>
      <c r="G299" t="s">
        <v>33</v>
      </c>
      <c r="H299" s="1">
        <v>16</v>
      </c>
      <c r="I299" t="s">
        <v>61</v>
      </c>
      <c r="J299" t="s">
        <v>54</v>
      </c>
      <c r="K299" t="s">
        <v>60</v>
      </c>
      <c r="L299" t="s">
        <v>41</v>
      </c>
      <c r="M299" s="3">
        <v>96</v>
      </c>
      <c r="N299" t="s">
        <v>60</v>
      </c>
      <c r="O299" t="s">
        <v>60</v>
      </c>
      <c r="P299" t="s">
        <v>36</v>
      </c>
      <c r="Q299" t="s">
        <v>61</v>
      </c>
      <c r="R299" t="s">
        <v>43</v>
      </c>
      <c r="S299" s="3">
        <v>8020</v>
      </c>
      <c r="T299" s="3">
        <v>5100</v>
      </c>
      <c r="U299" s="3" t="str">
        <f t="shared" si="19"/>
        <v>Medium</v>
      </c>
      <c r="V299">
        <v>0</v>
      </c>
      <c r="W299" t="s">
        <v>38</v>
      </c>
      <c r="X299" s="2">
        <v>15</v>
      </c>
      <c r="Y299" t="s">
        <v>60</v>
      </c>
      <c r="Z299" t="s">
        <v>60</v>
      </c>
      <c r="AA299">
        <v>2</v>
      </c>
      <c r="AB299">
        <v>12</v>
      </c>
      <c r="AC299">
        <v>3</v>
      </c>
      <c r="AD299">
        <v>2</v>
      </c>
      <c r="AE299">
        <v>11</v>
      </c>
      <c r="AF299">
        <v>9</v>
      </c>
      <c r="AG299">
        <v>6</v>
      </c>
      <c r="AH299">
        <v>9</v>
      </c>
      <c r="AI299" t="str">
        <f t="shared" si="16"/>
        <v>10+ Years</v>
      </c>
      <c r="AJ299" t="str">
        <f t="shared" si="17"/>
        <v>6+</v>
      </c>
    </row>
    <row r="300" spans="1:36" x14ac:dyDescent="0.35">
      <c r="A300">
        <v>299</v>
      </c>
      <c r="B300">
        <v>36</v>
      </c>
      <c r="C300" t="str">
        <f t="shared" si="18"/>
        <v>36-45</v>
      </c>
      <c r="D300" t="s">
        <v>38</v>
      </c>
      <c r="E300" t="s">
        <v>39</v>
      </c>
      <c r="F300" s="3">
        <v>1389</v>
      </c>
      <c r="G300" t="s">
        <v>40</v>
      </c>
      <c r="H300" s="1">
        <v>18</v>
      </c>
      <c r="I300" t="s">
        <v>60</v>
      </c>
      <c r="J300" t="s">
        <v>34</v>
      </c>
      <c r="K300" t="s">
        <v>60</v>
      </c>
      <c r="L300" t="s">
        <v>41</v>
      </c>
      <c r="M300" s="3">
        <v>81</v>
      </c>
      <c r="N300" t="s">
        <v>62</v>
      </c>
      <c r="O300" t="s">
        <v>59</v>
      </c>
      <c r="P300" t="s">
        <v>45</v>
      </c>
      <c r="Q300" t="s">
        <v>62</v>
      </c>
      <c r="R300" t="s">
        <v>43</v>
      </c>
      <c r="S300" s="3">
        <v>3688</v>
      </c>
      <c r="T300" s="3">
        <v>7122</v>
      </c>
      <c r="U300" s="3" t="str">
        <f t="shared" si="19"/>
        <v>Low</v>
      </c>
      <c r="V300">
        <v>4</v>
      </c>
      <c r="W300" t="s">
        <v>38</v>
      </c>
      <c r="X300" s="2">
        <v>18</v>
      </c>
      <c r="Y300" t="s">
        <v>60</v>
      </c>
      <c r="Z300" t="s">
        <v>62</v>
      </c>
      <c r="AA300">
        <v>2</v>
      </c>
      <c r="AB300">
        <v>4</v>
      </c>
      <c r="AC300">
        <v>2</v>
      </c>
      <c r="AD300">
        <v>3</v>
      </c>
      <c r="AE300">
        <v>1</v>
      </c>
      <c r="AF300">
        <v>0</v>
      </c>
      <c r="AG300">
        <v>0</v>
      </c>
      <c r="AH300">
        <v>0</v>
      </c>
      <c r="AI300" t="str">
        <f t="shared" si="16"/>
        <v>0-2 Years</v>
      </c>
      <c r="AJ300" t="str">
        <f t="shared" si="17"/>
        <v>0-2</v>
      </c>
    </row>
    <row r="301" spans="1:36" x14ac:dyDescent="0.35">
      <c r="A301">
        <v>300</v>
      </c>
      <c r="B301">
        <v>51</v>
      </c>
      <c r="C301" t="str">
        <f t="shared" si="18"/>
        <v>46-55</v>
      </c>
      <c r="D301" t="s">
        <v>38</v>
      </c>
      <c r="E301" t="s">
        <v>32</v>
      </c>
      <c r="F301" s="3">
        <v>1389</v>
      </c>
      <c r="G301" t="s">
        <v>40</v>
      </c>
      <c r="H301" s="1">
        <v>2</v>
      </c>
      <c r="I301" t="s">
        <v>61</v>
      </c>
      <c r="J301" t="s">
        <v>46</v>
      </c>
      <c r="K301" t="s">
        <v>62</v>
      </c>
      <c r="L301" t="s">
        <v>41</v>
      </c>
      <c r="M301" s="3">
        <v>84</v>
      </c>
      <c r="N301" t="s">
        <v>59</v>
      </c>
      <c r="O301" t="s">
        <v>61</v>
      </c>
      <c r="P301" t="s">
        <v>48</v>
      </c>
      <c r="Q301" t="s">
        <v>61</v>
      </c>
      <c r="R301" t="s">
        <v>47</v>
      </c>
      <c r="S301" s="3">
        <v>5482</v>
      </c>
      <c r="T301" s="3">
        <v>16321</v>
      </c>
      <c r="U301" s="3" t="str">
        <f t="shared" si="19"/>
        <v>Medium</v>
      </c>
      <c r="V301">
        <v>5</v>
      </c>
      <c r="W301" t="s">
        <v>38</v>
      </c>
      <c r="X301" s="2">
        <v>18</v>
      </c>
      <c r="Y301" t="s">
        <v>60</v>
      </c>
      <c r="Z301" t="s">
        <v>62</v>
      </c>
      <c r="AA301">
        <v>1</v>
      </c>
      <c r="AB301">
        <v>13</v>
      </c>
      <c r="AC301">
        <v>3</v>
      </c>
      <c r="AD301">
        <v>3</v>
      </c>
      <c r="AE301">
        <v>4</v>
      </c>
      <c r="AF301">
        <v>1</v>
      </c>
      <c r="AG301">
        <v>1</v>
      </c>
      <c r="AH301">
        <v>2</v>
      </c>
      <c r="AI301" t="str">
        <f t="shared" si="16"/>
        <v>3-5 Years</v>
      </c>
      <c r="AJ301" t="str">
        <f t="shared" si="17"/>
        <v>0-2</v>
      </c>
    </row>
    <row r="302" spans="1:36" x14ac:dyDescent="0.35">
      <c r="A302">
        <v>301</v>
      </c>
      <c r="B302">
        <v>41</v>
      </c>
      <c r="C302" t="str">
        <f t="shared" si="18"/>
        <v>36-45</v>
      </c>
      <c r="D302" t="s">
        <v>38</v>
      </c>
      <c r="E302" t="s">
        <v>32</v>
      </c>
      <c r="F302" s="3">
        <v>1389</v>
      </c>
      <c r="G302" t="s">
        <v>33</v>
      </c>
      <c r="H302" s="1">
        <v>2</v>
      </c>
      <c r="I302" t="s">
        <v>60</v>
      </c>
      <c r="J302" t="s">
        <v>34</v>
      </c>
      <c r="K302" t="s">
        <v>62</v>
      </c>
      <c r="L302" t="s">
        <v>41</v>
      </c>
      <c r="M302" s="3">
        <v>88</v>
      </c>
      <c r="N302" t="s">
        <v>60</v>
      </c>
      <c r="O302" t="s">
        <v>62</v>
      </c>
      <c r="P302" t="s">
        <v>51</v>
      </c>
      <c r="Q302" t="s">
        <v>61</v>
      </c>
      <c r="R302" t="s">
        <v>37</v>
      </c>
      <c r="S302" s="3">
        <v>16015</v>
      </c>
      <c r="T302" s="3">
        <v>15896</v>
      </c>
      <c r="U302" s="3" t="str">
        <f t="shared" si="19"/>
        <v>High</v>
      </c>
      <c r="V302">
        <v>1</v>
      </c>
      <c r="W302" t="s">
        <v>38</v>
      </c>
      <c r="X302" s="2">
        <v>19</v>
      </c>
      <c r="Y302" t="s">
        <v>60</v>
      </c>
      <c r="Z302" t="s">
        <v>61</v>
      </c>
      <c r="AA302">
        <v>0</v>
      </c>
      <c r="AB302">
        <v>22</v>
      </c>
      <c r="AC302">
        <v>2</v>
      </c>
      <c r="AD302">
        <v>3</v>
      </c>
      <c r="AE302">
        <v>22</v>
      </c>
      <c r="AF302">
        <v>10</v>
      </c>
      <c r="AG302">
        <v>0</v>
      </c>
      <c r="AH302">
        <v>4</v>
      </c>
      <c r="AI302" t="str">
        <f t="shared" si="16"/>
        <v>10+ Years</v>
      </c>
      <c r="AJ302" t="str">
        <f t="shared" si="17"/>
        <v>0-2</v>
      </c>
    </row>
    <row r="303" spans="1:36" x14ac:dyDescent="0.35">
      <c r="A303">
        <v>302</v>
      </c>
      <c r="B303">
        <v>18</v>
      </c>
      <c r="C303" t="str">
        <f t="shared" si="18"/>
        <v>18-25</v>
      </c>
      <c r="D303" t="s">
        <v>38</v>
      </c>
      <c r="E303" t="s">
        <v>32</v>
      </c>
      <c r="F303" s="3">
        <v>1389</v>
      </c>
      <c r="G303" t="s">
        <v>33</v>
      </c>
      <c r="H303" s="1">
        <v>10</v>
      </c>
      <c r="I303" t="s">
        <v>61</v>
      </c>
      <c r="J303" t="s">
        <v>46</v>
      </c>
      <c r="K303" t="s">
        <v>62</v>
      </c>
      <c r="L303" t="s">
        <v>35</v>
      </c>
      <c r="M303" s="3">
        <v>69</v>
      </c>
      <c r="N303" t="s">
        <v>61</v>
      </c>
      <c r="O303" t="s">
        <v>59</v>
      </c>
      <c r="P303" t="s">
        <v>52</v>
      </c>
      <c r="Q303" t="s">
        <v>60</v>
      </c>
      <c r="R303" t="s">
        <v>37</v>
      </c>
      <c r="S303" s="3">
        <v>1200</v>
      </c>
      <c r="T303" s="3">
        <v>9724</v>
      </c>
      <c r="U303" s="3" t="str">
        <f t="shared" si="19"/>
        <v>Low</v>
      </c>
      <c r="V303">
        <v>1</v>
      </c>
      <c r="W303" t="s">
        <v>38</v>
      </c>
      <c r="X303" s="2">
        <v>12</v>
      </c>
      <c r="Y303" t="s">
        <v>60</v>
      </c>
      <c r="Z303" t="s">
        <v>59</v>
      </c>
      <c r="AA303">
        <v>0</v>
      </c>
      <c r="AB303">
        <v>0</v>
      </c>
      <c r="AC303">
        <v>2</v>
      </c>
      <c r="AD303">
        <v>3</v>
      </c>
      <c r="AE303">
        <v>0</v>
      </c>
      <c r="AF303">
        <v>0</v>
      </c>
      <c r="AG303">
        <v>0</v>
      </c>
      <c r="AH303">
        <v>0</v>
      </c>
      <c r="AI303" t="str">
        <f t="shared" si="16"/>
        <v>0-2 Years</v>
      </c>
      <c r="AJ303" t="str">
        <f t="shared" si="17"/>
        <v>0-2</v>
      </c>
    </row>
    <row r="304" spans="1:36" x14ac:dyDescent="0.35">
      <c r="A304">
        <v>303</v>
      </c>
      <c r="B304">
        <v>28</v>
      </c>
      <c r="C304" t="str">
        <f t="shared" si="18"/>
        <v>26-35</v>
      </c>
      <c r="D304" t="s">
        <v>38</v>
      </c>
      <c r="E304" t="s">
        <v>32</v>
      </c>
      <c r="F304" s="3">
        <v>1389</v>
      </c>
      <c r="G304" t="s">
        <v>40</v>
      </c>
      <c r="H304" s="1">
        <v>16</v>
      </c>
      <c r="I304" t="s">
        <v>58</v>
      </c>
      <c r="J304" t="s">
        <v>46</v>
      </c>
      <c r="K304" t="s">
        <v>61</v>
      </c>
      <c r="L304" t="s">
        <v>41</v>
      </c>
      <c r="M304" s="3">
        <v>68</v>
      </c>
      <c r="N304" t="s">
        <v>62</v>
      </c>
      <c r="O304" t="s">
        <v>61</v>
      </c>
      <c r="P304" t="s">
        <v>49</v>
      </c>
      <c r="Q304" t="s">
        <v>59</v>
      </c>
      <c r="R304" t="s">
        <v>37</v>
      </c>
      <c r="S304" s="3">
        <v>5661</v>
      </c>
      <c r="T304" s="3">
        <v>4824</v>
      </c>
      <c r="U304" s="3" t="str">
        <f t="shared" si="19"/>
        <v>Medium</v>
      </c>
      <c r="V304">
        <v>0</v>
      </c>
      <c r="W304" t="s">
        <v>38</v>
      </c>
      <c r="X304" s="2">
        <v>19</v>
      </c>
      <c r="Y304" t="s">
        <v>60</v>
      </c>
      <c r="Z304" t="s">
        <v>60</v>
      </c>
      <c r="AA304">
        <v>0</v>
      </c>
      <c r="AB304">
        <v>9</v>
      </c>
      <c r="AC304">
        <v>2</v>
      </c>
      <c r="AD304">
        <v>3</v>
      </c>
      <c r="AE304">
        <v>8</v>
      </c>
      <c r="AF304">
        <v>3</v>
      </c>
      <c r="AG304">
        <v>0</v>
      </c>
      <c r="AH304">
        <v>7</v>
      </c>
      <c r="AI304" t="str">
        <f t="shared" si="16"/>
        <v>6-10 Years</v>
      </c>
      <c r="AJ304" t="str">
        <f t="shared" si="17"/>
        <v>0-2</v>
      </c>
    </row>
    <row r="305" spans="1:36" x14ac:dyDescent="0.35">
      <c r="A305">
        <v>304</v>
      </c>
      <c r="B305">
        <v>31</v>
      </c>
      <c r="C305" t="str">
        <f t="shared" si="18"/>
        <v>26-35</v>
      </c>
      <c r="D305" t="s">
        <v>38</v>
      </c>
      <c r="E305" t="s">
        <v>32</v>
      </c>
      <c r="F305" s="3">
        <v>1389</v>
      </c>
      <c r="G305" t="s">
        <v>33</v>
      </c>
      <c r="H305" s="1">
        <v>7</v>
      </c>
      <c r="I305" t="s">
        <v>61</v>
      </c>
      <c r="J305" t="s">
        <v>55</v>
      </c>
      <c r="K305" t="s">
        <v>61</v>
      </c>
      <c r="L305" t="s">
        <v>41</v>
      </c>
      <c r="M305" s="3">
        <v>100</v>
      </c>
      <c r="N305" t="s">
        <v>62</v>
      </c>
      <c r="O305" t="s">
        <v>61</v>
      </c>
      <c r="P305" t="s">
        <v>36</v>
      </c>
      <c r="Q305" t="s">
        <v>62</v>
      </c>
      <c r="R305" t="s">
        <v>43</v>
      </c>
      <c r="S305" s="3">
        <v>6929</v>
      </c>
      <c r="T305" s="3">
        <v>12241</v>
      </c>
      <c r="U305" s="3" t="str">
        <f t="shared" si="19"/>
        <v>Medium</v>
      </c>
      <c r="V305">
        <v>4</v>
      </c>
      <c r="W305" t="s">
        <v>38</v>
      </c>
      <c r="X305" s="2">
        <v>11</v>
      </c>
      <c r="Y305" t="s">
        <v>60</v>
      </c>
      <c r="Z305" t="s">
        <v>61</v>
      </c>
      <c r="AA305">
        <v>1</v>
      </c>
      <c r="AB305">
        <v>10</v>
      </c>
      <c r="AC305">
        <v>3</v>
      </c>
      <c r="AD305">
        <v>2</v>
      </c>
      <c r="AE305">
        <v>8</v>
      </c>
      <c r="AF305">
        <v>7</v>
      </c>
      <c r="AG305">
        <v>7</v>
      </c>
      <c r="AH305">
        <v>7</v>
      </c>
      <c r="AI305" t="str">
        <f t="shared" si="16"/>
        <v>6-10 Years</v>
      </c>
      <c r="AJ305" t="str">
        <f t="shared" si="17"/>
        <v>6+</v>
      </c>
    </row>
    <row r="306" spans="1:36" x14ac:dyDescent="0.35">
      <c r="A306">
        <v>305</v>
      </c>
      <c r="B306">
        <v>39</v>
      </c>
      <c r="C306" t="str">
        <f t="shared" si="18"/>
        <v>36-45</v>
      </c>
      <c r="D306" t="s">
        <v>38</v>
      </c>
      <c r="E306" t="s">
        <v>32</v>
      </c>
      <c r="F306" s="3">
        <v>1389</v>
      </c>
      <c r="G306" t="s">
        <v>40</v>
      </c>
      <c r="H306" s="1">
        <v>1</v>
      </c>
      <c r="I306" t="s">
        <v>61</v>
      </c>
      <c r="J306" t="s">
        <v>46</v>
      </c>
      <c r="K306" t="s">
        <v>60</v>
      </c>
      <c r="L306" t="s">
        <v>41</v>
      </c>
      <c r="M306" s="3">
        <v>48</v>
      </c>
      <c r="N306" t="s">
        <v>62</v>
      </c>
      <c r="O306" t="s">
        <v>60</v>
      </c>
      <c r="P306" t="s">
        <v>49</v>
      </c>
      <c r="Q306" t="s">
        <v>62</v>
      </c>
      <c r="R306" t="s">
        <v>47</v>
      </c>
      <c r="S306" s="3">
        <v>9613</v>
      </c>
      <c r="T306" s="3">
        <v>10942</v>
      </c>
      <c r="U306" s="3" t="str">
        <f t="shared" si="19"/>
        <v>Medium</v>
      </c>
      <c r="V306">
        <v>0</v>
      </c>
      <c r="W306" t="s">
        <v>38</v>
      </c>
      <c r="X306" s="2">
        <v>17</v>
      </c>
      <c r="Y306" t="s">
        <v>60</v>
      </c>
      <c r="Z306" t="s">
        <v>59</v>
      </c>
      <c r="AA306">
        <v>3</v>
      </c>
      <c r="AB306">
        <v>19</v>
      </c>
      <c r="AC306">
        <v>5</v>
      </c>
      <c r="AD306">
        <v>2</v>
      </c>
      <c r="AE306">
        <v>18</v>
      </c>
      <c r="AF306">
        <v>10</v>
      </c>
      <c r="AG306">
        <v>3</v>
      </c>
      <c r="AH306">
        <v>7</v>
      </c>
      <c r="AI306" t="str">
        <f t="shared" si="16"/>
        <v>10+ Years</v>
      </c>
      <c r="AJ306" t="str">
        <f t="shared" si="17"/>
        <v>3-5</v>
      </c>
    </row>
    <row r="307" spans="1:36" x14ac:dyDescent="0.35">
      <c r="A307">
        <v>306</v>
      </c>
      <c r="B307">
        <v>36</v>
      </c>
      <c r="C307" t="str">
        <f t="shared" si="18"/>
        <v>36-45</v>
      </c>
      <c r="D307" t="s">
        <v>38</v>
      </c>
      <c r="E307" t="s">
        <v>50</v>
      </c>
      <c r="F307" s="3">
        <v>1389</v>
      </c>
      <c r="G307" t="s">
        <v>40</v>
      </c>
      <c r="H307" s="1">
        <v>24</v>
      </c>
      <c r="I307" t="s">
        <v>60</v>
      </c>
      <c r="J307" t="s">
        <v>34</v>
      </c>
      <c r="K307" t="s">
        <v>61</v>
      </c>
      <c r="L307" t="s">
        <v>35</v>
      </c>
      <c r="M307" s="3">
        <v>47</v>
      </c>
      <c r="N307" t="s">
        <v>60</v>
      </c>
      <c r="O307" t="s">
        <v>61</v>
      </c>
      <c r="P307" t="s">
        <v>45</v>
      </c>
      <c r="Q307" t="s">
        <v>61</v>
      </c>
      <c r="R307" t="s">
        <v>43</v>
      </c>
      <c r="S307" s="3">
        <v>5674</v>
      </c>
      <c r="T307" s="3">
        <v>6927</v>
      </c>
      <c r="U307" s="3" t="str">
        <f t="shared" si="19"/>
        <v>Medium</v>
      </c>
      <c r="V307">
        <v>7</v>
      </c>
      <c r="W307" t="s">
        <v>38</v>
      </c>
      <c r="X307" s="2">
        <v>15</v>
      </c>
      <c r="Y307" t="s">
        <v>60</v>
      </c>
      <c r="Z307" t="s">
        <v>60</v>
      </c>
      <c r="AA307">
        <v>1</v>
      </c>
      <c r="AB307">
        <v>11</v>
      </c>
      <c r="AC307">
        <v>3</v>
      </c>
      <c r="AD307">
        <v>3</v>
      </c>
      <c r="AE307">
        <v>9</v>
      </c>
      <c r="AF307">
        <v>8</v>
      </c>
      <c r="AG307">
        <v>0</v>
      </c>
      <c r="AH307">
        <v>8</v>
      </c>
      <c r="AI307" t="str">
        <f t="shared" si="16"/>
        <v>6-10 Years</v>
      </c>
      <c r="AJ307" t="str">
        <f t="shared" si="17"/>
        <v>0-2</v>
      </c>
    </row>
    <row r="308" spans="1:36" x14ac:dyDescent="0.35">
      <c r="A308">
        <v>307</v>
      </c>
      <c r="B308">
        <v>32</v>
      </c>
      <c r="C308" t="str">
        <f t="shared" si="18"/>
        <v>26-35</v>
      </c>
      <c r="D308" t="s">
        <v>38</v>
      </c>
      <c r="E308" t="s">
        <v>32</v>
      </c>
      <c r="F308" s="3">
        <v>1389</v>
      </c>
      <c r="G308" t="s">
        <v>33</v>
      </c>
      <c r="H308" s="1">
        <v>7</v>
      </c>
      <c r="I308" t="s">
        <v>61</v>
      </c>
      <c r="J308" t="s">
        <v>34</v>
      </c>
      <c r="K308" t="s">
        <v>62</v>
      </c>
      <c r="L308" t="s">
        <v>41</v>
      </c>
      <c r="M308" s="3">
        <v>91</v>
      </c>
      <c r="N308" t="s">
        <v>61</v>
      </c>
      <c r="O308" t="s">
        <v>61</v>
      </c>
      <c r="P308" t="s">
        <v>36</v>
      </c>
      <c r="Q308" t="s">
        <v>60</v>
      </c>
      <c r="R308" t="s">
        <v>43</v>
      </c>
      <c r="S308" s="3">
        <v>5484</v>
      </c>
      <c r="T308" s="3">
        <v>16985</v>
      </c>
      <c r="U308" s="3" t="str">
        <f t="shared" si="19"/>
        <v>Medium</v>
      </c>
      <c r="V308">
        <v>1</v>
      </c>
      <c r="W308" t="s">
        <v>38</v>
      </c>
      <c r="X308" s="2">
        <v>14</v>
      </c>
      <c r="Y308" t="s">
        <v>60</v>
      </c>
      <c r="Z308" t="s">
        <v>60</v>
      </c>
      <c r="AA308">
        <v>1</v>
      </c>
      <c r="AB308">
        <v>13</v>
      </c>
      <c r="AC308">
        <v>3</v>
      </c>
      <c r="AD308">
        <v>2</v>
      </c>
      <c r="AE308">
        <v>13</v>
      </c>
      <c r="AF308">
        <v>8</v>
      </c>
      <c r="AG308">
        <v>4</v>
      </c>
      <c r="AH308">
        <v>8</v>
      </c>
      <c r="AI308" t="str">
        <f t="shared" si="16"/>
        <v>10+ Years</v>
      </c>
      <c r="AJ308" t="str">
        <f t="shared" si="17"/>
        <v>3-5</v>
      </c>
    </row>
    <row r="309" spans="1:36" x14ac:dyDescent="0.35">
      <c r="A309">
        <v>308</v>
      </c>
      <c r="B309">
        <v>38</v>
      </c>
      <c r="C309" t="str">
        <f t="shared" si="18"/>
        <v>36-45</v>
      </c>
      <c r="D309" t="s">
        <v>38</v>
      </c>
      <c r="E309" t="s">
        <v>32</v>
      </c>
      <c r="F309" s="3">
        <v>1389</v>
      </c>
      <c r="G309" t="s">
        <v>40</v>
      </c>
      <c r="H309" s="1">
        <v>25</v>
      </c>
      <c r="I309" t="s">
        <v>58</v>
      </c>
      <c r="J309" t="s">
        <v>34</v>
      </c>
      <c r="K309" t="s">
        <v>59</v>
      </c>
      <c r="L309" t="s">
        <v>35</v>
      </c>
      <c r="M309" s="3">
        <v>81</v>
      </c>
      <c r="N309" t="s">
        <v>61</v>
      </c>
      <c r="O309" t="s">
        <v>60</v>
      </c>
      <c r="P309" t="s">
        <v>53</v>
      </c>
      <c r="Q309" t="s">
        <v>61</v>
      </c>
      <c r="R309" t="s">
        <v>43</v>
      </c>
      <c r="S309" s="3">
        <v>12061</v>
      </c>
      <c r="T309" s="3">
        <v>26707</v>
      </c>
      <c r="U309" s="3" t="str">
        <f t="shared" si="19"/>
        <v>High</v>
      </c>
      <c r="V309">
        <v>3</v>
      </c>
      <c r="W309" t="s">
        <v>38</v>
      </c>
      <c r="X309" s="2">
        <v>17</v>
      </c>
      <c r="Y309" t="s">
        <v>60</v>
      </c>
      <c r="Z309" t="s">
        <v>60</v>
      </c>
      <c r="AA309">
        <v>1</v>
      </c>
      <c r="AB309">
        <v>19</v>
      </c>
      <c r="AC309">
        <v>2</v>
      </c>
      <c r="AD309">
        <v>3</v>
      </c>
      <c r="AE309">
        <v>10</v>
      </c>
      <c r="AF309">
        <v>8</v>
      </c>
      <c r="AG309">
        <v>0</v>
      </c>
      <c r="AH309">
        <v>1</v>
      </c>
      <c r="AI309" t="str">
        <f t="shared" si="16"/>
        <v>6-10 Years</v>
      </c>
      <c r="AJ309" t="str">
        <f t="shared" si="17"/>
        <v>0-2</v>
      </c>
    </row>
    <row r="310" spans="1:36" x14ac:dyDescent="0.35">
      <c r="A310">
        <v>309</v>
      </c>
      <c r="B310">
        <v>58</v>
      </c>
      <c r="C310" t="str">
        <f t="shared" si="18"/>
        <v>55+</v>
      </c>
      <c r="D310" t="s">
        <v>38</v>
      </c>
      <c r="E310" t="s">
        <v>50</v>
      </c>
      <c r="F310" s="3">
        <v>1389</v>
      </c>
      <c r="G310" t="s">
        <v>40</v>
      </c>
      <c r="H310" s="1">
        <v>1</v>
      </c>
      <c r="I310" t="s">
        <v>60</v>
      </c>
      <c r="J310" t="s">
        <v>34</v>
      </c>
      <c r="K310" t="s">
        <v>62</v>
      </c>
      <c r="L310" t="s">
        <v>41</v>
      </c>
      <c r="M310" s="3">
        <v>32</v>
      </c>
      <c r="N310" t="s">
        <v>59</v>
      </c>
      <c r="O310" t="s">
        <v>61</v>
      </c>
      <c r="P310" t="s">
        <v>49</v>
      </c>
      <c r="Q310" t="s">
        <v>60</v>
      </c>
      <c r="R310" t="s">
        <v>47</v>
      </c>
      <c r="S310" s="3">
        <v>5660</v>
      </c>
      <c r="T310" s="3">
        <v>17056</v>
      </c>
      <c r="U310" s="3" t="str">
        <f t="shared" si="19"/>
        <v>Medium</v>
      </c>
      <c r="V310">
        <v>2</v>
      </c>
      <c r="W310" t="s">
        <v>31</v>
      </c>
      <c r="X310" s="2">
        <v>13</v>
      </c>
      <c r="Y310" t="s">
        <v>60</v>
      </c>
      <c r="Z310" t="s">
        <v>62</v>
      </c>
      <c r="AA310">
        <v>1</v>
      </c>
      <c r="AB310">
        <v>12</v>
      </c>
      <c r="AC310">
        <v>2</v>
      </c>
      <c r="AD310">
        <v>3</v>
      </c>
      <c r="AE310">
        <v>5</v>
      </c>
      <c r="AF310">
        <v>3</v>
      </c>
      <c r="AG310">
        <v>1</v>
      </c>
      <c r="AH310">
        <v>2</v>
      </c>
      <c r="AI310" t="str">
        <f t="shared" si="16"/>
        <v>3-5 Years</v>
      </c>
      <c r="AJ310" t="str">
        <f t="shared" si="17"/>
        <v>0-2</v>
      </c>
    </row>
    <row r="311" spans="1:36" x14ac:dyDescent="0.35">
      <c r="A311">
        <v>310</v>
      </c>
      <c r="B311">
        <v>31</v>
      </c>
      <c r="C311" t="str">
        <f t="shared" si="18"/>
        <v>26-35</v>
      </c>
      <c r="D311" t="s">
        <v>38</v>
      </c>
      <c r="E311" t="s">
        <v>32</v>
      </c>
      <c r="F311" s="3">
        <v>1389</v>
      </c>
      <c r="G311" t="s">
        <v>40</v>
      </c>
      <c r="H311" s="1">
        <v>5</v>
      </c>
      <c r="I311" t="s">
        <v>60</v>
      </c>
      <c r="J311" t="s">
        <v>55</v>
      </c>
      <c r="K311" t="s">
        <v>60</v>
      </c>
      <c r="L311" t="s">
        <v>41</v>
      </c>
      <c r="M311" s="3">
        <v>86</v>
      </c>
      <c r="N311" t="s">
        <v>60</v>
      </c>
      <c r="O311" t="s">
        <v>59</v>
      </c>
      <c r="P311" t="s">
        <v>42</v>
      </c>
      <c r="Q311" t="s">
        <v>62</v>
      </c>
      <c r="R311" t="s">
        <v>43</v>
      </c>
      <c r="S311" s="3">
        <v>4821</v>
      </c>
      <c r="T311" s="3">
        <v>10077</v>
      </c>
      <c r="U311" s="3" t="str">
        <f t="shared" si="19"/>
        <v>Low</v>
      </c>
      <c r="V311">
        <v>0</v>
      </c>
      <c r="W311" t="s">
        <v>31</v>
      </c>
      <c r="X311" s="2">
        <v>12</v>
      </c>
      <c r="Y311" t="s">
        <v>60</v>
      </c>
      <c r="Z311" t="s">
        <v>60</v>
      </c>
      <c r="AA311">
        <v>1</v>
      </c>
      <c r="AB311">
        <v>6</v>
      </c>
      <c r="AC311">
        <v>4</v>
      </c>
      <c r="AD311">
        <v>3</v>
      </c>
      <c r="AE311">
        <v>5</v>
      </c>
      <c r="AF311">
        <v>2</v>
      </c>
      <c r="AG311">
        <v>0</v>
      </c>
      <c r="AH311">
        <v>3</v>
      </c>
      <c r="AI311" t="str">
        <f t="shared" si="16"/>
        <v>3-5 Years</v>
      </c>
      <c r="AJ311" t="str">
        <f t="shared" si="17"/>
        <v>0-2</v>
      </c>
    </row>
    <row r="312" spans="1:36" x14ac:dyDescent="0.35">
      <c r="A312">
        <v>311</v>
      </c>
      <c r="B312">
        <v>31</v>
      </c>
      <c r="C312" t="str">
        <f t="shared" si="18"/>
        <v>26-35</v>
      </c>
      <c r="D312" t="s">
        <v>38</v>
      </c>
      <c r="E312" t="s">
        <v>32</v>
      </c>
      <c r="F312" s="3">
        <v>1389</v>
      </c>
      <c r="G312" t="s">
        <v>56</v>
      </c>
      <c r="H312" s="1">
        <v>2</v>
      </c>
      <c r="I312" t="s">
        <v>61</v>
      </c>
      <c r="J312" t="s">
        <v>56</v>
      </c>
      <c r="K312" t="s">
        <v>59</v>
      </c>
      <c r="L312" t="s">
        <v>41</v>
      </c>
      <c r="M312" s="3">
        <v>62</v>
      </c>
      <c r="N312" t="s">
        <v>61</v>
      </c>
      <c r="O312" t="s">
        <v>61</v>
      </c>
      <c r="P312" t="s">
        <v>56</v>
      </c>
      <c r="Q312" t="s">
        <v>59</v>
      </c>
      <c r="R312" t="s">
        <v>43</v>
      </c>
      <c r="S312" s="3">
        <v>6410</v>
      </c>
      <c r="T312" s="3">
        <v>17822</v>
      </c>
      <c r="U312" s="3" t="str">
        <f t="shared" si="19"/>
        <v>Medium</v>
      </c>
      <c r="V312">
        <v>3</v>
      </c>
      <c r="W312" t="s">
        <v>38</v>
      </c>
      <c r="X312" s="2">
        <v>12</v>
      </c>
      <c r="Y312" t="s">
        <v>60</v>
      </c>
      <c r="Z312" t="s">
        <v>62</v>
      </c>
      <c r="AA312">
        <v>0</v>
      </c>
      <c r="AB312">
        <v>9</v>
      </c>
      <c r="AC312">
        <v>1</v>
      </c>
      <c r="AD312">
        <v>3</v>
      </c>
      <c r="AE312">
        <v>2</v>
      </c>
      <c r="AF312">
        <v>2</v>
      </c>
      <c r="AG312">
        <v>1</v>
      </c>
      <c r="AH312">
        <v>0</v>
      </c>
      <c r="AI312" t="str">
        <f t="shared" si="16"/>
        <v>0-2 Years</v>
      </c>
      <c r="AJ312" t="str">
        <f t="shared" si="17"/>
        <v>0-2</v>
      </c>
    </row>
    <row r="313" spans="1:36" x14ac:dyDescent="0.35">
      <c r="A313">
        <v>312</v>
      </c>
      <c r="B313">
        <v>45</v>
      </c>
      <c r="C313" t="str">
        <f t="shared" si="18"/>
        <v>36-45</v>
      </c>
      <c r="D313" t="s">
        <v>38</v>
      </c>
      <c r="E313" t="s">
        <v>39</v>
      </c>
      <c r="F313" s="3">
        <v>1389</v>
      </c>
      <c r="G313" t="s">
        <v>40</v>
      </c>
      <c r="H313" s="1">
        <v>7</v>
      </c>
      <c r="I313" t="s">
        <v>61</v>
      </c>
      <c r="J313" t="s">
        <v>34</v>
      </c>
      <c r="K313" t="s">
        <v>59</v>
      </c>
      <c r="L313" t="s">
        <v>41</v>
      </c>
      <c r="M313" s="3">
        <v>97</v>
      </c>
      <c r="N313" t="s">
        <v>60</v>
      </c>
      <c r="O313" t="s">
        <v>60</v>
      </c>
      <c r="P313" t="s">
        <v>45</v>
      </c>
      <c r="Q313" t="s">
        <v>59</v>
      </c>
      <c r="R313" t="s">
        <v>47</v>
      </c>
      <c r="S313" s="3">
        <v>5210</v>
      </c>
      <c r="T313" s="3">
        <v>20308</v>
      </c>
      <c r="U313" s="3" t="str">
        <f t="shared" si="19"/>
        <v>Medium</v>
      </c>
      <c r="V313">
        <v>1</v>
      </c>
      <c r="W313" t="s">
        <v>38</v>
      </c>
      <c r="X313" s="2">
        <v>18</v>
      </c>
      <c r="Y313" t="s">
        <v>60</v>
      </c>
      <c r="Z313" t="s">
        <v>59</v>
      </c>
      <c r="AA313">
        <v>1</v>
      </c>
      <c r="AB313">
        <v>24</v>
      </c>
      <c r="AC313">
        <v>2</v>
      </c>
      <c r="AD313">
        <v>3</v>
      </c>
      <c r="AE313">
        <v>24</v>
      </c>
      <c r="AF313">
        <v>9</v>
      </c>
      <c r="AG313">
        <v>9</v>
      </c>
      <c r="AH313">
        <v>11</v>
      </c>
      <c r="AI313" t="str">
        <f t="shared" si="16"/>
        <v>10+ Years</v>
      </c>
      <c r="AJ313" t="str">
        <f t="shared" si="17"/>
        <v>6+</v>
      </c>
    </row>
    <row r="314" spans="1:36" x14ac:dyDescent="0.35">
      <c r="A314">
        <v>313</v>
      </c>
      <c r="B314">
        <v>31</v>
      </c>
      <c r="C314" t="str">
        <f t="shared" si="18"/>
        <v>26-35</v>
      </c>
      <c r="D314" t="s">
        <v>38</v>
      </c>
      <c r="E314" t="s">
        <v>32</v>
      </c>
      <c r="F314" s="3">
        <v>1389</v>
      </c>
      <c r="G314" t="s">
        <v>40</v>
      </c>
      <c r="H314" s="1">
        <v>2</v>
      </c>
      <c r="I314" t="s">
        <v>60</v>
      </c>
      <c r="J314" t="s">
        <v>34</v>
      </c>
      <c r="K314" t="s">
        <v>60</v>
      </c>
      <c r="L314" t="s">
        <v>41</v>
      </c>
      <c r="M314" s="3">
        <v>32</v>
      </c>
      <c r="N314" t="s">
        <v>60</v>
      </c>
      <c r="O314" t="s">
        <v>59</v>
      </c>
      <c r="P314" t="s">
        <v>42</v>
      </c>
      <c r="Q314" t="s">
        <v>62</v>
      </c>
      <c r="R314" t="s">
        <v>47</v>
      </c>
      <c r="S314" s="3">
        <v>2695</v>
      </c>
      <c r="T314" s="3">
        <v>7747</v>
      </c>
      <c r="U314" s="3" t="str">
        <f t="shared" si="19"/>
        <v>Low</v>
      </c>
      <c r="V314">
        <v>0</v>
      </c>
      <c r="W314" t="s">
        <v>31</v>
      </c>
      <c r="X314" s="2">
        <v>18</v>
      </c>
      <c r="Y314" t="s">
        <v>60</v>
      </c>
      <c r="Z314" t="s">
        <v>61</v>
      </c>
      <c r="AA314">
        <v>1</v>
      </c>
      <c r="AB314">
        <v>3</v>
      </c>
      <c r="AC314">
        <v>2</v>
      </c>
      <c r="AD314">
        <v>1</v>
      </c>
      <c r="AE314">
        <v>2</v>
      </c>
      <c r="AF314">
        <v>2</v>
      </c>
      <c r="AG314">
        <v>2</v>
      </c>
      <c r="AH314">
        <v>2</v>
      </c>
      <c r="AI314" t="str">
        <f t="shared" si="16"/>
        <v>0-2 Years</v>
      </c>
      <c r="AJ314" t="str">
        <f t="shared" si="17"/>
        <v>0-2</v>
      </c>
    </row>
    <row r="315" spans="1:36" x14ac:dyDescent="0.35">
      <c r="A315">
        <v>314</v>
      </c>
      <c r="B315">
        <v>33</v>
      </c>
      <c r="C315" t="str">
        <f t="shared" si="18"/>
        <v>26-35</v>
      </c>
      <c r="D315" t="s">
        <v>38</v>
      </c>
      <c r="E315" t="s">
        <v>39</v>
      </c>
      <c r="F315" s="3">
        <v>1389</v>
      </c>
      <c r="G315" t="s">
        <v>40</v>
      </c>
      <c r="H315" s="1">
        <v>5</v>
      </c>
      <c r="I315" t="s">
        <v>60</v>
      </c>
      <c r="J315" t="s">
        <v>34</v>
      </c>
      <c r="K315" t="s">
        <v>62</v>
      </c>
      <c r="L315" t="s">
        <v>35</v>
      </c>
      <c r="M315" s="3">
        <v>74</v>
      </c>
      <c r="N315" t="s">
        <v>60</v>
      </c>
      <c r="O315" t="s">
        <v>60</v>
      </c>
      <c r="P315" t="s">
        <v>51</v>
      </c>
      <c r="Q315" t="s">
        <v>61</v>
      </c>
      <c r="R315" t="s">
        <v>43</v>
      </c>
      <c r="S315" s="3">
        <v>11878</v>
      </c>
      <c r="T315" s="3">
        <v>23364</v>
      </c>
      <c r="U315" s="3" t="str">
        <f t="shared" si="19"/>
        <v>High</v>
      </c>
      <c r="V315">
        <v>6</v>
      </c>
      <c r="W315" t="s">
        <v>38</v>
      </c>
      <c r="X315" s="2">
        <v>11</v>
      </c>
      <c r="Y315" t="s">
        <v>60</v>
      </c>
      <c r="Z315" t="s">
        <v>61</v>
      </c>
      <c r="AA315">
        <v>2</v>
      </c>
      <c r="AB315">
        <v>12</v>
      </c>
      <c r="AC315">
        <v>2</v>
      </c>
      <c r="AD315">
        <v>3</v>
      </c>
      <c r="AE315">
        <v>10</v>
      </c>
      <c r="AF315">
        <v>6</v>
      </c>
      <c r="AG315">
        <v>8</v>
      </c>
      <c r="AH315">
        <v>8</v>
      </c>
      <c r="AI315" t="str">
        <f t="shared" si="16"/>
        <v>6-10 Years</v>
      </c>
      <c r="AJ315" t="str">
        <f t="shared" si="17"/>
        <v>6+</v>
      </c>
    </row>
    <row r="316" spans="1:36" x14ac:dyDescent="0.35">
      <c r="A316">
        <v>315</v>
      </c>
      <c r="B316">
        <v>39</v>
      </c>
      <c r="C316" t="str">
        <f t="shared" si="18"/>
        <v>36-45</v>
      </c>
      <c r="D316" t="s">
        <v>38</v>
      </c>
      <c r="E316" t="s">
        <v>32</v>
      </c>
      <c r="F316" s="3">
        <v>1389</v>
      </c>
      <c r="G316" t="s">
        <v>40</v>
      </c>
      <c r="H316" s="1">
        <v>10</v>
      </c>
      <c r="I316" t="s">
        <v>59</v>
      </c>
      <c r="J316" t="s">
        <v>46</v>
      </c>
      <c r="K316" t="s">
        <v>60</v>
      </c>
      <c r="L316" t="s">
        <v>41</v>
      </c>
      <c r="M316" s="3">
        <v>99</v>
      </c>
      <c r="N316" t="s">
        <v>60</v>
      </c>
      <c r="O316" t="s">
        <v>62</v>
      </c>
      <c r="P316" t="s">
        <v>51</v>
      </c>
      <c r="Q316" t="s">
        <v>59</v>
      </c>
      <c r="R316" t="s">
        <v>43</v>
      </c>
      <c r="S316" s="3">
        <v>17068</v>
      </c>
      <c r="T316" s="3">
        <v>5355</v>
      </c>
      <c r="U316" s="3" t="str">
        <f t="shared" si="19"/>
        <v>High</v>
      </c>
      <c r="V316">
        <v>1</v>
      </c>
      <c r="W316" t="s">
        <v>31</v>
      </c>
      <c r="X316" s="2">
        <v>14</v>
      </c>
      <c r="Y316" t="s">
        <v>60</v>
      </c>
      <c r="Z316" t="s">
        <v>62</v>
      </c>
      <c r="AA316">
        <v>0</v>
      </c>
      <c r="AB316">
        <v>21</v>
      </c>
      <c r="AC316">
        <v>3</v>
      </c>
      <c r="AD316">
        <v>3</v>
      </c>
      <c r="AE316">
        <v>21</v>
      </c>
      <c r="AF316">
        <v>9</v>
      </c>
      <c r="AG316">
        <v>11</v>
      </c>
      <c r="AH316">
        <v>10</v>
      </c>
      <c r="AI316" t="str">
        <f t="shared" si="16"/>
        <v>10+ Years</v>
      </c>
      <c r="AJ316" t="str">
        <f t="shared" si="17"/>
        <v>6+</v>
      </c>
    </row>
    <row r="317" spans="1:36" x14ac:dyDescent="0.35">
      <c r="A317">
        <v>316</v>
      </c>
      <c r="B317">
        <v>43</v>
      </c>
      <c r="C317" t="str">
        <f t="shared" si="18"/>
        <v>36-45</v>
      </c>
      <c r="D317" t="s">
        <v>38</v>
      </c>
      <c r="E317" t="s">
        <v>39</v>
      </c>
      <c r="F317" s="3">
        <v>1389</v>
      </c>
      <c r="G317" t="s">
        <v>40</v>
      </c>
      <c r="H317" s="1">
        <v>10</v>
      </c>
      <c r="I317" t="s">
        <v>60</v>
      </c>
      <c r="J317" t="s">
        <v>34</v>
      </c>
      <c r="K317" t="s">
        <v>60</v>
      </c>
      <c r="L317" t="s">
        <v>35</v>
      </c>
      <c r="M317" s="3">
        <v>33</v>
      </c>
      <c r="N317" t="s">
        <v>60</v>
      </c>
      <c r="O317" t="s">
        <v>59</v>
      </c>
      <c r="P317" t="s">
        <v>45</v>
      </c>
      <c r="Q317" t="s">
        <v>62</v>
      </c>
      <c r="R317" t="s">
        <v>37</v>
      </c>
      <c r="S317" s="3">
        <v>2455</v>
      </c>
      <c r="T317" s="3">
        <v>10675</v>
      </c>
      <c r="U317" s="3" t="str">
        <f t="shared" si="19"/>
        <v>Low</v>
      </c>
      <c r="V317">
        <v>0</v>
      </c>
      <c r="W317" t="s">
        <v>38</v>
      </c>
      <c r="X317" s="2">
        <v>19</v>
      </c>
      <c r="Y317" t="s">
        <v>60</v>
      </c>
      <c r="Z317" t="s">
        <v>59</v>
      </c>
      <c r="AA317">
        <v>0</v>
      </c>
      <c r="AB317">
        <v>9</v>
      </c>
      <c r="AC317">
        <v>5</v>
      </c>
      <c r="AD317">
        <v>3</v>
      </c>
      <c r="AE317">
        <v>8</v>
      </c>
      <c r="AF317">
        <v>7</v>
      </c>
      <c r="AG317">
        <v>1</v>
      </c>
      <c r="AH317">
        <v>7</v>
      </c>
      <c r="AI317" t="str">
        <f t="shared" si="16"/>
        <v>6-10 Years</v>
      </c>
      <c r="AJ317" t="str">
        <f t="shared" si="17"/>
        <v>0-2</v>
      </c>
    </row>
    <row r="318" spans="1:36" x14ac:dyDescent="0.35">
      <c r="A318">
        <v>317</v>
      </c>
      <c r="B318">
        <v>49</v>
      </c>
      <c r="C318" t="str">
        <f t="shared" si="18"/>
        <v>46-55</v>
      </c>
      <c r="D318" t="s">
        <v>38</v>
      </c>
      <c r="E318" t="s">
        <v>32</v>
      </c>
      <c r="F318" s="3">
        <v>1389</v>
      </c>
      <c r="G318" t="s">
        <v>40</v>
      </c>
      <c r="H318" s="1">
        <v>1</v>
      </c>
      <c r="I318" t="s">
        <v>58</v>
      </c>
      <c r="J318" t="s">
        <v>55</v>
      </c>
      <c r="K318" t="s">
        <v>60</v>
      </c>
      <c r="L318" t="s">
        <v>35</v>
      </c>
      <c r="M318" s="3">
        <v>90</v>
      </c>
      <c r="N318" t="s">
        <v>61</v>
      </c>
      <c r="O318" t="s">
        <v>62</v>
      </c>
      <c r="P318" t="s">
        <v>49</v>
      </c>
      <c r="Q318" t="s">
        <v>60</v>
      </c>
      <c r="R318" t="s">
        <v>37</v>
      </c>
      <c r="S318" s="3">
        <v>13964</v>
      </c>
      <c r="T318" s="3">
        <v>17810</v>
      </c>
      <c r="U318" s="3" t="str">
        <f t="shared" si="19"/>
        <v>High</v>
      </c>
      <c r="V318">
        <v>7</v>
      </c>
      <c r="W318" t="s">
        <v>31</v>
      </c>
      <c r="X318" s="2">
        <v>12</v>
      </c>
      <c r="Y318" t="s">
        <v>60</v>
      </c>
      <c r="Z318" t="s">
        <v>62</v>
      </c>
      <c r="AA318">
        <v>0</v>
      </c>
      <c r="AB318">
        <v>25</v>
      </c>
      <c r="AC318">
        <v>2</v>
      </c>
      <c r="AD318">
        <v>3</v>
      </c>
      <c r="AE318">
        <v>7</v>
      </c>
      <c r="AF318">
        <v>1</v>
      </c>
      <c r="AG318">
        <v>0</v>
      </c>
      <c r="AH318">
        <v>7</v>
      </c>
      <c r="AI318" t="str">
        <f t="shared" si="16"/>
        <v>6-10 Years</v>
      </c>
      <c r="AJ318" t="str">
        <f t="shared" si="17"/>
        <v>0-2</v>
      </c>
    </row>
    <row r="319" spans="1:36" x14ac:dyDescent="0.35">
      <c r="A319">
        <v>318</v>
      </c>
      <c r="B319">
        <v>52</v>
      </c>
      <c r="C319" t="str">
        <f t="shared" si="18"/>
        <v>46-55</v>
      </c>
      <c r="D319" t="s">
        <v>31</v>
      </c>
      <c r="E319" t="s">
        <v>32</v>
      </c>
      <c r="F319" s="3">
        <v>1389</v>
      </c>
      <c r="G319" t="s">
        <v>40</v>
      </c>
      <c r="H319" s="1">
        <v>8</v>
      </c>
      <c r="I319" t="s">
        <v>60</v>
      </c>
      <c r="J319" t="s">
        <v>46</v>
      </c>
      <c r="K319" t="s">
        <v>60</v>
      </c>
      <c r="L319" t="s">
        <v>41</v>
      </c>
      <c r="M319" s="3">
        <v>85</v>
      </c>
      <c r="N319" t="s">
        <v>61</v>
      </c>
      <c r="O319" t="s">
        <v>61</v>
      </c>
      <c r="P319" t="s">
        <v>42</v>
      </c>
      <c r="Q319" t="s">
        <v>61</v>
      </c>
      <c r="R319" t="s">
        <v>43</v>
      </c>
      <c r="S319" s="3">
        <v>4941</v>
      </c>
      <c r="T319" s="3">
        <v>17747</v>
      </c>
      <c r="U319" s="3" t="str">
        <f t="shared" si="19"/>
        <v>Low</v>
      </c>
      <c r="V319">
        <v>2</v>
      </c>
      <c r="W319" t="s">
        <v>38</v>
      </c>
      <c r="X319" s="2">
        <v>15</v>
      </c>
      <c r="Y319" t="s">
        <v>60</v>
      </c>
      <c r="Z319" t="s">
        <v>59</v>
      </c>
      <c r="AA319">
        <v>0</v>
      </c>
      <c r="AB319">
        <v>11</v>
      </c>
      <c r="AC319">
        <v>3</v>
      </c>
      <c r="AD319">
        <v>2</v>
      </c>
      <c r="AE319">
        <v>8</v>
      </c>
      <c r="AF319">
        <v>2</v>
      </c>
      <c r="AG319">
        <v>7</v>
      </c>
      <c r="AH319">
        <v>7</v>
      </c>
      <c r="AI319" t="str">
        <f t="shared" si="16"/>
        <v>6-10 Years</v>
      </c>
      <c r="AJ319" t="str">
        <f t="shared" si="17"/>
        <v>6+</v>
      </c>
    </row>
    <row r="320" spans="1:36" x14ac:dyDescent="0.35">
      <c r="A320">
        <v>319</v>
      </c>
      <c r="B320">
        <v>27</v>
      </c>
      <c r="C320" t="str">
        <f t="shared" si="18"/>
        <v>26-35</v>
      </c>
      <c r="D320" t="s">
        <v>38</v>
      </c>
      <c r="E320" t="s">
        <v>32</v>
      </c>
      <c r="F320" s="3">
        <v>1389</v>
      </c>
      <c r="G320" t="s">
        <v>40</v>
      </c>
      <c r="H320" s="1">
        <v>5</v>
      </c>
      <c r="I320" t="s">
        <v>61</v>
      </c>
      <c r="J320" t="s">
        <v>34</v>
      </c>
      <c r="K320" t="s">
        <v>60</v>
      </c>
      <c r="L320" t="s">
        <v>35</v>
      </c>
      <c r="M320" s="3">
        <v>85</v>
      </c>
      <c r="N320" t="s">
        <v>60</v>
      </c>
      <c r="O320" t="s">
        <v>59</v>
      </c>
      <c r="P320" t="s">
        <v>42</v>
      </c>
      <c r="Q320" t="s">
        <v>61</v>
      </c>
      <c r="R320" t="s">
        <v>37</v>
      </c>
      <c r="S320" s="3">
        <v>2478</v>
      </c>
      <c r="T320" s="3">
        <v>20938</v>
      </c>
      <c r="U320" s="3" t="str">
        <f t="shared" si="19"/>
        <v>Low</v>
      </c>
      <c r="V320">
        <v>1</v>
      </c>
      <c r="W320" t="s">
        <v>31</v>
      </c>
      <c r="X320" s="2">
        <v>12</v>
      </c>
      <c r="Y320" t="s">
        <v>60</v>
      </c>
      <c r="Z320" t="s">
        <v>61</v>
      </c>
      <c r="AA320">
        <v>0</v>
      </c>
      <c r="AB320">
        <v>4</v>
      </c>
      <c r="AC320">
        <v>2</v>
      </c>
      <c r="AD320">
        <v>2</v>
      </c>
      <c r="AE320">
        <v>4</v>
      </c>
      <c r="AF320">
        <v>3</v>
      </c>
      <c r="AG320">
        <v>1</v>
      </c>
      <c r="AH320">
        <v>2</v>
      </c>
      <c r="AI320" t="str">
        <f t="shared" si="16"/>
        <v>3-5 Years</v>
      </c>
      <c r="AJ320" t="str">
        <f t="shared" si="17"/>
        <v>0-2</v>
      </c>
    </row>
    <row r="321" spans="1:36" x14ac:dyDescent="0.35">
      <c r="A321">
        <v>320</v>
      </c>
      <c r="B321">
        <v>32</v>
      </c>
      <c r="C321" t="str">
        <f t="shared" si="18"/>
        <v>26-35</v>
      </c>
      <c r="D321" t="s">
        <v>38</v>
      </c>
      <c r="E321" t="s">
        <v>32</v>
      </c>
      <c r="F321" s="3">
        <v>1389</v>
      </c>
      <c r="G321" t="s">
        <v>33</v>
      </c>
      <c r="H321" s="1">
        <v>8</v>
      </c>
      <c r="I321" t="s">
        <v>58</v>
      </c>
      <c r="J321" t="s">
        <v>55</v>
      </c>
      <c r="K321" t="s">
        <v>60</v>
      </c>
      <c r="L321" t="s">
        <v>35</v>
      </c>
      <c r="M321" s="3">
        <v>65</v>
      </c>
      <c r="N321" t="s">
        <v>61</v>
      </c>
      <c r="O321" t="s">
        <v>61</v>
      </c>
      <c r="P321" t="s">
        <v>36</v>
      </c>
      <c r="Q321" t="s">
        <v>61</v>
      </c>
      <c r="R321" t="s">
        <v>43</v>
      </c>
      <c r="S321" s="3">
        <v>5228</v>
      </c>
      <c r="T321" s="3">
        <v>24624</v>
      </c>
      <c r="U321" s="3" t="str">
        <f t="shared" si="19"/>
        <v>Medium</v>
      </c>
      <c r="V321">
        <v>1</v>
      </c>
      <c r="W321" t="s">
        <v>31</v>
      </c>
      <c r="X321" s="2">
        <v>11</v>
      </c>
      <c r="Y321" t="s">
        <v>60</v>
      </c>
      <c r="Z321" t="s">
        <v>62</v>
      </c>
      <c r="AA321">
        <v>0</v>
      </c>
      <c r="AB321">
        <v>13</v>
      </c>
      <c r="AC321">
        <v>2</v>
      </c>
      <c r="AD321">
        <v>3</v>
      </c>
      <c r="AE321">
        <v>13</v>
      </c>
      <c r="AF321">
        <v>12</v>
      </c>
      <c r="AG321">
        <v>11</v>
      </c>
      <c r="AH321">
        <v>9</v>
      </c>
      <c r="AI321" t="str">
        <f t="shared" si="16"/>
        <v>10+ Years</v>
      </c>
      <c r="AJ321" t="str">
        <f t="shared" si="17"/>
        <v>6+</v>
      </c>
    </row>
    <row r="322" spans="1:36" x14ac:dyDescent="0.35">
      <c r="A322">
        <v>321</v>
      </c>
      <c r="B322">
        <v>27</v>
      </c>
      <c r="C322" t="str">
        <f t="shared" si="18"/>
        <v>26-35</v>
      </c>
      <c r="D322" t="s">
        <v>38</v>
      </c>
      <c r="E322" t="s">
        <v>32</v>
      </c>
      <c r="F322" s="3">
        <v>1389</v>
      </c>
      <c r="G322" t="s">
        <v>33</v>
      </c>
      <c r="H322" s="1">
        <v>2</v>
      </c>
      <c r="I322" t="s">
        <v>61</v>
      </c>
      <c r="J322" t="s">
        <v>34</v>
      </c>
      <c r="K322" t="s">
        <v>62</v>
      </c>
      <c r="L322" t="s">
        <v>41</v>
      </c>
      <c r="M322" s="3">
        <v>74</v>
      </c>
      <c r="N322" t="s">
        <v>60</v>
      </c>
      <c r="O322" t="s">
        <v>61</v>
      </c>
      <c r="P322" t="s">
        <v>36</v>
      </c>
      <c r="Q322" t="s">
        <v>60</v>
      </c>
      <c r="R322" t="s">
        <v>37</v>
      </c>
      <c r="S322" s="3">
        <v>4478</v>
      </c>
      <c r="T322" s="3">
        <v>5242</v>
      </c>
      <c r="U322" s="3" t="str">
        <f t="shared" si="19"/>
        <v>Low</v>
      </c>
      <c r="V322">
        <v>1</v>
      </c>
      <c r="W322" t="s">
        <v>31</v>
      </c>
      <c r="X322" s="2">
        <v>11</v>
      </c>
      <c r="Y322" t="s">
        <v>60</v>
      </c>
      <c r="Z322" t="s">
        <v>59</v>
      </c>
      <c r="AA322">
        <v>0</v>
      </c>
      <c r="AB322">
        <v>5</v>
      </c>
      <c r="AC322">
        <v>3</v>
      </c>
      <c r="AD322">
        <v>3</v>
      </c>
      <c r="AE322">
        <v>5</v>
      </c>
      <c r="AF322">
        <v>4</v>
      </c>
      <c r="AG322">
        <v>0</v>
      </c>
      <c r="AH322">
        <v>4</v>
      </c>
      <c r="AI322" t="str">
        <f t="shared" ref="AI322:AI385" si="20">IF(AE322&lt;=2,"0-2 Years",
IF(AE322&lt;=5,"3-5 Years",
IF(AE322&lt;=10,"6-10 Years","10+ Years")))</f>
        <v>3-5 Years</v>
      </c>
      <c r="AJ322" t="str">
        <f t="shared" ref="AJ322:AJ385" si="21">IF(AG322&lt;=2,"0-2",
IF(AG322&lt;=5,"3-5","6+"))</f>
        <v>0-2</v>
      </c>
    </row>
    <row r="323" spans="1:36" x14ac:dyDescent="0.35">
      <c r="A323">
        <v>322</v>
      </c>
      <c r="B323">
        <v>31</v>
      </c>
      <c r="C323" t="str">
        <f t="shared" ref="C323:C386" si="22">IF(B323&lt;=25,"18-25",
IF(B323&lt;=35,"26-35",
IF(B323&lt;=45,"36-45",
IF(B323&lt;=55,"46-55","55+"))))</f>
        <v>26-35</v>
      </c>
      <c r="D323" t="s">
        <v>38</v>
      </c>
      <c r="E323" t="s">
        <v>32</v>
      </c>
      <c r="F323" s="3">
        <v>1389</v>
      </c>
      <c r="G323" t="s">
        <v>33</v>
      </c>
      <c r="H323" s="1">
        <v>7</v>
      </c>
      <c r="I323" t="s">
        <v>61</v>
      </c>
      <c r="J323" t="s">
        <v>54</v>
      </c>
      <c r="K323" t="s">
        <v>62</v>
      </c>
      <c r="L323" t="s">
        <v>41</v>
      </c>
      <c r="M323" s="3">
        <v>73</v>
      </c>
      <c r="N323" t="s">
        <v>60</v>
      </c>
      <c r="O323" t="s">
        <v>61</v>
      </c>
      <c r="P323" t="s">
        <v>36</v>
      </c>
      <c r="Q323" t="s">
        <v>62</v>
      </c>
      <c r="R323" t="s">
        <v>47</v>
      </c>
      <c r="S323" s="3">
        <v>7547</v>
      </c>
      <c r="T323" s="3">
        <v>7143</v>
      </c>
      <c r="U323" s="3" t="str">
        <f t="shared" ref="U323:U386" si="23">_xlfn.IFS(S323&lt;5000,"Low",S323&lt;10000,"Medium",S323&gt;10000,"High")</f>
        <v>Medium</v>
      </c>
      <c r="V323">
        <v>4</v>
      </c>
      <c r="W323" t="s">
        <v>38</v>
      </c>
      <c r="X323" s="2">
        <v>12</v>
      </c>
      <c r="Y323" t="s">
        <v>60</v>
      </c>
      <c r="Z323" t="s">
        <v>62</v>
      </c>
      <c r="AA323">
        <v>3</v>
      </c>
      <c r="AB323">
        <v>13</v>
      </c>
      <c r="AC323">
        <v>3</v>
      </c>
      <c r="AD323">
        <v>3</v>
      </c>
      <c r="AE323">
        <v>7</v>
      </c>
      <c r="AF323">
        <v>7</v>
      </c>
      <c r="AG323">
        <v>1</v>
      </c>
      <c r="AH323">
        <v>7</v>
      </c>
      <c r="AI323" t="str">
        <f t="shared" si="20"/>
        <v>6-10 Years</v>
      </c>
      <c r="AJ323" t="str">
        <f t="shared" si="21"/>
        <v>0-2</v>
      </c>
    </row>
    <row r="324" spans="1:36" x14ac:dyDescent="0.35">
      <c r="A324">
        <v>323</v>
      </c>
      <c r="B324">
        <v>32</v>
      </c>
      <c r="C324" t="str">
        <f t="shared" si="22"/>
        <v>26-35</v>
      </c>
      <c r="D324" t="s">
        <v>38</v>
      </c>
      <c r="E324" t="s">
        <v>32</v>
      </c>
      <c r="F324" s="3">
        <v>1389</v>
      </c>
      <c r="G324" t="s">
        <v>40</v>
      </c>
      <c r="H324" s="1">
        <v>2</v>
      </c>
      <c r="I324" t="s">
        <v>60</v>
      </c>
      <c r="J324" t="s">
        <v>46</v>
      </c>
      <c r="K324" t="s">
        <v>59</v>
      </c>
      <c r="L324" t="s">
        <v>35</v>
      </c>
      <c r="M324" s="3">
        <v>74</v>
      </c>
      <c r="N324" t="s">
        <v>62</v>
      </c>
      <c r="O324" t="s">
        <v>61</v>
      </c>
      <c r="P324" t="s">
        <v>42</v>
      </c>
      <c r="Q324" t="s">
        <v>62</v>
      </c>
      <c r="R324" t="s">
        <v>37</v>
      </c>
      <c r="S324" s="3">
        <v>5055</v>
      </c>
      <c r="T324" s="3">
        <v>10557</v>
      </c>
      <c r="U324" s="3" t="str">
        <f t="shared" si="23"/>
        <v>Medium</v>
      </c>
      <c r="V324">
        <v>7</v>
      </c>
      <c r="W324" t="s">
        <v>38</v>
      </c>
      <c r="X324" s="2">
        <v>16</v>
      </c>
      <c r="Y324" t="s">
        <v>60</v>
      </c>
      <c r="Z324" t="s">
        <v>60</v>
      </c>
      <c r="AA324">
        <v>0</v>
      </c>
      <c r="AB324">
        <v>10</v>
      </c>
      <c r="AC324">
        <v>0</v>
      </c>
      <c r="AD324">
        <v>2</v>
      </c>
      <c r="AE324">
        <v>7</v>
      </c>
      <c r="AF324">
        <v>7</v>
      </c>
      <c r="AG324">
        <v>0</v>
      </c>
      <c r="AH324">
        <v>7</v>
      </c>
      <c r="AI324" t="str">
        <f t="shared" si="20"/>
        <v>6-10 Years</v>
      </c>
      <c r="AJ324" t="str">
        <f t="shared" si="21"/>
        <v>0-2</v>
      </c>
    </row>
    <row r="325" spans="1:36" x14ac:dyDescent="0.35">
      <c r="A325">
        <v>324</v>
      </c>
      <c r="B325">
        <v>28</v>
      </c>
      <c r="C325" t="str">
        <f t="shared" si="22"/>
        <v>26-35</v>
      </c>
      <c r="D325" t="s">
        <v>31</v>
      </c>
      <c r="E325" t="s">
        <v>32</v>
      </c>
      <c r="F325" s="3">
        <v>1389</v>
      </c>
      <c r="G325" t="s">
        <v>40</v>
      </c>
      <c r="H325" s="1">
        <v>2</v>
      </c>
      <c r="I325" t="s">
        <v>60</v>
      </c>
      <c r="J325" t="s">
        <v>46</v>
      </c>
      <c r="K325" t="s">
        <v>59</v>
      </c>
      <c r="L325" t="s">
        <v>41</v>
      </c>
      <c r="M325" s="3">
        <v>84</v>
      </c>
      <c r="N325" t="s">
        <v>59</v>
      </c>
      <c r="O325" t="s">
        <v>59</v>
      </c>
      <c r="P325" t="s">
        <v>42</v>
      </c>
      <c r="Q325" t="s">
        <v>62</v>
      </c>
      <c r="R325" t="s">
        <v>43</v>
      </c>
      <c r="S325" s="3">
        <v>3464</v>
      </c>
      <c r="T325" s="3">
        <v>24737</v>
      </c>
      <c r="U325" s="3" t="str">
        <f t="shared" si="23"/>
        <v>Low</v>
      </c>
      <c r="V325">
        <v>5</v>
      </c>
      <c r="W325" t="s">
        <v>31</v>
      </c>
      <c r="X325" s="2">
        <v>13</v>
      </c>
      <c r="Y325" t="s">
        <v>60</v>
      </c>
      <c r="Z325" t="s">
        <v>62</v>
      </c>
      <c r="AA325">
        <v>0</v>
      </c>
      <c r="AB325">
        <v>5</v>
      </c>
      <c r="AC325">
        <v>4</v>
      </c>
      <c r="AD325">
        <v>2</v>
      </c>
      <c r="AE325">
        <v>3</v>
      </c>
      <c r="AF325">
        <v>2</v>
      </c>
      <c r="AG325">
        <v>2</v>
      </c>
      <c r="AH325">
        <v>2</v>
      </c>
      <c r="AI325" t="str">
        <f t="shared" si="20"/>
        <v>3-5 Years</v>
      </c>
      <c r="AJ325" t="str">
        <f t="shared" si="21"/>
        <v>0-2</v>
      </c>
    </row>
    <row r="326" spans="1:36" x14ac:dyDescent="0.35">
      <c r="A326">
        <v>325</v>
      </c>
      <c r="B326">
        <v>30</v>
      </c>
      <c r="C326" t="str">
        <f t="shared" si="22"/>
        <v>26-35</v>
      </c>
      <c r="D326" t="s">
        <v>38</v>
      </c>
      <c r="E326" t="s">
        <v>32</v>
      </c>
      <c r="F326" s="3">
        <v>1389</v>
      </c>
      <c r="G326" t="s">
        <v>40</v>
      </c>
      <c r="H326" s="1">
        <v>28</v>
      </c>
      <c r="I326" t="s">
        <v>58</v>
      </c>
      <c r="J326" t="s">
        <v>46</v>
      </c>
      <c r="K326" t="s">
        <v>62</v>
      </c>
      <c r="L326" t="s">
        <v>35</v>
      </c>
      <c r="M326" s="3">
        <v>64</v>
      </c>
      <c r="N326" t="s">
        <v>60</v>
      </c>
      <c r="O326" t="s">
        <v>61</v>
      </c>
      <c r="P326" t="s">
        <v>42</v>
      </c>
      <c r="Q326" t="s">
        <v>62</v>
      </c>
      <c r="R326" t="s">
        <v>43</v>
      </c>
      <c r="S326" s="3">
        <v>5775</v>
      </c>
      <c r="T326" s="3">
        <v>11934</v>
      </c>
      <c r="U326" s="3" t="str">
        <f t="shared" si="23"/>
        <v>Medium</v>
      </c>
      <c r="V326">
        <v>1</v>
      </c>
      <c r="W326" t="s">
        <v>38</v>
      </c>
      <c r="X326" s="2">
        <v>13</v>
      </c>
      <c r="Y326" t="s">
        <v>60</v>
      </c>
      <c r="Z326" t="s">
        <v>62</v>
      </c>
      <c r="AA326">
        <v>2</v>
      </c>
      <c r="AB326">
        <v>11</v>
      </c>
      <c r="AC326">
        <v>2</v>
      </c>
      <c r="AD326">
        <v>3</v>
      </c>
      <c r="AE326">
        <v>10</v>
      </c>
      <c r="AF326">
        <v>8</v>
      </c>
      <c r="AG326">
        <v>1</v>
      </c>
      <c r="AH326">
        <v>9</v>
      </c>
      <c r="AI326" t="str">
        <f t="shared" si="20"/>
        <v>6-10 Years</v>
      </c>
      <c r="AJ326" t="str">
        <f t="shared" si="21"/>
        <v>0-2</v>
      </c>
    </row>
    <row r="327" spans="1:36" x14ac:dyDescent="0.35">
      <c r="A327">
        <v>326</v>
      </c>
      <c r="B327">
        <v>31</v>
      </c>
      <c r="C327" t="str">
        <f t="shared" si="22"/>
        <v>26-35</v>
      </c>
      <c r="D327" t="s">
        <v>38</v>
      </c>
      <c r="E327" t="s">
        <v>39</v>
      </c>
      <c r="F327" s="3">
        <v>1389</v>
      </c>
      <c r="G327" t="s">
        <v>40</v>
      </c>
      <c r="H327" s="1">
        <v>7</v>
      </c>
      <c r="I327" t="s">
        <v>58</v>
      </c>
      <c r="J327" t="s">
        <v>34</v>
      </c>
      <c r="K327" t="s">
        <v>60</v>
      </c>
      <c r="L327" t="s">
        <v>35</v>
      </c>
      <c r="M327" s="3">
        <v>48</v>
      </c>
      <c r="N327" t="s">
        <v>61</v>
      </c>
      <c r="O327" t="s">
        <v>60</v>
      </c>
      <c r="P327" t="s">
        <v>48</v>
      </c>
      <c r="Q327" t="s">
        <v>60</v>
      </c>
      <c r="R327" t="s">
        <v>43</v>
      </c>
      <c r="S327" s="3">
        <v>8943</v>
      </c>
      <c r="T327" s="3">
        <v>14034</v>
      </c>
      <c r="U327" s="3" t="str">
        <f t="shared" si="23"/>
        <v>Medium</v>
      </c>
      <c r="V327">
        <v>1</v>
      </c>
      <c r="W327" t="s">
        <v>38</v>
      </c>
      <c r="X327" s="2">
        <v>24</v>
      </c>
      <c r="Y327" t="s">
        <v>62</v>
      </c>
      <c r="Z327" t="s">
        <v>59</v>
      </c>
      <c r="AA327">
        <v>1</v>
      </c>
      <c r="AB327">
        <v>10</v>
      </c>
      <c r="AC327">
        <v>2</v>
      </c>
      <c r="AD327">
        <v>3</v>
      </c>
      <c r="AE327">
        <v>10</v>
      </c>
      <c r="AF327">
        <v>9</v>
      </c>
      <c r="AG327">
        <v>8</v>
      </c>
      <c r="AH327">
        <v>9</v>
      </c>
      <c r="AI327" t="str">
        <f t="shared" si="20"/>
        <v>6-10 Years</v>
      </c>
      <c r="AJ327" t="str">
        <f t="shared" si="21"/>
        <v>6+</v>
      </c>
    </row>
    <row r="328" spans="1:36" x14ac:dyDescent="0.35">
      <c r="A328">
        <v>327</v>
      </c>
      <c r="B328">
        <v>39</v>
      </c>
      <c r="C328" t="str">
        <f t="shared" si="22"/>
        <v>36-45</v>
      </c>
      <c r="D328" t="s">
        <v>38</v>
      </c>
      <c r="E328" t="s">
        <v>39</v>
      </c>
      <c r="F328" s="3">
        <v>1389</v>
      </c>
      <c r="G328" t="s">
        <v>40</v>
      </c>
      <c r="H328" s="1">
        <v>7</v>
      </c>
      <c r="I328" t="s">
        <v>58</v>
      </c>
      <c r="J328" t="s">
        <v>46</v>
      </c>
      <c r="K328" t="s">
        <v>60</v>
      </c>
      <c r="L328" t="s">
        <v>41</v>
      </c>
      <c r="M328" s="3">
        <v>54</v>
      </c>
      <c r="N328" t="s">
        <v>61</v>
      </c>
      <c r="O328" t="e">
        <v>#N/A</v>
      </c>
      <c r="P328" t="s">
        <v>51</v>
      </c>
      <c r="Q328" t="s">
        <v>62</v>
      </c>
      <c r="R328" t="s">
        <v>43</v>
      </c>
      <c r="S328" s="3">
        <v>19272</v>
      </c>
      <c r="T328" s="3">
        <v>21141</v>
      </c>
      <c r="U328" s="3" t="str">
        <f t="shared" si="23"/>
        <v>High</v>
      </c>
      <c r="V328">
        <v>1</v>
      </c>
      <c r="W328" t="s">
        <v>38</v>
      </c>
      <c r="X328" s="2">
        <v>15</v>
      </c>
      <c r="Y328" t="s">
        <v>60</v>
      </c>
      <c r="Z328" t="s">
        <v>59</v>
      </c>
      <c r="AA328">
        <v>1</v>
      </c>
      <c r="AB328">
        <v>21</v>
      </c>
      <c r="AC328">
        <v>2</v>
      </c>
      <c r="AD328">
        <v>3</v>
      </c>
      <c r="AE328">
        <v>21</v>
      </c>
      <c r="AF328">
        <v>9</v>
      </c>
      <c r="AG328">
        <v>13</v>
      </c>
      <c r="AH328">
        <v>3</v>
      </c>
      <c r="AI328" t="str">
        <f t="shared" si="20"/>
        <v>10+ Years</v>
      </c>
      <c r="AJ328" t="str">
        <f t="shared" si="21"/>
        <v>6+</v>
      </c>
    </row>
    <row r="329" spans="1:36" x14ac:dyDescent="0.35">
      <c r="A329">
        <v>328</v>
      </c>
      <c r="B329">
        <v>39</v>
      </c>
      <c r="C329" t="str">
        <f t="shared" si="22"/>
        <v>36-45</v>
      </c>
      <c r="D329" t="s">
        <v>31</v>
      </c>
      <c r="E329" t="s">
        <v>32</v>
      </c>
      <c r="F329" s="3">
        <v>1389</v>
      </c>
      <c r="G329" t="s">
        <v>33</v>
      </c>
      <c r="H329" s="1">
        <v>3</v>
      </c>
      <c r="I329" t="s">
        <v>58</v>
      </c>
      <c r="J329" t="s">
        <v>46</v>
      </c>
      <c r="K329" t="s">
        <v>62</v>
      </c>
      <c r="L329" t="s">
        <v>35</v>
      </c>
      <c r="M329" s="3">
        <v>41</v>
      </c>
      <c r="N329" t="s">
        <v>60</v>
      </c>
      <c r="O329" t="s">
        <v>61</v>
      </c>
      <c r="P329" t="s">
        <v>36</v>
      </c>
      <c r="Q329" t="s">
        <v>60</v>
      </c>
      <c r="R329" t="s">
        <v>43</v>
      </c>
      <c r="S329" s="3">
        <v>5238</v>
      </c>
      <c r="T329" s="3">
        <v>17778</v>
      </c>
      <c r="U329" s="3" t="str">
        <f t="shared" si="23"/>
        <v>Medium</v>
      </c>
      <c r="V329">
        <v>4</v>
      </c>
      <c r="W329" t="s">
        <v>31</v>
      </c>
      <c r="X329" s="2">
        <v>18</v>
      </c>
      <c r="Y329" t="s">
        <v>60</v>
      </c>
      <c r="Z329" t="s">
        <v>59</v>
      </c>
      <c r="AA329">
        <v>0</v>
      </c>
      <c r="AB329">
        <v>12</v>
      </c>
      <c r="AC329">
        <v>3</v>
      </c>
      <c r="AD329">
        <v>2</v>
      </c>
      <c r="AE329">
        <v>1</v>
      </c>
      <c r="AF329">
        <v>0</v>
      </c>
      <c r="AG329">
        <v>0</v>
      </c>
      <c r="AH329">
        <v>0</v>
      </c>
      <c r="AI329" t="str">
        <f t="shared" si="20"/>
        <v>0-2 Years</v>
      </c>
      <c r="AJ329" t="str">
        <f t="shared" si="21"/>
        <v>0-2</v>
      </c>
    </row>
    <row r="330" spans="1:36" x14ac:dyDescent="0.35">
      <c r="A330">
        <v>329</v>
      </c>
      <c r="B330">
        <v>33</v>
      </c>
      <c r="C330" t="str">
        <f t="shared" si="22"/>
        <v>26-35</v>
      </c>
      <c r="D330" t="s">
        <v>38</v>
      </c>
      <c r="E330" t="s">
        <v>39</v>
      </c>
      <c r="F330" s="3">
        <v>1389</v>
      </c>
      <c r="G330" t="s">
        <v>33</v>
      </c>
      <c r="H330" s="1">
        <v>10</v>
      </c>
      <c r="I330" t="s">
        <v>61</v>
      </c>
      <c r="J330" t="s">
        <v>54</v>
      </c>
      <c r="K330" t="s">
        <v>61</v>
      </c>
      <c r="L330" t="s">
        <v>41</v>
      </c>
      <c r="M330" s="3">
        <v>46</v>
      </c>
      <c r="N330" t="s">
        <v>61</v>
      </c>
      <c r="O330" t="s">
        <v>61</v>
      </c>
      <c r="P330" t="s">
        <v>36</v>
      </c>
      <c r="Q330" t="s">
        <v>62</v>
      </c>
      <c r="R330" t="s">
        <v>37</v>
      </c>
      <c r="S330" s="3">
        <v>4682</v>
      </c>
      <c r="T330" s="3">
        <v>4317</v>
      </c>
      <c r="U330" s="3" t="str">
        <f t="shared" si="23"/>
        <v>Low</v>
      </c>
      <c r="V330">
        <v>3</v>
      </c>
      <c r="W330" t="s">
        <v>38</v>
      </c>
      <c r="X330" s="2">
        <v>14</v>
      </c>
      <c r="Y330" t="s">
        <v>60</v>
      </c>
      <c r="Z330" t="s">
        <v>60</v>
      </c>
      <c r="AA330">
        <v>0</v>
      </c>
      <c r="AB330">
        <v>9</v>
      </c>
      <c r="AC330">
        <v>6</v>
      </c>
      <c r="AD330">
        <v>2</v>
      </c>
      <c r="AE330">
        <v>7</v>
      </c>
      <c r="AF330">
        <v>7</v>
      </c>
      <c r="AG330">
        <v>0</v>
      </c>
      <c r="AH330">
        <v>1</v>
      </c>
      <c r="AI330" t="str">
        <f t="shared" si="20"/>
        <v>6-10 Years</v>
      </c>
      <c r="AJ330" t="str">
        <f t="shared" si="21"/>
        <v>0-2</v>
      </c>
    </row>
    <row r="331" spans="1:36" x14ac:dyDescent="0.35">
      <c r="A331">
        <v>330</v>
      </c>
      <c r="B331">
        <v>47</v>
      </c>
      <c r="C331" t="str">
        <f t="shared" si="22"/>
        <v>46-55</v>
      </c>
      <c r="D331" t="s">
        <v>38</v>
      </c>
      <c r="E331" t="s">
        <v>32</v>
      </c>
      <c r="F331" s="3">
        <v>1389</v>
      </c>
      <c r="G331" t="s">
        <v>40</v>
      </c>
      <c r="H331" s="1">
        <v>5</v>
      </c>
      <c r="I331" t="s">
        <v>62</v>
      </c>
      <c r="J331" t="s">
        <v>34</v>
      </c>
      <c r="K331" t="s">
        <v>62</v>
      </c>
      <c r="L331" t="s">
        <v>41</v>
      </c>
      <c r="M331" s="3">
        <v>42</v>
      </c>
      <c r="N331" t="s">
        <v>60</v>
      </c>
      <c r="O331" t="e">
        <v>#N/A</v>
      </c>
      <c r="P331" t="s">
        <v>53</v>
      </c>
      <c r="Q331" t="s">
        <v>60</v>
      </c>
      <c r="R331" t="s">
        <v>43</v>
      </c>
      <c r="S331" s="3">
        <v>18300</v>
      </c>
      <c r="T331" s="3">
        <v>16375</v>
      </c>
      <c r="U331" s="3" t="str">
        <f t="shared" si="23"/>
        <v>High</v>
      </c>
      <c r="V331">
        <v>4</v>
      </c>
      <c r="W331" t="s">
        <v>38</v>
      </c>
      <c r="X331" s="2">
        <v>11</v>
      </c>
      <c r="Y331" t="s">
        <v>60</v>
      </c>
      <c r="Z331" t="s">
        <v>61</v>
      </c>
      <c r="AA331">
        <v>1</v>
      </c>
      <c r="AB331">
        <v>21</v>
      </c>
      <c r="AC331">
        <v>2</v>
      </c>
      <c r="AD331">
        <v>3</v>
      </c>
      <c r="AE331">
        <v>3</v>
      </c>
      <c r="AF331">
        <v>2</v>
      </c>
      <c r="AG331">
        <v>1</v>
      </c>
      <c r="AH331">
        <v>1</v>
      </c>
      <c r="AI331" t="str">
        <f t="shared" si="20"/>
        <v>3-5 Years</v>
      </c>
      <c r="AJ331" t="str">
        <f t="shared" si="21"/>
        <v>0-2</v>
      </c>
    </row>
    <row r="332" spans="1:36" x14ac:dyDescent="0.35">
      <c r="A332">
        <v>331</v>
      </c>
      <c r="B332">
        <v>43</v>
      </c>
      <c r="C332" t="str">
        <f t="shared" si="22"/>
        <v>36-45</v>
      </c>
      <c r="D332" t="s">
        <v>38</v>
      </c>
      <c r="E332" t="s">
        <v>39</v>
      </c>
      <c r="F332" s="3">
        <v>1389</v>
      </c>
      <c r="G332" t="s">
        <v>40</v>
      </c>
      <c r="H332" s="1">
        <v>10</v>
      </c>
      <c r="I332" t="s">
        <v>60</v>
      </c>
      <c r="J332" t="s">
        <v>34</v>
      </c>
      <c r="K332" t="s">
        <v>60</v>
      </c>
      <c r="L332" t="s">
        <v>35</v>
      </c>
      <c r="M332" s="3">
        <v>82</v>
      </c>
      <c r="N332" t="s">
        <v>61</v>
      </c>
      <c r="O332" t="s">
        <v>61</v>
      </c>
      <c r="P332" t="s">
        <v>45</v>
      </c>
      <c r="Q332" t="s">
        <v>60</v>
      </c>
      <c r="R332" t="s">
        <v>47</v>
      </c>
      <c r="S332" s="3">
        <v>5257</v>
      </c>
      <c r="T332" s="3">
        <v>6227</v>
      </c>
      <c r="U332" s="3" t="str">
        <f t="shared" si="23"/>
        <v>Medium</v>
      </c>
      <c r="V332">
        <v>1</v>
      </c>
      <c r="W332" t="s">
        <v>38</v>
      </c>
      <c r="X332" s="2">
        <v>11</v>
      </c>
      <c r="Y332" t="s">
        <v>60</v>
      </c>
      <c r="Z332" t="s">
        <v>61</v>
      </c>
      <c r="AA332">
        <v>1</v>
      </c>
      <c r="AB332">
        <v>9</v>
      </c>
      <c r="AC332">
        <v>3</v>
      </c>
      <c r="AD332">
        <v>4</v>
      </c>
      <c r="AE332">
        <v>9</v>
      </c>
      <c r="AF332">
        <v>7</v>
      </c>
      <c r="AG332">
        <v>0</v>
      </c>
      <c r="AH332">
        <v>0</v>
      </c>
      <c r="AI332" t="str">
        <f t="shared" si="20"/>
        <v>6-10 Years</v>
      </c>
      <c r="AJ332" t="str">
        <f t="shared" si="21"/>
        <v>0-2</v>
      </c>
    </row>
    <row r="333" spans="1:36" x14ac:dyDescent="0.35">
      <c r="A333">
        <v>332</v>
      </c>
      <c r="B333">
        <v>27</v>
      </c>
      <c r="C333" t="str">
        <f t="shared" si="22"/>
        <v>26-35</v>
      </c>
      <c r="D333" t="s">
        <v>38</v>
      </c>
      <c r="E333" t="s">
        <v>50</v>
      </c>
      <c r="F333" s="3">
        <v>1389</v>
      </c>
      <c r="G333" t="s">
        <v>33</v>
      </c>
      <c r="H333" s="1">
        <v>1</v>
      </c>
      <c r="I333" t="s">
        <v>59</v>
      </c>
      <c r="J333" t="s">
        <v>54</v>
      </c>
      <c r="K333" t="s">
        <v>60</v>
      </c>
      <c r="L333" t="s">
        <v>41</v>
      </c>
      <c r="M333" s="3">
        <v>73</v>
      </c>
      <c r="N333" t="s">
        <v>60</v>
      </c>
      <c r="O333" t="s">
        <v>61</v>
      </c>
      <c r="P333" t="s">
        <v>36</v>
      </c>
      <c r="Q333" t="s">
        <v>61</v>
      </c>
      <c r="R333" t="s">
        <v>43</v>
      </c>
      <c r="S333" s="3">
        <v>6349</v>
      </c>
      <c r="T333" s="3">
        <v>22107</v>
      </c>
      <c r="U333" s="3" t="str">
        <f t="shared" si="23"/>
        <v>Medium</v>
      </c>
      <c r="V333">
        <v>0</v>
      </c>
      <c r="W333" t="s">
        <v>31</v>
      </c>
      <c r="X333" s="2">
        <v>13</v>
      </c>
      <c r="Y333" t="s">
        <v>60</v>
      </c>
      <c r="Z333" t="s">
        <v>62</v>
      </c>
      <c r="AA333">
        <v>1</v>
      </c>
      <c r="AB333">
        <v>6</v>
      </c>
      <c r="AC333">
        <v>0</v>
      </c>
      <c r="AD333">
        <v>3</v>
      </c>
      <c r="AE333">
        <v>5</v>
      </c>
      <c r="AF333">
        <v>4</v>
      </c>
      <c r="AG333">
        <v>1</v>
      </c>
      <c r="AH333">
        <v>4</v>
      </c>
      <c r="AI333" t="str">
        <f t="shared" si="20"/>
        <v>3-5 Years</v>
      </c>
      <c r="AJ333" t="str">
        <f t="shared" si="21"/>
        <v>0-2</v>
      </c>
    </row>
    <row r="334" spans="1:36" x14ac:dyDescent="0.35">
      <c r="A334">
        <v>333</v>
      </c>
      <c r="B334">
        <v>54</v>
      </c>
      <c r="C334" t="str">
        <f t="shared" si="22"/>
        <v>46-55</v>
      </c>
      <c r="D334" t="s">
        <v>38</v>
      </c>
      <c r="E334" t="s">
        <v>39</v>
      </c>
      <c r="F334" s="3">
        <v>1389</v>
      </c>
      <c r="G334" t="s">
        <v>40</v>
      </c>
      <c r="H334" s="1">
        <v>20</v>
      </c>
      <c r="I334" t="s">
        <v>60</v>
      </c>
      <c r="J334" t="s">
        <v>34</v>
      </c>
      <c r="K334" t="s">
        <v>62</v>
      </c>
      <c r="L334" t="s">
        <v>35</v>
      </c>
      <c r="M334" s="3">
        <v>31</v>
      </c>
      <c r="N334" t="s">
        <v>60</v>
      </c>
      <c r="O334" t="s">
        <v>61</v>
      </c>
      <c r="P334" t="s">
        <v>42</v>
      </c>
      <c r="Q334" t="s">
        <v>60</v>
      </c>
      <c r="R334" t="s">
        <v>37</v>
      </c>
      <c r="S334" s="3">
        <v>4869</v>
      </c>
      <c r="T334" s="3">
        <v>16885</v>
      </c>
      <c r="U334" s="3" t="str">
        <f t="shared" si="23"/>
        <v>Low</v>
      </c>
      <c r="V334">
        <v>3</v>
      </c>
      <c r="W334" t="s">
        <v>38</v>
      </c>
      <c r="X334" s="2">
        <v>12</v>
      </c>
      <c r="Y334" t="s">
        <v>60</v>
      </c>
      <c r="Z334" t="s">
        <v>62</v>
      </c>
      <c r="AA334">
        <v>0</v>
      </c>
      <c r="AB334">
        <v>20</v>
      </c>
      <c r="AC334">
        <v>4</v>
      </c>
      <c r="AD334">
        <v>2</v>
      </c>
      <c r="AE334">
        <v>4</v>
      </c>
      <c r="AF334">
        <v>3</v>
      </c>
      <c r="AG334">
        <v>0</v>
      </c>
      <c r="AH334">
        <v>3</v>
      </c>
      <c r="AI334" t="str">
        <f t="shared" si="20"/>
        <v>3-5 Years</v>
      </c>
      <c r="AJ334" t="str">
        <f t="shared" si="21"/>
        <v>0-2</v>
      </c>
    </row>
    <row r="335" spans="1:36" x14ac:dyDescent="0.35">
      <c r="A335">
        <v>334</v>
      </c>
      <c r="B335">
        <v>43</v>
      </c>
      <c r="C335" t="str">
        <f t="shared" si="22"/>
        <v>36-45</v>
      </c>
      <c r="D335" t="s">
        <v>38</v>
      </c>
      <c r="E335" t="s">
        <v>32</v>
      </c>
      <c r="F335" s="3">
        <v>1389</v>
      </c>
      <c r="G335" t="s">
        <v>40</v>
      </c>
      <c r="H335" s="1">
        <v>7</v>
      </c>
      <c r="I335" t="s">
        <v>61</v>
      </c>
      <c r="J335" t="s">
        <v>34</v>
      </c>
      <c r="K335" t="s">
        <v>60</v>
      </c>
      <c r="L335" t="s">
        <v>35</v>
      </c>
      <c r="M335" s="3">
        <v>43</v>
      </c>
      <c r="N335" t="s">
        <v>60</v>
      </c>
      <c r="O335" t="s">
        <v>60</v>
      </c>
      <c r="P335" t="s">
        <v>49</v>
      </c>
      <c r="Q335" t="s">
        <v>59</v>
      </c>
      <c r="R335" t="s">
        <v>43</v>
      </c>
      <c r="S335" s="3">
        <v>9985</v>
      </c>
      <c r="T335" s="3">
        <v>9262</v>
      </c>
      <c r="U335" s="3" t="str">
        <f t="shared" si="23"/>
        <v>Medium</v>
      </c>
      <c r="V335">
        <v>8</v>
      </c>
      <c r="W335" t="s">
        <v>38</v>
      </c>
      <c r="X335" s="2">
        <v>16</v>
      </c>
      <c r="Y335" t="s">
        <v>60</v>
      </c>
      <c r="Z335" t="s">
        <v>59</v>
      </c>
      <c r="AA335">
        <v>1</v>
      </c>
      <c r="AB335">
        <v>10</v>
      </c>
      <c r="AC335">
        <v>1</v>
      </c>
      <c r="AD335">
        <v>2</v>
      </c>
      <c r="AE335">
        <v>1</v>
      </c>
      <c r="AF335">
        <v>0</v>
      </c>
      <c r="AG335">
        <v>0</v>
      </c>
      <c r="AH335">
        <v>0</v>
      </c>
      <c r="AI335" t="str">
        <f t="shared" si="20"/>
        <v>0-2 Years</v>
      </c>
      <c r="AJ335" t="str">
        <f t="shared" si="21"/>
        <v>0-2</v>
      </c>
    </row>
    <row r="336" spans="1:36" x14ac:dyDescent="0.35">
      <c r="A336">
        <v>335</v>
      </c>
      <c r="B336">
        <v>45</v>
      </c>
      <c r="C336" t="str">
        <f t="shared" si="22"/>
        <v>36-45</v>
      </c>
      <c r="D336" t="s">
        <v>38</v>
      </c>
      <c r="E336" t="s">
        <v>32</v>
      </c>
      <c r="F336" s="3">
        <v>1389</v>
      </c>
      <c r="G336" t="s">
        <v>40</v>
      </c>
      <c r="H336" s="1">
        <v>8</v>
      </c>
      <c r="I336" t="s">
        <v>60</v>
      </c>
      <c r="J336" t="s">
        <v>44</v>
      </c>
      <c r="K336" t="s">
        <v>62</v>
      </c>
      <c r="L336" t="s">
        <v>41</v>
      </c>
      <c r="M336" s="3">
        <v>75</v>
      </c>
      <c r="N336" t="s">
        <v>60</v>
      </c>
      <c r="O336" t="s">
        <v>61</v>
      </c>
      <c r="P336" t="s">
        <v>42</v>
      </c>
      <c r="Q336" t="s">
        <v>62</v>
      </c>
      <c r="R336" t="s">
        <v>43</v>
      </c>
      <c r="S336" s="3">
        <v>3697</v>
      </c>
      <c r="T336" s="3">
        <v>9278</v>
      </c>
      <c r="U336" s="3" t="str">
        <f t="shared" si="23"/>
        <v>Low</v>
      </c>
      <c r="V336">
        <v>9</v>
      </c>
      <c r="W336" t="s">
        <v>38</v>
      </c>
      <c r="X336" s="2">
        <v>14</v>
      </c>
      <c r="Y336" t="s">
        <v>60</v>
      </c>
      <c r="Z336" t="s">
        <v>59</v>
      </c>
      <c r="AA336">
        <v>2</v>
      </c>
      <c r="AB336">
        <v>12</v>
      </c>
      <c r="AC336">
        <v>3</v>
      </c>
      <c r="AD336">
        <v>3</v>
      </c>
      <c r="AE336">
        <v>10</v>
      </c>
      <c r="AF336">
        <v>9</v>
      </c>
      <c r="AG336">
        <v>9</v>
      </c>
      <c r="AH336">
        <v>8</v>
      </c>
      <c r="AI336" t="str">
        <f t="shared" si="20"/>
        <v>6-10 Years</v>
      </c>
      <c r="AJ336" t="str">
        <f t="shared" si="21"/>
        <v>6+</v>
      </c>
    </row>
    <row r="337" spans="1:36" x14ac:dyDescent="0.35">
      <c r="A337">
        <v>336</v>
      </c>
      <c r="B337">
        <v>40</v>
      </c>
      <c r="C337" t="str">
        <f t="shared" si="22"/>
        <v>36-45</v>
      </c>
      <c r="D337" t="s">
        <v>38</v>
      </c>
      <c r="E337" t="s">
        <v>32</v>
      </c>
      <c r="F337" s="3">
        <v>1389</v>
      </c>
      <c r="G337" t="s">
        <v>33</v>
      </c>
      <c r="H337" s="1">
        <v>1</v>
      </c>
      <c r="I337" t="s">
        <v>58</v>
      </c>
      <c r="J337" t="s">
        <v>46</v>
      </c>
      <c r="K337" t="s">
        <v>61</v>
      </c>
      <c r="L337" t="s">
        <v>41</v>
      </c>
      <c r="M337" s="3">
        <v>57</v>
      </c>
      <c r="N337" t="s">
        <v>59</v>
      </c>
      <c r="O337" t="s">
        <v>61</v>
      </c>
      <c r="P337" t="s">
        <v>36</v>
      </c>
      <c r="Q337" t="s">
        <v>62</v>
      </c>
      <c r="R337" t="s">
        <v>43</v>
      </c>
      <c r="S337" s="3">
        <v>7457</v>
      </c>
      <c r="T337" s="3">
        <v>13273</v>
      </c>
      <c r="U337" s="3" t="str">
        <f t="shared" si="23"/>
        <v>Medium</v>
      </c>
      <c r="V337">
        <v>2</v>
      </c>
      <c r="W337" t="s">
        <v>31</v>
      </c>
      <c r="X337" s="2">
        <v>22</v>
      </c>
      <c r="Y337" t="s">
        <v>62</v>
      </c>
      <c r="Z337" t="s">
        <v>60</v>
      </c>
      <c r="AA337">
        <v>3</v>
      </c>
      <c r="AB337">
        <v>6</v>
      </c>
      <c r="AC337">
        <v>2</v>
      </c>
      <c r="AD337">
        <v>2</v>
      </c>
      <c r="AE337">
        <v>4</v>
      </c>
      <c r="AF337">
        <v>3</v>
      </c>
      <c r="AG337">
        <v>0</v>
      </c>
      <c r="AH337">
        <v>2</v>
      </c>
      <c r="AI337" t="str">
        <f t="shared" si="20"/>
        <v>3-5 Years</v>
      </c>
      <c r="AJ337" t="str">
        <f t="shared" si="21"/>
        <v>0-2</v>
      </c>
    </row>
    <row r="338" spans="1:36" x14ac:dyDescent="0.35">
      <c r="A338">
        <v>337</v>
      </c>
      <c r="B338">
        <v>29</v>
      </c>
      <c r="C338" t="str">
        <f t="shared" si="22"/>
        <v>26-35</v>
      </c>
      <c r="D338" t="s">
        <v>31</v>
      </c>
      <c r="E338" t="s">
        <v>32</v>
      </c>
      <c r="F338" s="3">
        <v>1389</v>
      </c>
      <c r="G338" t="s">
        <v>40</v>
      </c>
      <c r="H338" s="1">
        <v>8</v>
      </c>
      <c r="I338" t="s">
        <v>60</v>
      </c>
      <c r="J338" t="s">
        <v>44</v>
      </c>
      <c r="K338" t="s">
        <v>61</v>
      </c>
      <c r="L338" t="s">
        <v>41</v>
      </c>
      <c r="M338" s="3">
        <v>77</v>
      </c>
      <c r="N338" t="s">
        <v>59</v>
      </c>
      <c r="O338" t="s">
        <v>59</v>
      </c>
      <c r="P338" t="s">
        <v>45</v>
      </c>
      <c r="Q338" t="s">
        <v>59</v>
      </c>
      <c r="R338" t="s">
        <v>43</v>
      </c>
      <c r="S338" s="3">
        <v>2119</v>
      </c>
      <c r="T338" s="3">
        <v>4759</v>
      </c>
      <c r="U338" s="3" t="str">
        <f t="shared" si="23"/>
        <v>Low</v>
      </c>
      <c r="V338">
        <v>1</v>
      </c>
      <c r="W338" t="s">
        <v>31</v>
      </c>
      <c r="X338" s="2">
        <v>11</v>
      </c>
      <c r="Y338" t="s">
        <v>60</v>
      </c>
      <c r="Z338" t="s">
        <v>62</v>
      </c>
      <c r="AA338">
        <v>0</v>
      </c>
      <c r="AB338">
        <v>7</v>
      </c>
      <c r="AC338">
        <v>4</v>
      </c>
      <c r="AD338">
        <v>2</v>
      </c>
      <c r="AE338">
        <v>7</v>
      </c>
      <c r="AF338">
        <v>7</v>
      </c>
      <c r="AG338">
        <v>0</v>
      </c>
      <c r="AH338">
        <v>7</v>
      </c>
      <c r="AI338" t="str">
        <f t="shared" si="20"/>
        <v>6-10 Years</v>
      </c>
      <c r="AJ338" t="str">
        <f t="shared" si="21"/>
        <v>0-2</v>
      </c>
    </row>
    <row r="339" spans="1:36" x14ac:dyDescent="0.35">
      <c r="A339">
        <v>338</v>
      </c>
      <c r="B339">
        <v>29</v>
      </c>
      <c r="C339" t="str">
        <f t="shared" si="22"/>
        <v>26-35</v>
      </c>
      <c r="D339" t="s">
        <v>38</v>
      </c>
      <c r="E339" t="s">
        <v>32</v>
      </c>
      <c r="F339" s="3">
        <v>1389</v>
      </c>
      <c r="G339" t="s">
        <v>40</v>
      </c>
      <c r="H339" s="1">
        <v>9</v>
      </c>
      <c r="I339" t="s">
        <v>62</v>
      </c>
      <c r="J339" t="s">
        <v>44</v>
      </c>
      <c r="K339" t="s">
        <v>61</v>
      </c>
      <c r="L339" t="s">
        <v>41</v>
      </c>
      <c r="M339" s="3">
        <v>30</v>
      </c>
      <c r="N339" t="s">
        <v>61</v>
      </c>
      <c r="O339" t="s">
        <v>59</v>
      </c>
      <c r="P339" t="s">
        <v>45</v>
      </c>
      <c r="Q339" t="s">
        <v>62</v>
      </c>
      <c r="R339" t="s">
        <v>37</v>
      </c>
      <c r="S339" s="3">
        <v>3983</v>
      </c>
      <c r="T339" s="3">
        <v>7621</v>
      </c>
      <c r="U339" s="3" t="str">
        <f t="shared" si="23"/>
        <v>Low</v>
      </c>
      <c r="V339">
        <v>0</v>
      </c>
      <c r="W339" t="s">
        <v>38</v>
      </c>
      <c r="X339" s="2">
        <v>17</v>
      </c>
      <c r="Y339" t="s">
        <v>60</v>
      </c>
      <c r="Z339" t="s">
        <v>60</v>
      </c>
      <c r="AA339">
        <v>0</v>
      </c>
      <c r="AB339">
        <v>4</v>
      </c>
      <c r="AC339">
        <v>2</v>
      </c>
      <c r="AD339">
        <v>3</v>
      </c>
      <c r="AE339">
        <v>3</v>
      </c>
      <c r="AF339">
        <v>2</v>
      </c>
      <c r="AG339">
        <v>2</v>
      </c>
      <c r="AH339">
        <v>2</v>
      </c>
      <c r="AI339" t="str">
        <f t="shared" si="20"/>
        <v>3-5 Years</v>
      </c>
      <c r="AJ339" t="str">
        <f t="shared" si="21"/>
        <v>0-2</v>
      </c>
    </row>
    <row r="340" spans="1:36" x14ac:dyDescent="0.35">
      <c r="A340">
        <v>339</v>
      </c>
      <c r="B340">
        <v>30</v>
      </c>
      <c r="C340" t="str">
        <f t="shared" si="22"/>
        <v>26-35</v>
      </c>
      <c r="D340" t="s">
        <v>38</v>
      </c>
      <c r="E340" t="s">
        <v>32</v>
      </c>
      <c r="F340" s="3">
        <v>1389</v>
      </c>
      <c r="G340" t="s">
        <v>33</v>
      </c>
      <c r="H340" s="1">
        <v>5</v>
      </c>
      <c r="I340" t="s">
        <v>61</v>
      </c>
      <c r="J340" t="s">
        <v>54</v>
      </c>
      <c r="K340" t="s">
        <v>62</v>
      </c>
      <c r="L340" t="s">
        <v>35</v>
      </c>
      <c r="M340" s="3">
        <v>30</v>
      </c>
      <c r="N340" t="s">
        <v>61</v>
      </c>
      <c r="O340" t="s">
        <v>61</v>
      </c>
      <c r="P340" t="s">
        <v>36</v>
      </c>
      <c r="Q340" t="s">
        <v>60</v>
      </c>
      <c r="R340" t="s">
        <v>47</v>
      </c>
      <c r="S340" s="3">
        <v>6118</v>
      </c>
      <c r="T340" s="3">
        <v>5431</v>
      </c>
      <c r="U340" s="3" t="str">
        <f t="shared" si="23"/>
        <v>Medium</v>
      </c>
      <c r="V340">
        <v>1</v>
      </c>
      <c r="W340" t="s">
        <v>38</v>
      </c>
      <c r="X340" s="2">
        <v>13</v>
      </c>
      <c r="Y340" t="s">
        <v>60</v>
      </c>
      <c r="Z340" t="s">
        <v>60</v>
      </c>
      <c r="AA340">
        <v>3</v>
      </c>
      <c r="AB340">
        <v>10</v>
      </c>
      <c r="AC340">
        <v>2</v>
      </c>
      <c r="AD340">
        <v>3</v>
      </c>
      <c r="AE340">
        <v>10</v>
      </c>
      <c r="AF340">
        <v>9</v>
      </c>
      <c r="AG340">
        <v>1</v>
      </c>
      <c r="AH340">
        <v>2</v>
      </c>
      <c r="AI340" t="str">
        <f t="shared" si="20"/>
        <v>6-10 Years</v>
      </c>
      <c r="AJ340" t="str">
        <f t="shared" si="21"/>
        <v>0-2</v>
      </c>
    </row>
    <row r="341" spans="1:36" x14ac:dyDescent="0.35">
      <c r="A341">
        <v>340</v>
      </c>
      <c r="B341">
        <v>27</v>
      </c>
      <c r="C341" t="str">
        <f t="shared" si="22"/>
        <v>26-35</v>
      </c>
      <c r="D341" t="s">
        <v>38</v>
      </c>
      <c r="E341" t="s">
        <v>32</v>
      </c>
      <c r="F341" s="3">
        <v>1389</v>
      </c>
      <c r="G341" t="s">
        <v>33</v>
      </c>
      <c r="H341" s="1">
        <v>8</v>
      </c>
      <c r="I341" t="s">
        <v>60</v>
      </c>
      <c r="J341" t="s">
        <v>54</v>
      </c>
      <c r="K341" t="s">
        <v>61</v>
      </c>
      <c r="L341" t="s">
        <v>35</v>
      </c>
      <c r="M341" s="3">
        <v>56</v>
      </c>
      <c r="N341" t="s">
        <v>60</v>
      </c>
      <c r="O341" t="s">
        <v>61</v>
      </c>
      <c r="P341" t="s">
        <v>36</v>
      </c>
      <c r="Q341" t="s">
        <v>61</v>
      </c>
      <c r="R341" t="s">
        <v>43</v>
      </c>
      <c r="S341" s="3">
        <v>6214</v>
      </c>
      <c r="T341" s="3">
        <v>3415</v>
      </c>
      <c r="U341" s="3" t="str">
        <f t="shared" si="23"/>
        <v>Medium</v>
      </c>
      <c r="V341">
        <v>1</v>
      </c>
      <c r="W341" t="s">
        <v>38</v>
      </c>
      <c r="X341" s="2">
        <v>18</v>
      </c>
      <c r="Y341" t="s">
        <v>60</v>
      </c>
      <c r="Z341" t="s">
        <v>59</v>
      </c>
      <c r="AA341">
        <v>1</v>
      </c>
      <c r="AB341">
        <v>8</v>
      </c>
      <c r="AC341">
        <v>3</v>
      </c>
      <c r="AD341">
        <v>3</v>
      </c>
      <c r="AE341">
        <v>8</v>
      </c>
      <c r="AF341">
        <v>7</v>
      </c>
      <c r="AG341">
        <v>0</v>
      </c>
      <c r="AH341">
        <v>7</v>
      </c>
      <c r="AI341" t="str">
        <f t="shared" si="20"/>
        <v>6-10 Years</v>
      </c>
      <c r="AJ341" t="str">
        <f t="shared" si="21"/>
        <v>0-2</v>
      </c>
    </row>
    <row r="342" spans="1:36" x14ac:dyDescent="0.35">
      <c r="A342">
        <v>341</v>
      </c>
      <c r="B342">
        <v>37</v>
      </c>
      <c r="C342" t="str">
        <f t="shared" si="22"/>
        <v>36-45</v>
      </c>
      <c r="D342" t="s">
        <v>38</v>
      </c>
      <c r="E342" t="s">
        <v>32</v>
      </c>
      <c r="F342" s="3">
        <v>1389</v>
      </c>
      <c r="G342" t="s">
        <v>40</v>
      </c>
      <c r="H342" s="1">
        <v>5</v>
      </c>
      <c r="I342" t="s">
        <v>58</v>
      </c>
      <c r="J342" t="s">
        <v>46</v>
      </c>
      <c r="K342" t="s">
        <v>62</v>
      </c>
      <c r="L342" t="s">
        <v>41</v>
      </c>
      <c r="M342" s="3">
        <v>61</v>
      </c>
      <c r="N342" t="s">
        <v>60</v>
      </c>
      <c r="O342" t="s">
        <v>61</v>
      </c>
      <c r="P342" t="s">
        <v>48</v>
      </c>
      <c r="Q342" t="s">
        <v>62</v>
      </c>
      <c r="R342" t="s">
        <v>47</v>
      </c>
      <c r="S342" s="3">
        <v>6347</v>
      </c>
      <c r="T342" s="3">
        <v>23177</v>
      </c>
      <c r="U342" s="3" t="str">
        <f t="shared" si="23"/>
        <v>Medium</v>
      </c>
      <c r="V342">
        <v>7</v>
      </c>
      <c r="W342" t="s">
        <v>38</v>
      </c>
      <c r="X342" s="2">
        <v>16</v>
      </c>
      <c r="Y342" t="s">
        <v>60</v>
      </c>
      <c r="Z342" t="s">
        <v>60</v>
      </c>
      <c r="AA342">
        <v>2</v>
      </c>
      <c r="AB342">
        <v>8</v>
      </c>
      <c r="AC342">
        <v>2</v>
      </c>
      <c r="AD342">
        <v>2</v>
      </c>
      <c r="AE342">
        <v>6</v>
      </c>
      <c r="AF342">
        <v>2</v>
      </c>
      <c r="AG342">
        <v>0</v>
      </c>
      <c r="AH342">
        <v>4</v>
      </c>
      <c r="AI342" t="str">
        <f t="shared" si="20"/>
        <v>6-10 Years</v>
      </c>
      <c r="AJ342" t="str">
        <f t="shared" si="21"/>
        <v>0-2</v>
      </c>
    </row>
    <row r="343" spans="1:36" x14ac:dyDescent="0.35">
      <c r="A343">
        <v>342</v>
      </c>
      <c r="B343">
        <v>38</v>
      </c>
      <c r="C343" t="str">
        <f t="shared" si="22"/>
        <v>36-45</v>
      </c>
      <c r="D343" t="s">
        <v>38</v>
      </c>
      <c r="E343" t="s">
        <v>32</v>
      </c>
      <c r="F343" s="3">
        <v>1389</v>
      </c>
      <c r="G343" t="s">
        <v>40</v>
      </c>
      <c r="H343" s="1">
        <v>15</v>
      </c>
      <c r="I343" t="s">
        <v>58</v>
      </c>
      <c r="J343" t="s">
        <v>34</v>
      </c>
      <c r="K343" t="s">
        <v>60</v>
      </c>
      <c r="L343" t="s">
        <v>41</v>
      </c>
      <c r="M343" s="3">
        <v>92</v>
      </c>
      <c r="N343" t="s">
        <v>61</v>
      </c>
      <c r="O343" t="s">
        <v>60</v>
      </c>
      <c r="P343" t="s">
        <v>53</v>
      </c>
      <c r="Q343" t="s">
        <v>62</v>
      </c>
      <c r="R343" t="s">
        <v>47</v>
      </c>
      <c r="S343" s="3">
        <v>11510</v>
      </c>
      <c r="T343" s="3">
        <v>15682</v>
      </c>
      <c r="U343" s="3" t="str">
        <f t="shared" si="23"/>
        <v>High</v>
      </c>
      <c r="V343">
        <v>0</v>
      </c>
      <c r="W343" t="s">
        <v>31</v>
      </c>
      <c r="X343" s="2">
        <v>14</v>
      </c>
      <c r="Y343" t="s">
        <v>60</v>
      </c>
      <c r="Z343" t="s">
        <v>61</v>
      </c>
      <c r="AA343">
        <v>1</v>
      </c>
      <c r="AB343">
        <v>12</v>
      </c>
      <c r="AC343">
        <v>3</v>
      </c>
      <c r="AD343">
        <v>3</v>
      </c>
      <c r="AE343">
        <v>11</v>
      </c>
      <c r="AF343">
        <v>10</v>
      </c>
      <c r="AG343">
        <v>2</v>
      </c>
      <c r="AH343">
        <v>9</v>
      </c>
      <c r="AI343" t="str">
        <f t="shared" si="20"/>
        <v>10+ Years</v>
      </c>
      <c r="AJ343" t="str">
        <f t="shared" si="21"/>
        <v>0-2</v>
      </c>
    </row>
    <row r="344" spans="1:36" x14ac:dyDescent="0.35">
      <c r="A344">
        <v>343</v>
      </c>
      <c r="B344">
        <v>31</v>
      </c>
      <c r="C344" t="str">
        <f t="shared" si="22"/>
        <v>26-35</v>
      </c>
      <c r="D344" t="s">
        <v>38</v>
      </c>
      <c r="E344" t="s">
        <v>32</v>
      </c>
      <c r="F344" s="3">
        <v>1389</v>
      </c>
      <c r="G344" t="s">
        <v>40</v>
      </c>
      <c r="H344" s="1">
        <v>7</v>
      </c>
      <c r="I344" t="s">
        <v>60</v>
      </c>
      <c r="J344" t="s">
        <v>46</v>
      </c>
      <c r="K344" t="s">
        <v>60</v>
      </c>
      <c r="L344" t="s">
        <v>35</v>
      </c>
      <c r="M344" s="3">
        <v>39</v>
      </c>
      <c r="N344" t="s">
        <v>60</v>
      </c>
      <c r="O344" t="s">
        <v>60</v>
      </c>
      <c r="P344" t="s">
        <v>48</v>
      </c>
      <c r="Q344" t="s">
        <v>62</v>
      </c>
      <c r="R344" t="s">
        <v>37</v>
      </c>
      <c r="S344" s="3">
        <v>7143</v>
      </c>
      <c r="T344" s="3">
        <v>25713</v>
      </c>
      <c r="U344" s="3" t="str">
        <f t="shared" si="23"/>
        <v>Medium</v>
      </c>
      <c r="V344">
        <v>1</v>
      </c>
      <c r="W344" t="s">
        <v>31</v>
      </c>
      <c r="X344" s="2">
        <v>14</v>
      </c>
      <c r="Y344" t="s">
        <v>60</v>
      </c>
      <c r="Z344" t="s">
        <v>60</v>
      </c>
      <c r="AA344">
        <v>0</v>
      </c>
      <c r="AB344">
        <v>11</v>
      </c>
      <c r="AC344">
        <v>2</v>
      </c>
      <c r="AD344">
        <v>2</v>
      </c>
      <c r="AE344">
        <v>11</v>
      </c>
      <c r="AF344">
        <v>9</v>
      </c>
      <c r="AG344">
        <v>4</v>
      </c>
      <c r="AH344">
        <v>10</v>
      </c>
      <c r="AI344" t="str">
        <f t="shared" si="20"/>
        <v>10+ Years</v>
      </c>
      <c r="AJ344" t="str">
        <f t="shared" si="21"/>
        <v>3-5</v>
      </c>
    </row>
    <row r="345" spans="1:36" x14ac:dyDescent="0.35">
      <c r="A345">
        <v>344</v>
      </c>
      <c r="B345">
        <v>29</v>
      </c>
      <c r="C345" t="str">
        <f t="shared" si="22"/>
        <v>26-35</v>
      </c>
      <c r="D345" t="s">
        <v>38</v>
      </c>
      <c r="E345" t="s">
        <v>32</v>
      </c>
      <c r="F345" s="3">
        <v>1389</v>
      </c>
      <c r="G345" t="s">
        <v>33</v>
      </c>
      <c r="H345" s="1">
        <v>10</v>
      </c>
      <c r="I345" t="s">
        <v>59</v>
      </c>
      <c r="J345" t="s">
        <v>54</v>
      </c>
      <c r="K345" t="s">
        <v>62</v>
      </c>
      <c r="L345" t="s">
        <v>35</v>
      </c>
      <c r="M345" s="3">
        <v>39</v>
      </c>
      <c r="N345" t="s">
        <v>61</v>
      </c>
      <c r="O345" t="s">
        <v>61</v>
      </c>
      <c r="P345" t="s">
        <v>36</v>
      </c>
      <c r="Q345" t="s">
        <v>61</v>
      </c>
      <c r="R345" t="s">
        <v>47</v>
      </c>
      <c r="S345" s="3">
        <v>8268</v>
      </c>
      <c r="T345" s="3">
        <v>11866</v>
      </c>
      <c r="U345" s="3" t="str">
        <f t="shared" si="23"/>
        <v>Medium</v>
      </c>
      <c r="V345">
        <v>1</v>
      </c>
      <c r="W345" t="s">
        <v>31</v>
      </c>
      <c r="X345" s="2">
        <v>14</v>
      </c>
      <c r="Y345" t="s">
        <v>60</v>
      </c>
      <c r="Z345" t="s">
        <v>59</v>
      </c>
      <c r="AA345">
        <v>2</v>
      </c>
      <c r="AB345">
        <v>7</v>
      </c>
      <c r="AC345">
        <v>2</v>
      </c>
      <c r="AD345">
        <v>3</v>
      </c>
      <c r="AE345">
        <v>7</v>
      </c>
      <c r="AF345">
        <v>7</v>
      </c>
      <c r="AG345">
        <v>1</v>
      </c>
      <c r="AH345">
        <v>7</v>
      </c>
      <c r="AI345" t="str">
        <f t="shared" si="20"/>
        <v>6-10 Years</v>
      </c>
      <c r="AJ345" t="str">
        <f t="shared" si="21"/>
        <v>0-2</v>
      </c>
    </row>
    <row r="346" spans="1:36" x14ac:dyDescent="0.35">
      <c r="A346">
        <v>345</v>
      </c>
      <c r="B346">
        <v>35</v>
      </c>
      <c r="C346" t="str">
        <f t="shared" si="22"/>
        <v>26-35</v>
      </c>
      <c r="D346" t="s">
        <v>38</v>
      </c>
      <c r="E346" t="s">
        <v>32</v>
      </c>
      <c r="F346" s="3">
        <v>1389</v>
      </c>
      <c r="G346" t="s">
        <v>40</v>
      </c>
      <c r="H346" s="1">
        <v>5</v>
      </c>
      <c r="I346" t="s">
        <v>60</v>
      </c>
      <c r="J346" t="s">
        <v>55</v>
      </c>
      <c r="K346" t="s">
        <v>60</v>
      </c>
      <c r="L346" t="s">
        <v>41</v>
      </c>
      <c r="M346" s="3">
        <v>62</v>
      </c>
      <c r="N346" t="s">
        <v>60</v>
      </c>
      <c r="O346" t="s">
        <v>60</v>
      </c>
      <c r="P346" t="s">
        <v>48</v>
      </c>
      <c r="Q346" t="s">
        <v>61</v>
      </c>
      <c r="R346" t="s">
        <v>37</v>
      </c>
      <c r="S346" s="3">
        <v>8095</v>
      </c>
      <c r="T346" s="3">
        <v>18264</v>
      </c>
      <c r="U346" s="3" t="str">
        <f t="shared" si="23"/>
        <v>Medium</v>
      </c>
      <c r="V346">
        <v>0</v>
      </c>
      <c r="W346" t="s">
        <v>38</v>
      </c>
      <c r="X346" s="2">
        <v>13</v>
      </c>
      <c r="Y346" t="s">
        <v>60</v>
      </c>
      <c r="Z346" t="s">
        <v>62</v>
      </c>
      <c r="AA346">
        <v>0</v>
      </c>
      <c r="AB346">
        <v>17</v>
      </c>
      <c r="AC346">
        <v>5</v>
      </c>
      <c r="AD346">
        <v>3</v>
      </c>
      <c r="AE346">
        <v>16</v>
      </c>
      <c r="AF346">
        <v>6</v>
      </c>
      <c r="AG346">
        <v>0</v>
      </c>
      <c r="AH346">
        <v>13</v>
      </c>
      <c r="AI346" t="str">
        <f t="shared" si="20"/>
        <v>10+ Years</v>
      </c>
      <c r="AJ346" t="str">
        <f t="shared" si="21"/>
        <v>0-2</v>
      </c>
    </row>
    <row r="347" spans="1:36" x14ac:dyDescent="0.35">
      <c r="A347">
        <v>346</v>
      </c>
      <c r="B347">
        <v>23</v>
      </c>
      <c r="C347" t="str">
        <f t="shared" si="22"/>
        <v>18-25</v>
      </c>
      <c r="D347" t="s">
        <v>38</v>
      </c>
      <c r="E347" t="s">
        <v>32</v>
      </c>
      <c r="F347" s="3">
        <v>1389</v>
      </c>
      <c r="G347" t="s">
        <v>40</v>
      </c>
      <c r="H347" s="1">
        <v>26</v>
      </c>
      <c r="I347" t="s">
        <v>59</v>
      </c>
      <c r="J347" t="s">
        <v>34</v>
      </c>
      <c r="K347" t="s">
        <v>60</v>
      </c>
      <c r="L347" t="s">
        <v>41</v>
      </c>
      <c r="M347" s="3">
        <v>83</v>
      </c>
      <c r="N347" t="s">
        <v>60</v>
      </c>
      <c r="O347" t="s">
        <v>59</v>
      </c>
      <c r="P347" t="s">
        <v>42</v>
      </c>
      <c r="Q347" t="s">
        <v>62</v>
      </c>
      <c r="R347" t="s">
        <v>47</v>
      </c>
      <c r="S347" s="3">
        <v>2904</v>
      </c>
      <c r="T347" s="3">
        <v>16092</v>
      </c>
      <c r="U347" s="3" t="str">
        <f t="shared" si="23"/>
        <v>Low</v>
      </c>
      <c r="V347">
        <v>1</v>
      </c>
      <c r="W347" t="s">
        <v>38</v>
      </c>
      <c r="X347" s="2">
        <v>12</v>
      </c>
      <c r="Y347" t="s">
        <v>60</v>
      </c>
      <c r="Z347" t="s">
        <v>60</v>
      </c>
      <c r="AA347">
        <v>2</v>
      </c>
      <c r="AB347">
        <v>4</v>
      </c>
      <c r="AC347">
        <v>2</v>
      </c>
      <c r="AD347">
        <v>2</v>
      </c>
      <c r="AE347">
        <v>4</v>
      </c>
      <c r="AF347">
        <v>2</v>
      </c>
      <c r="AG347">
        <v>0</v>
      </c>
      <c r="AH347">
        <v>2</v>
      </c>
      <c r="AI347" t="str">
        <f t="shared" si="20"/>
        <v>3-5 Years</v>
      </c>
      <c r="AJ347" t="str">
        <f t="shared" si="21"/>
        <v>0-2</v>
      </c>
    </row>
    <row r="348" spans="1:36" x14ac:dyDescent="0.35">
      <c r="A348">
        <v>347</v>
      </c>
      <c r="B348">
        <v>41</v>
      </c>
      <c r="C348" t="str">
        <f t="shared" si="22"/>
        <v>36-45</v>
      </c>
      <c r="D348" t="s">
        <v>38</v>
      </c>
      <c r="E348" t="s">
        <v>32</v>
      </c>
      <c r="F348" s="3">
        <v>1389</v>
      </c>
      <c r="G348" t="s">
        <v>40</v>
      </c>
      <c r="H348" s="1">
        <v>6</v>
      </c>
      <c r="I348" t="s">
        <v>61</v>
      </c>
      <c r="J348" t="s">
        <v>46</v>
      </c>
      <c r="K348" t="s">
        <v>62</v>
      </c>
      <c r="L348" t="s">
        <v>41</v>
      </c>
      <c r="M348" s="3">
        <v>95</v>
      </c>
      <c r="N348" t="s">
        <v>61</v>
      </c>
      <c r="O348" t="s">
        <v>61</v>
      </c>
      <c r="P348" t="s">
        <v>48</v>
      </c>
      <c r="Q348" t="s">
        <v>61</v>
      </c>
      <c r="R348" t="s">
        <v>37</v>
      </c>
      <c r="S348" s="3">
        <v>6032</v>
      </c>
      <c r="T348" s="3">
        <v>10110</v>
      </c>
      <c r="U348" s="3" t="str">
        <f t="shared" si="23"/>
        <v>Medium</v>
      </c>
      <c r="V348">
        <v>6</v>
      </c>
      <c r="W348" t="s">
        <v>31</v>
      </c>
      <c r="X348" s="2">
        <v>15</v>
      </c>
      <c r="Y348" t="s">
        <v>60</v>
      </c>
      <c r="Z348" t="s">
        <v>62</v>
      </c>
      <c r="AA348">
        <v>0</v>
      </c>
      <c r="AB348">
        <v>8</v>
      </c>
      <c r="AC348">
        <v>3</v>
      </c>
      <c r="AD348">
        <v>3</v>
      </c>
      <c r="AE348">
        <v>5</v>
      </c>
      <c r="AF348">
        <v>4</v>
      </c>
      <c r="AG348">
        <v>1</v>
      </c>
      <c r="AH348">
        <v>2</v>
      </c>
      <c r="AI348" t="str">
        <f t="shared" si="20"/>
        <v>3-5 Years</v>
      </c>
      <c r="AJ348" t="str">
        <f t="shared" si="21"/>
        <v>0-2</v>
      </c>
    </row>
    <row r="349" spans="1:36" x14ac:dyDescent="0.35">
      <c r="A349">
        <v>348</v>
      </c>
      <c r="B349">
        <v>47</v>
      </c>
      <c r="C349" t="str">
        <f t="shared" si="22"/>
        <v>46-55</v>
      </c>
      <c r="D349" t="s">
        <v>38</v>
      </c>
      <c r="E349" t="s">
        <v>39</v>
      </c>
      <c r="F349" s="3">
        <v>1389</v>
      </c>
      <c r="G349" t="s">
        <v>33</v>
      </c>
      <c r="H349" s="1">
        <v>4</v>
      </c>
      <c r="I349" t="s">
        <v>59</v>
      </c>
      <c r="J349" t="s">
        <v>46</v>
      </c>
      <c r="K349" t="s">
        <v>61</v>
      </c>
      <c r="L349" t="s">
        <v>41</v>
      </c>
      <c r="M349" s="3">
        <v>99</v>
      </c>
      <c r="N349" t="s">
        <v>60</v>
      </c>
      <c r="O349" t="s">
        <v>61</v>
      </c>
      <c r="P349" t="s">
        <v>52</v>
      </c>
      <c r="Q349" t="s">
        <v>60</v>
      </c>
      <c r="R349" t="s">
        <v>37</v>
      </c>
      <c r="S349" s="3">
        <v>2976</v>
      </c>
      <c r="T349" s="3">
        <v>25751</v>
      </c>
      <c r="U349" s="3" t="str">
        <f t="shared" si="23"/>
        <v>Low</v>
      </c>
      <c r="V349">
        <v>3</v>
      </c>
      <c r="W349" t="s">
        <v>38</v>
      </c>
      <c r="X349" s="2">
        <v>19</v>
      </c>
      <c r="Y349" t="s">
        <v>60</v>
      </c>
      <c r="Z349" t="s">
        <v>59</v>
      </c>
      <c r="AA349">
        <v>0</v>
      </c>
      <c r="AB349">
        <v>5</v>
      </c>
      <c r="AC349">
        <v>3</v>
      </c>
      <c r="AD349">
        <v>3</v>
      </c>
      <c r="AE349">
        <v>0</v>
      </c>
      <c r="AF349">
        <v>0</v>
      </c>
      <c r="AG349">
        <v>0</v>
      </c>
      <c r="AH349">
        <v>0</v>
      </c>
      <c r="AI349" t="str">
        <f t="shared" si="20"/>
        <v>0-2 Years</v>
      </c>
      <c r="AJ349" t="str">
        <f t="shared" si="21"/>
        <v>0-2</v>
      </c>
    </row>
    <row r="350" spans="1:36" x14ac:dyDescent="0.35">
      <c r="A350">
        <v>349</v>
      </c>
      <c r="B350">
        <v>42</v>
      </c>
      <c r="C350" t="str">
        <f t="shared" si="22"/>
        <v>36-45</v>
      </c>
      <c r="D350" t="s">
        <v>38</v>
      </c>
      <c r="E350" t="s">
        <v>32</v>
      </c>
      <c r="F350" s="3">
        <v>1389</v>
      </c>
      <c r="G350" t="s">
        <v>40</v>
      </c>
      <c r="H350" s="1">
        <v>23</v>
      </c>
      <c r="I350" t="s">
        <v>62</v>
      </c>
      <c r="J350" t="s">
        <v>34</v>
      </c>
      <c r="K350" t="s">
        <v>59</v>
      </c>
      <c r="L350" t="s">
        <v>35</v>
      </c>
      <c r="M350" s="3">
        <v>44</v>
      </c>
      <c r="N350" t="s">
        <v>60</v>
      </c>
      <c r="O350" t="s">
        <v>62</v>
      </c>
      <c r="P350" t="s">
        <v>53</v>
      </c>
      <c r="Q350" t="s">
        <v>62</v>
      </c>
      <c r="R350" t="s">
        <v>37</v>
      </c>
      <c r="S350" s="3">
        <v>15992</v>
      </c>
      <c r="T350" s="3">
        <v>15901</v>
      </c>
      <c r="U350" s="3" t="str">
        <f t="shared" si="23"/>
        <v>High</v>
      </c>
      <c r="V350">
        <v>2</v>
      </c>
      <c r="W350" t="s">
        <v>38</v>
      </c>
      <c r="X350" s="2">
        <v>14</v>
      </c>
      <c r="Y350" t="s">
        <v>60</v>
      </c>
      <c r="Z350" t="s">
        <v>61</v>
      </c>
      <c r="AA350">
        <v>0</v>
      </c>
      <c r="AB350">
        <v>16</v>
      </c>
      <c r="AC350">
        <v>2</v>
      </c>
      <c r="AD350">
        <v>3</v>
      </c>
      <c r="AE350">
        <v>1</v>
      </c>
      <c r="AF350">
        <v>0</v>
      </c>
      <c r="AG350">
        <v>0</v>
      </c>
      <c r="AH350">
        <v>0</v>
      </c>
      <c r="AI350" t="str">
        <f t="shared" si="20"/>
        <v>0-2 Years</v>
      </c>
      <c r="AJ350" t="str">
        <f t="shared" si="21"/>
        <v>0-2</v>
      </c>
    </row>
    <row r="351" spans="1:36" x14ac:dyDescent="0.35">
      <c r="A351">
        <v>350</v>
      </c>
      <c r="B351">
        <v>29</v>
      </c>
      <c r="C351" t="str">
        <f t="shared" si="22"/>
        <v>26-35</v>
      </c>
      <c r="D351" t="s">
        <v>38</v>
      </c>
      <c r="E351" t="s">
        <v>50</v>
      </c>
      <c r="F351" s="3">
        <v>1389</v>
      </c>
      <c r="G351" t="s">
        <v>33</v>
      </c>
      <c r="H351" s="1">
        <v>2</v>
      </c>
      <c r="I351" t="s">
        <v>61</v>
      </c>
      <c r="J351" t="s">
        <v>34</v>
      </c>
      <c r="K351" t="s">
        <v>62</v>
      </c>
      <c r="L351" t="s">
        <v>41</v>
      </c>
      <c r="M351" s="3">
        <v>61</v>
      </c>
      <c r="N351" t="s">
        <v>60</v>
      </c>
      <c r="O351" t="s">
        <v>61</v>
      </c>
      <c r="P351" t="s">
        <v>36</v>
      </c>
      <c r="Q351" t="s">
        <v>60</v>
      </c>
      <c r="R351" t="s">
        <v>43</v>
      </c>
      <c r="S351" s="3">
        <v>4649</v>
      </c>
      <c r="T351" s="3">
        <v>16928</v>
      </c>
      <c r="U351" s="3" t="str">
        <f t="shared" si="23"/>
        <v>Low</v>
      </c>
      <c r="V351">
        <v>1</v>
      </c>
      <c r="W351" t="s">
        <v>38</v>
      </c>
      <c r="X351" s="2">
        <v>14</v>
      </c>
      <c r="Y351" t="s">
        <v>60</v>
      </c>
      <c r="Z351" t="s">
        <v>59</v>
      </c>
      <c r="AA351">
        <v>1</v>
      </c>
      <c r="AB351">
        <v>4</v>
      </c>
      <c r="AC351">
        <v>3</v>
      </c>
      <c r="AD351">
        <v>2</v>
      </c>
      <c r="AE351">
        <v>4</v>
      </c>
      <c r="AF351">
        <v>3</v>
      </c>
      <c r="AG351">
        <v>0</v>
      </c>
      <c r="AH351">
        <v>2</v>
      </c>
      <c r="AI351" t="str">
        <f t="shared" si="20"/>
        <v>3-5 Years</v>
      </c>
      <c r="AJ351" t="str">
        <f t="shared" si="21"/>
        <v>0-2</v>
      </c>
    </row>
    <row r="352" spans="1:36" x14ac:dyDescent="0.35">
      <c r="A352">
        <v>351</v>
      </c>
      <c r="B352">
        <v>42</v>
      </c>
      <c r="C352" t="str">
        <f t="shared" si="22"/>
        <v>36-45</v>
      </c>
      <c r="D352" t="s">
        <v>38</v>
      </c>
      <c r="E352" t="s">
        <v>32</v>
      </c>
      <c r="F352" s="3">
        <v>1389</v>
      </c>
      <c r="G352" t="s">
        <v>56</v>
      </c>
      <c r="H352" s="1">
        <v>2</v>
      </c>
      <c r="I352" t="s">
        <v>59</v>
      </c>
      <c r="J352" t="s">
        <v>55</v>
      </c>
      <c r="K352" t="s">
        <v>60</v>
      </c>
      <c r="L352" t="s">
        <v>41</v>
      </c>
      <c r="M352" s="3">
        <v>52</v>
      </c>
      <c r="N352" t="s">
        <v>60</v>
      </c>
      <c r="O352" t="s">
        <v>59</v>
      </c>
      <c r="P352" t="s">
        <v>56</v>
      </c>
      <c r="Q352" t="s">
        <v>60</v>
      </c>
      <c r="R352" t="s">
        <v>47</v>
      </c>
      <c r="S352" s="3">
        <v>2696</v>
      </c>
      <c r="T352" s="3">
        <v>24017</v>
      </c>
      <c r="U352" s="3" t="str">
        <f t="shared" si="23"/>
        <v>Low</v>
      </c>
      <c r="V352">
        <v>0</v>
      </c>
      <c r="W352" t="s">
        <v>31</v>
      </c>
      <c r="X352" s="2">
        <v>11</v>
      </c>
      <c r="Y352" t="s">
        <v>60</v>
      </c>
      <c r="Z352" t="s">
        <v>60</v>
      </c>
      <c r="AA352">
        <v>1</v>
      </c>
      <c r="AB352">
        <v>4</v>
      </c>
      <c r="AC352">
        <v>5</v>
      </c>
      <c r="AD352">
        <v>3</v>
      </c>
      <c r="AE352">
        <v>3</v>
      </c>
      <c r="AF352">
        <v>2</v>
      </c>
      <c r="AG352">
        <v>1</v>
      </c>
      <c r="AH352">
        <v>0</v>
      </c>
      <c r="AI352" t="str">
        <f t="shared" si="20"/>
        <v>3-5 Years</v>
      </c>
      <c r="AJ352" t="str">
        <f t="shared" si="21"/>
        <v>0-2</v>
      </c>
    </row>
    <row r="353" spans="1:36" x14ac:dyDescent="0.35">
      <c r="A353">
        <v>352</v>
      </c>
      <c r="B353">
        <v>32</v>
      </c>
      <c r="C353" t="str">
        <f t="shared" si="22"/>
        <v>26-35</v>
      </c>
      <c r="D353" t="s">
        <v>38</v>
      </c>
      <c r="E353" t="s">
        <v>32</v>
      </c>
      <c r="F353" s="3">
        <v>1389</v>
      </c>
      <c r="G353" t="s">
        <v>40</v>
      </c>
      <c r="H353" s="1">
        <v>2</v>
      </c>
      <c r="I353" t="s">
        <v>61</v>
      </c>
      <c r="J353" t="s">
        <v>46</v>
      </c>
      <c r="K353" t="s">
        <v>60</v>
      </c>
      <c r="L353" t="s">
        <v>35</v>
      </c>
      <c r="M353" s="3">
        <v>75</v>
      </c>
      <c r="N353" t="s">
        <v>60</v>
      </c>
      <c r="O353" t="s">
        <v>59</v>
      </c>
      <c r="P353" t="s">
        <v>45</v>
      </c>
      <c r="Q353" t="s">
        <v>61</v>
      </c>
      <c r="R353" t="s">
        <v>43</v>
      </c>
      <c r="S353" s="3">
        <v>2370</v>
      </c>
      <c r="T353" s="3">
        <v>3956</v>
      </c>
      <c r="U353" s="3" t="str">
        <f t="shared" si="23"/>
        <v>Low</v>
      </c>
      <c r="V353">
        <v>1</v>
      </c>
      <c r="W353" t="s">
        <v>38</v>
      </c>
      <c r="X353" s="2">
        <v>13</v>
      </c>
      <c r="Y353" t="s">
        <v>60</v>
      </c>
      <c r="Z353" t="s">
        <v>60</v>
      </c>
      <c r="AA353">
        <v>1</v>
      </c>
      <c r="AB353">
        <v>8</v>
      </c>
      <c r="AC353">
        <v>4</v>
      </c>
      <c r="AD353">
        <v>3</v>
      </c>
      <c r="AE353">
        <v>8</v>
      </c>
      <c r="AF353">
        <v>0</v>
      </c>
      <c r="AG353">
        <v>0</v>
      </c>
      <c r="AH353">
        <v>7</v>
      </c>
      <c r="AI353" t="str">
        <f t="shared" si="20"/>
        <v>6-10 Years</v>
      </c>
      <c r="AJ353" t="str">
        <f t="shared" si="21"/>
        <v>0-2</v>
      </c>
    </row>
    <row r="354" spans="1:36" x14ac:dyDescent="0.35">
      <c r="A354">
        <v>353</v>
      </c>
      <c r="B354">
        <v>48</v>
      </c>
      <c r="C354" t="str">
        <f t="shared" si="22"/>
        <v>46-55</v>
      </c>
      <c r="D354" t="s">
        <v>38</v>
      </c>
      <c r="E354" t="s">
        <v>32</v>
      </c>
      <c r="F354" s="3">
        <v>1389</v>
      </c>
      <c r="G354" t="s">
        <v>33</v>
      </c>
      <c r="H354" s="1">
        <v>29</v>
      </c>
      <c r="I354" t="s">
        <v>59</v>
      </c>
      <c r="J354" t="s">
        <v>46</v>
      </c>
      <c r="K354" t="s">
        <v>59</v>
      </c>
      <c r="L354" t="s">
        <v>35</v>
      </c>
      <c r="M354" s="3">
        <v>91</v>
      </c>
      <c r="N354" t="s">
        <v>60</v>
      </c>
      <c r="O354" t="s">
        <v>60</v>
      </c>
      <c r="P354" t="s">
        <v>51</v>
      </c>
      <c r="Q354" t="s">
        <v>60</v>
      </c>
      <c r="R354" t="s">
        <v>43</v>
      </c>
      <c r="S354" s="3">
        <v>12504</v>
      </c>
      <c r="T354" s="3">
        <v>23978</v>
      </c>
      <c r="U354" s="3" t="str">
        <f t="shared" si="23"/>
        <v>High</v>
      </c>
      <c r="V354">
        <v>3</v>
      </c>
      <c r="W354" t="s">
        <v>38</v>
      </c>
      <c r="X354" s="2">
        <v>21</v>
      </c>
      <c r="Y354" t="s">
        <v>62</v>
      </c>
      <c r="Z354" t="s">
        <v>61</v>
      </c>
      <c r="AA354">
        <v>1</v>
      </c>
      <c r="AB354">
        <v>15</v>
      </c>
      <c r="AC354">
        <v>3</v>
      </c>
      <c r="AD354">
        <v>1</v>
      </c>
      <c r="AE354">
        <v>0</v>
      </c>
      <c r="AF354">
        <v>0</v>
      </c>
      <c r="AG354">
        <v>0</v>
      </c>
      <c r="AH354">
        <v>0</v>
      </c>
      <c r="AI354" t="str">
        <f t="shared" si="20"/>
        <v>0-2 Years</v>
      </c>
      <c r="AJ354" t="str">
        <f t="shared" si="21"/>
        <v>0-2</v>
      </c>
    </row>
    <row r="355" spans="1:36" x14ac:dyDescent="0.35">
      <c r="A355">
        <v>354</v>
      </c>
      <c r="B355">
        <v>37</v>
      </c>
      <c r="C355" t="str">
        <f t="shared" si="22"/>
        <v>36-45</v>
      </c>
      <c r="D355" t="s">
        <v>38</v>
      </c>
      <c r="E355" t="s">
        <v>32</v>
      </c>
      <c r="F355" s="3">
        <v>1389</v>
      </c>
      <c r="G355" t="s">
        <v>40</v>
      </c>
      <c r="H355" s="1">
        <v>6</v>
      </c>
      <c r="I355" t="s">
        <v>61</v>
      </c>
      <c r="J355" t="s">
        <v>46</v>
      </c>
      <c r="K355" t="s">
        <v>60</v>
      </c>
      <c r="L355" t="s">
        <v>41</v>
      </c>
      <c r="M355" s="3">
        <v>51</v>
      </c>
      <c r="N355" t="s">
        <v>62</v>
      </c>
      <c r="O355" t="s">
        <v>61</v>
      </c>
      <c r="P355" t="s">
        <v>42</v>
      </c>
      <c r="Q355" t="s">
        <v>59</v>
      </c>
      <c r="R355" t="s">
        <v>47</v>
      </c>
      <c r="S355" s="3">
        <v>5974</v>
      </c>
      <c r="T355" s="3">
        <v>17001</v>
      </c>
      <c r="U355" s="3" t="str">
        <f t="shared" si="23"/>
        <v>Medium</v>
      </c>
      <c r="V355">
        <v>4</v>
      </c>
      <c r="W355" t="s">
        <v>31</v>
      </c>
      <c r="X355" s="2">
        <v>13</v>
      </c>
      <c r="Y355" t="s">
        <v>60</v>
      </c>
      <c r="Z355" t="s">
        <v>59</v>
      </c>
      <c r="AA355">
        <v>2</v>
      </c>
      <c r="AB355">
        <v>13</v>
      </c>
      <c r="AC355">
        <v>2</v>
      </c>
      <c r="AD355">
        <v>3</v>
      </c>
      <c r="AE355">
        <v>7</v>
      </c>
      <c r="AF355">
        <v>7</v>
      </c>
      <c r="AG355">
        <v>6</v>
      </c>
      <c r="AH355">
        <v>7</v>
      </c>
      <c r="AI355" t="str">
        <f t="shared" si="20"/>
        <v>6-10 Years</v>
      </c>
      <c r="AJ355" t="str">
        <f t="shared" si="21"/>
        <v>6+</v>
      </c>
    </row>
    <row r="356" spans="1:36" x14ac:dyDescent="0.35">
      <c r="A356">
        <v>355</v>
      </c>
      <c r="B356">
        <v>30</v>
      </c>
      <c r="C356" t="str">
        <f t="shared" si="22"/>
        <v>26-35</v>
      </c>
      <c r="D356" t="s">
        <v>38</v>
      </c>
      <c r="E356" t="s">
        <v>50</v>
      </c>
      <c r="F356" s="3">
        <v>1389</v>
      </c>
      <c r="G356" t="s">
        <v>33</v>
      </c>
      <c r="H356" s="1">
        <v>25</v>
      </c>
      <c r="I356" t="s">
        <v>58</v>
      </c>
      <c r="J356" t="s">
        <v>55</v>
      </c>
      <c r="K356" t="s">
        <v>62</v>
      </c>
      <c r="L356" t="s">
        <v>35</v>
      </c>
      <c r="M356" s="3">
        <v>85</v>
      </c>
      <c r="N356" t="s">
        <v>60</v>
      </c>
      <c r="O356" t="s">
        <v>61</v>
      </c>
      <c r="P356" t="s">
        <v>36</v>
      </c>
      <c r="Q356" t="s">
        <v>60</v>
      </c>
      <c r="R356" t="s">
        <v>43</v>
      </c>
      <c r="S356" s="3">
        <v>4736</v>
      </c>
      <c r="T356" s="3">
        <v>6069</v>
      </c>
      <c r="U356" s="3" t="str">
        <f t="shared" si="23"/>
        <v>Low</v>
      </c>
      <c r="V356">
        <v>7</v>
      </c>
      <c r="W356" t="s">
        <v>31</v>
      </c>
      <c r="X356" s="2">
        <v>12</v>
      </c>
      <c r="Y356" t="s">
        <v>60</v>
      </c>
      <c r="Z356" t="s">
        <v>61</v>
      </c>
      <c r="AA356">
        <v>1</v>
      </c>
      <c r="AB356">
        <v>4</v>
      </c>
      <c r="AC356">
        <v>2</v>
      </c>
      <c r="AD356">
        <v>4</v>
      </c>
      <c r="AE356">
        <v>2</v>
      </c>
      <c r="AF356">
        <v>2</v>
      </c>
      <c r="AG356">
        <v>2</v>
      </c>
      <c r="AH356">
        <v>2</v>
      </c>
      <c r="AI356" t="str">
        <f t="shared" si="20"/>
        <v>0-2 Years</v>
      </c>
      <c r="AJ356" t="str">
        <f t="shared" si="21"/>
        <v>0-2</v>
      </c>
    </row>
    <row r="357" spans="1:36" x14ac:dyDescent="0.35">
      <c r="A357">
        <v>356</v>
      </c>
      <c r="B357">
        <v>26</v>
      </c>
      <c r="C357" t="str">
        <f t="shared" si="22"/>
        <v>26-35</v>
      </c>
      <c r="D357" t="s">
        <v>38</v>
      </c>
      <c r="E357" t="s">
        <v>32</v>
      </c>
      <c r="F357" s="3">
        <v>1389</v>
      </c>
      <c r="G357" t="s">
        <v>33</v>
      </c>
      <c r="H357" s="1">
        <v>1</v>
      </c>
      <c r="I357" t="s">
        <v>61</v>
      </c>
      <c r="J357" t="s">
        <v>34</v>
      </c>
      <c r="K357" t="s">
        <v>60</v>
      </c>
      <c r="L357" t="s">
        <v>41</v>
      </c>
      <c r="M357" s="3">
        <v>57</v>
      </c>
      <c r="N357" t="s">
        <v>60</v>
      </c>
      <c r="O357" t="s">
        <v>61</v>
      </c>
      <c r="P357" t="s">
        <v>36</v>
      </c>
      <c r="Q357" t="s">
        <v>60</v>
      </c>
      <c r="R357" t="s">
        <v>43</v>
      </c>
      <c r="S357" s="3">
        <v>5296</v>
      </c>
      <c r="T357" s="3">
        <v>20156</v>
      </c>
      <c r="U357" s="3" t="str">
        <f t="shared" si="23"/>
        <v>Medium</v>
      </c>
      <c r="V357">
        <v>1</v>
      </c>
      <c r="W357" t="s">
        <v>38</v>
      </c>
      <c r="X357" s="2">
        <v>17</v>
      </c>
      <c r="Y357" t="s">
        <v>60</v>
      </c>
      <c r="Z357" t="s">
        <v>61</v>
      </c>
      <c r="AA357">
        <v>1</v>
      </c>
      <c r="AB357">
        <v>8</v>
      </c>
      <c r="AC357">
        <v>3</v>
      </c>
      <c r="AD357">
        <v>3</v>
      </c>
      <c r="AE357">
        <v>8</v>
      </c>
      <c r="AF357">
        <v>7</v>
      </c>
      <c r="AG357">
        <v>7</v>
      </c>
      <c r="AH357">
        <v>7</v>
      </c>
      <c r="AI357" t="str">
        <f t="shared" si="20"/>
        <v>6-10 Years</v>
      </c>
      <c r="AJ357" t="str">
        <f t="shared" si="21"/>
        <v>6+</v>
      </c>
    </row>
    <row r="358" spans="1:36" x14ac:dyDescent="0.35">
      <c r="A358">
        <v>357</v>
      </c>
      <c r="B358">
        <v>42</v>
      </c>
      <c r="C358" t="str">
        <f t="shared" si="22"/>
        <v>36-45</v>
      </c>
      <c r="D358" t="s">
        <v>38</v>
      </c>
      <c r="E358" t="s">
        <v>32</v>
      </c>
      <c r="F358" s="3">
        <v>1389</v>
      </c>
      <c r="G358" t="s">
        <v>40</v>
      </c>
      <c r="H358" s="1">
        <v>2</v>
      </c>
      <c r="I358" t="s">
        <v>60</v>
      </c>
      <c r="J358" t="s">
        <v>44</v>
      </c>
      <c r="K358" t="s">
        <v>59</v>
      </c>
      <c r="L358" t="s">
        <v>41</v>
      </c>
      <c r="M358" s="3">
        <v>98</v>
      </c>
      <c r="N358" t="s">
        <v>61</v>
      </c>
      <c r="O358" t="s">
        <v>61</v>
      </c>
      <c r="P358" t="s">
        <v>49</v>
      </c>
      <c r="Q358" t="s">
        <v>62</v>
      </c>
      <c r="R358" t="s">
        <v>37</v>
      </c>
      <c r="S358" s="3">
        <v>6781</v>
      </c>
      <c r="T358" s="3">
        <v>17078</v>
      </c>
      <c r="U358" s="3" t="str">
        <f t="shared" si="23"/>
        <v>Medium</v>
      </c>
      <c r="V358">
        <v>3</v>
      </c>
      <c r="W358" t="s">
        <v>38</v>
      </c>
      <c r="X358" s="2">
        <v>23</v>
      </c>
      <c r="Y358" t="s">
        <v>62</v>
      </c>
      <c r="Z358" t="s">
        <v>61</v>
      </c>
      <c r="AA358">
        <v>0</v>
      </c>
      <c r="AB358">
        <v>14</v>
      </c>
      <c r="AC358">
        <v>6</v>
      </c>
      <c r="AD358">
        <v>3</v>
      </c>
      <c r="AE358">
        <v>1</v>
      </c>
      <c r="AF358">
        <v>0</v>
      </c>
      <c r="AG358">
        <v>0</v>
      </c>
      <c r="AH358">
        <v>0</v>
      </c>
      <c r="AI358" t="str">
        <f t="shared" si="20"/>
        <v>0-2 Years</v>
      </c>
      <c r="AJ358" t="str">
        <f t="shared" si="21"/>
        <v>0-2</v>
      </c>
    </row>
    <row r="359" spans="1:36" x14ac:dyDescent="0.35">
      <c r="A359">
        <v>358</v>
      </c>
      <c r="B359">
        <v>21</v>
      </c>
      <c r="C359" t="str">
        <f t="shared" si="22"/>
        <v>18-25</v>
      </c>
      <c r="D359" t="s">
        <v>31</v>
      </c>
      <c r="E359" t="s">
        <v>39</v>
      </c>
      <c r="F359" s="3">
        <v>1389</v>
      </c>
      <c r="G359" t="s">
        <v>33</v>
      </c>
      <c r="H359" s="1">
        <v>1</v>
      </c>
      <c r="I359" t="s">
        <v>59</v>
      </c>
      <c r="J359" t="s">
        <v>55</v>
      </c>
      <c r="K359" t="s">
        <v>59</v>
      </c>
      <c r="L359" t="s">
        <v>35</v>
      </c>
      <c r="M359" s="3">
        <v>99</v>
      </c>
      <c r="N359" t="s">
        <v>61</v>
      </c>
      <c r="O359" t="s">
        <v>59</v>
      </c>
      <c r="P359" t="s">
        <v>52</v>
      </c>
      <c r="Q359" t="s">
        <v>61</v>
      </c>
      <c r="R359" t="s">
        <v>37</v>
      </c>
      <c r="S359" s="3">
        <v>2174</v>
      </c>
      <c r="T359" s="3">
        <v>9150</v>
      </c>
      <c r="U359" s="3" t="str">
        <f t="shared" si="23"/>
        <v>Low</v>
      </c>
      <c r="V359">
        <v>1</v>
      </c>
      <c r="W359" t="s">
        <v>31</v>
      </c>
      <c r="X359" s="2">
        <v>11</v>
      </c>
      <c r="Y359" t="s">
        <v>60</v>
      </c>
      <c r="Z359" t="s">
        <v>60</v>
      </c>
      <c r="AA359">
        <v>0</v>
      </c>
      <c r="AB359">
        <v>3</v>
      </c>
      <c r="AC359">
        <v>3</v>
      </c>
      <c r="AD359">
        <v>3</v>
      </c>
      <c r="AE359">
        <v>3</v>
      </c>
      <c r="AF359">
        <v>2</v>
      </c>
      <c r="AG359">
        <v>1</v>
      </c>
      <c r="AH359">
        <v>2</v>
      </c>
      <c r="AI359" t="str">
        <f t="shared" si="20"/>
        <v>3-5 Years</v>
      </c>
      <c r="AJ359" t="str">
        <f t="shared" si="21"/>
        <v>0-2</v>
      </c>
    </row>
    <row r="360" spans="1:36" x14ac:dyDescent="0.35">
      <c r="A360">
        <v>359</v>
      </c>
      <c r="B360">
        <v>36</v>
      </c>
      <c r="C360" t="str">
        <f t="shared" si="22"/>
        <v>36-45</v>
      </c>
      <c r="D360" t="s">
        <v>38</v>
      </c>
      <c r="E360" t="s">
        <v>50</v>
      </c>
      <c r="F360" s="3">
        <v>1389</v>
      </c>
      <c r="G360" t="s">
        <v>33</v>
      </c>
      <c r="H360" s="1">
        <v>1</v>
      </c>
      <c r="I360" t="s">
        <v>62</v>
      </c>
      <c r="J360" t="s">
        <v>46</v>
      </c>
      <c r="K360" t="s">
        <v>62</v>
      </c>
      <c r="L360" t="s">
        <v>35</v>
      </c>
      <c r="M360" s="3">
        <v>45</v>
      </c>
      <c r="N360" t="s">
        <v>60</v>
      </c>
      <c r="O360" t="s">
        <v>61</v>
      </c>
      <c r="P360" t="s">
        <v>36</v>
      </c>
      <c r="Q360" t="s">
        <v>62</v>
      </c>
      <c r="R360" t="s">
        <v>37</v>
      </c>
      <c r="S360" s="3">
        <v>6653</v>
      </c>
      <c r="T360" s="3">
        <v>15276</v>
      </c>
      <c r="U360" s="3" t="str">
        <f t="shared" si="23"/>
        <v>Medium</v>
      </c>
      <c r="V360">
        <v>4</v>
      </c>
      <c r="W360" t="s">
        <v>38</v>
      </c>
      <c r="X360" s="2">
        <v>15</v>
      </c>
      <c r="Y360" t="s">
        <v>60</v>
      </c>
      <c r="Z360" t="s">
        <v>61</v>
      </c>
      <c r="AA360">
        <v>0</v>
      </c>
      <c r="AB360">
        <v>7</v>
      </c>
      <c r="AC360">
        <v>6</v>
      </c>
      <c r="AD360">
        <v>3</v>
      </c>
      <c r="AE360">
        <v>1</v>
      </c>
      <c r="AF360">
        <v>0</v>
      </c>
      <c r="AG360">
        <v>0</v>
      </c>
      <c r="AH360">
        <v>0</v>
      </c>
      <c r="AI360" t="str">
        <f t="shared" si="20"/>
        <v>0-2 Years</v>
      </c>
      <c r="AJ360" t="str">
        <f t="shared" si="21"/>
        <v>0-2</v>
      </c>
    </row>
    <row r="361" spans="1:36" x14ac:dyDescent="0.35">
      <c r="A361">
        <v>360</v>
      </c>
      <c r="B361">
        <v>36</v>
      </c>
      <c r="C361" t="str">
        <f t="shared" si="22"/>
        <v>36-45</v>
      </c>
      <c r="D361" t="s">
        <v>38</v>
      </c>
      <c r="E361" t="s">
        <v>39</v>
      </c>
      <c r="F361" s="3">
        <v>1389</v>
      </c>
      <c r="G361" t="s">
        <v>33</v>
      </c>
      <c r="H361" s="1">
        <v>3</v>
      </c>
      <c r="I361" t="s">
        <v>60</v>
      </c>
      <c r="J361" t="s">
        <v>46</v>
      </c>
      <c r="K361" t="s">
        <v>59</v>
      </c>
      <c r="L361" t="s">
        <v>41</v>
      </c>
      <c r="M361" s="3">
        <v>48</v>
      </c>
      <c r="N361" t="s">
        <v>61</v>
      </c>
      <c r="O361" t="s">
        <v>60</v>
      </c>
      <c r="P361" t="s">
        <v>36</v>
      </c>
      <c r="Q361" t="s">
        <v>62</v>
      </c>
      <c r="R361" t="s">
        <v>43</v>
      </c>
      <c r="S361" s="3">
        <v>9699</v>
      </c>
      <c r="T361" s="3">
        <v>7246</v>
      </c>
      <c r="U361" s="3" t="str">
        <f t="shared" si="23"/>
        <v>Medium</v>
      </c>
      <c r="V361">
        <v>4</v>
      </c>
      <c r="W361" t="s">
        <v>38</v>
      </c>
      <c r="X361" s="2">
        <v>11</v>
      </c>
      <c r="Y361" t="s">
        <v>60</v>
      </c>
      <c r="Z361" t="s">
        <v>59</v>
      </c>
      <c r="AA361">
        <v>1</v>
      </c>
      <c r="AB361">
        <v>16</v>
      </c>
      <c r="AC361">
        <v>2</v>
      </c>
      <c r="AD361">
        <v>3</v>
      </c>
      <c r="AE361">
        <v>13</v>
      </c>
      <c r="AF361">
        <v>9</v>
      </c>
      <c r="AG361">
        <v>1</v>
      </c>
      <c r="AH361">
        <v>12</v>
      </c>
      <c r="AI361" t="str">
        <f t="shared" si="20"/>
        <v>10+ Years</v>
      </c>
      <c r="AJ361" t="str">
        <f t="shared" si="21"/>
        <v>0-2</v>
      </c>
    </row>
    <row r="362" spans="1:36" x14ac:dyDescent="0.35">
      <c r="A362">
        <v>361</v>
      </c>
      <c r="B362">
        <v>57</v>
      </c>
      <c r="C362" t="str">
        <f t="shared" si="22"/>
        <v>55+</v>
      </c>
      <c r="D362" t="s">
        <v>38</v>
      </c>
      <c r="E362" t="s">
        <v>32</v>
      </c>
      <c r="F362" s="3">
        <v>1389</v>
      </c>
      <c r="G362" t="s">
        <v>40</v>
      </c>
      <c r="H362" s="1">
        <v>1</v>
      </c>
      <c r="I362" t="s">
        <v>60</v>
      </c>
      <c r="J362" t="s">
        <v>46</v>
      </c>
      <c r="K362" t="s">
        <v>62</v>
      </c>
      <c r="L362" t="s">
        <v>41</v>
      </c>
      <c r="M362" s="3">
        <v>88</v>
      </c>
      <c r="N362" t="s">
        <v>60</v>
      </c>
      <c r="O362" t="s">
        <v>61</v>
      </c>
      <c r="P362" t="s">
        <v>49</v>
      </c>
      <c r="Q362" t="s">
        <v>60</v>
      </c>
      <c r="R362" t="s">
        <v>43</v>
      </c>
      <c r="S362" s="3">
        <v>6755</v>
      </c>
      <c r="T362" s="3">
        <v>2967</v>
      </c>
      <c r="U362" s="3" t="str">
        <f t="shared" si="23"/>
        <v>Medium</v>
      </c>
      <c r="V362">
        <v>2</v>
      </c>
      <c r="W362" t="s">
        <v>38</v>
      </c>
      <c r="X362" s="2">
        <v>11</v>
      </c>
      <c r="Y362" t="s">
        <v>60</v>
      </c>
      <c r="Z362" t="s">
        <v>60</v>
      </c>
      <c r="AA362">
        <v>0</v>
      </c>
      <c r="AB362">
        <v>15</v>
      </c>
      <c r="AC362">
        <v>2</v>
      </c>
      <c r="AD362">
        <v>3</v>
      </c>
      <c r="AE362">
        <v>3</v>
      </c>
      <c r="AF362">
        <v>2</v>
      </c>
      <c r="AG362">
        <v>1</v>
      </c>
      <c r="AH362">
        <v>2</v>
      </c>
      <c r="AI362" t="str">
        <f t="shared" si="20"/>
        <v>3-5 Years</v>
      </c>
      <c r="AJ362" t="str">
        <f t="shared" si="21"/>
        <v>0-2</v>
      </c>
    </row>
    <row r="363" spans="1:36" x14ac:dyDescent="0.35">
      <c r="A363">
        <v>362</v>
      </c>
      <c r="B363">
        <v>40</v>
      </c>
      <c r="C363" t="str">
        <f t="shared" si="22"/>
        <v>36-45</v>
      </c>
      <c r="D363" t="s">
        <v>38</v>
      </c>
      <c r="E363" t="s">
        <v>32</v>
      </c>
      <c r="F363" s="3">
        <v>1389</v>
      </c>
      <c r="G363" t="s">
        <v>40</v>
      </c>
      <c r="H363" s="1">
        <v>10</v>
      </c>
      <c r="I363" t="s">
        <v>60</v>
      </c>
      <c r="J363" t="s">
        <v>34</v>
      </c>
      <c r="K363" t="s">
        <v>62</v>
      </c>
      <c r="L363" t="s">
        <v>35</v>
      </c>
      <c r="M363" s="3">
        <v>46</v>
      </c>
      <c r="N363" t="s">
        <v>62</v>
      </c>
      <c r="O363" t="s">
        <v>59</v>
      </c>
      <c r="P363" t="s">
        <v>45</v>
      </c>
      <c r="Q363" t="s">
        <v>60</v>
      </c>
      <c r="R363" t="s">
        <v>43</v>
      </c>
      <c r="S363" s="3">
        <v>2213</v>
      </c>
      <c r="T363" s="3">
        <v>22495</v>
      </c>
      <c r="U363" s="3" t="str">
        <f t="shared" si="23"/>
        <v>Low</v>
      </c>
      <c r="V363">
        <v>3</v>
      </c>
      <c r="W363" t="s">
        <v>31</v>
      </c>
      <c r="X363" s="2">
        <v>13</v>
      </c>
      <c r="Y363" t="s">
        <v>60</v>
      </c>
      <c r="Z363" t="s">
        <v>60</v>
      </c>
      <c r="AA363">
        <v>1</v>
      </c>
      <c r="AB363">
        <v>10</v>
      </c>
      <c r="AC363">
        <v>3</v>
      </c>
      <c r="AD363">
        <v>3</v>
      </c>
      <c r="AE363">
        <v>7</v>
      </c>
      <c r="AF363">
        <v>7</v>
      </c>
      <c r="AG363">
        <v>1</v>
      </c>
      <c r="AH363">
        <v>7</v>
      </c>
      <c r="AI363" t="str">
        <f t="shared" si="20"/>
        <v>6-10 Years</v>
      </c>
      <c r="AJ363" t="str">
        <f t="shared" si="21"/>
        <v>0-2</v>
      </c>
    </row>
    <row r="364" spans="1:36" x14ac:dyDescent="0.35">
      <c r="A364">
        <v>363</v>
      </c>
      <c r="B364">
        <v>21</v>
      </c>
      <c r="C364" t="str">
        <f t="shared" si="22"/>
        <v>18-25</v>
      </c>
      <c r="D364" t="s">
        <v>38</v>
      </c>
      <c r="E364" t="s">
        <v>50</v>
      </c>
      <c r="F364" s="3">
        <v>1389</v>
      </c>
      <c r="G364" t="s">
        <v>33</v>
      </c>
      <c r="H364" s="1">
        <v>9</v>
      </c>
      <c r="I364" t="s">
        <v>58</v>
      </c>
      <c r="J364" t="s">
        <v>46</v>
      </c>
      <c r="K364" t="s">
        <v>59</v>
      </c>
      <c r="L364" t="s">
        <v>41</v>
      </c>
      <c r="M364" s="3">
        <v>39</v>
      </c>
      <c r="N364" t="s">
        <v>60</v>
      </c>
      <c r="O364" t="s">
        <v>59</v>
      </c>
      <c r="P364" t="s">
        <v>52</v>
      </c>
      <c r="Q364" t="s">
        <v>62</v>
      </c>
      <c r="R364" t="s">
        <v>37</v>
      </c>
      <c r="S364" s="3">
        <v>2610</v>
      </c>
      <c r="T364" s="3">
        <v>2851</v>
      </c>
      <c r="U364" s="3" t="str">
        <f t="shared" si="23"/>
        <v>Low</v>
      </c>
      <c r="V364">
        <v>1</v>
      </c>
      <c r="W364" t="s">
        <v>38</v>
      </c>
      <c r="X364" s="2">
        <v>24</v>
      </c>
      <c r="Y364" t="s">
        <v>62</v>
      </c>
      <c r="Z364" t="s">
        <v>60</v>
      </c>
      <c r="AA364">
        <v>0</v>
      </c>
      <c r="AB364">
        <v>3</v>
      </c>
      <c r="AC364">
        <v>3</v>
      </c>
      <c r="AD364">
        <v>2</v>
      </c>
      <c r="AE364">
        <v>3</v>
      </c>
      <c r="AF364">
        <v>2</v>
      </c>
      <c r="AG364">
        <v>2</v>
      </c>
      <c r="AH364">
        <v>2</v>
      </c>
      <c r="AI364" t="str">
        <f t="shared" si="20"/>
        <v>3-5 Years</v>
      </c>
      <c r="AJ364" t="str">
        <f t="shared" si="21"/>
        <v>0-2</v>
      </c>
    </row>
    <row r="365" spans="1:36" x14ac:dyDescent="0.35">
      <c r="A365">
        <v>364</v>
      </c>
      <c r="B365">
        <v>33</v>
      </c>
      <c r="C365" t="str">
        <f t="shared" si="22"/>
        <v>26-35</v>
      </c>
      <c r="D365" t="s">
        <v>31</v>
      </c>
      <c r="E365" t="s">
        <v>32</v>
      </c>
      <c r="F365" s="3">
        <v>1389</v>
      </c>
      <c r="G365" t="s">
        <v>33</v>
      </c>
      <c r="H365" s="1">
        <v>5</v>
      </c>
      <c r="I365" t="s">
        <v>61</v>
      </c>
      <c r="J365" t="s">
        <v>54</v>
      </c>
      <c r="K365" t="s">
        <v>62</v>
      </c>
      <c r="L365" t="s">
        <v>35</v>
      </c>
      <c r="M365" s="3">
        <v>34</v>
      </c>
      <c r="N365" t="s">
        <v>60</v>
      </c>
      <c r="O365" t="s">
        <v>59</v>
      </c>
      <c r="P365" t="s">
        <v>52</v>
      </c>
      <c r="Q365" t="s">
        <v>60</v>
      </c>
      <c r="R365" t="s">
        <v>37</v>
      </c>
      <c r="S365" s="3">
        <v>2851</v>
      </c>
      <c r="T365" s="3">
        <v>9150</v>
      </c>
      <c r="U365" s="3" t="str">
        <f t="shared" si="23"/>
        <v>Low</v>
      </c>
      <c r="V365">
        <v>1</v>
      </c>
      <c r="W365" t="s">
        <v>31</v>
      </c>
      <c r="X365" s="2">
        <v>13</v>
      </c>
      <c r="Y365" t="s">
        <v>60</v>
      </c>
      <c r="Z365" t="s">
        <v>61</v>
      </c>
      <c r="AA365">
        <v>0</v>
      </c>
      <c r="AB365">
        <v>1</v>
      </c>
      <c r="AC365">
        <v>2</v>
      </c>
      <c r="AD365">
        <v>3</v>
      </c>
      <c r="AE365">
        <v>1</v>
      </c>
      <c r="AF365">
        <v>0</v>
      </c>
      <c r="AG365">
        <v>0</v>
      </c>
      <c r="AH365">
        <v>0</v>
      </c>
      <c r="AI365" t="str">
        <f t="shared" si="20"/>
        <v>0-2 Years</v>
      </c>
      <c r="AJ365" t="str">
        <f t="shared" si="21"/>
        <v>0-2</v>
      </c>
    </row>
    <row r="366" spans="1:36" x14ac:dyDescent="0.35">
      <c r="A366">
        <v>365</v>
      </c>
      <c r="B366">
        <v>37</v>
      </c>
      <c r="C366" t="str">
        <f t="shared" si="22"/>
        <v>36-45</v>
      </c>
      <c r="D366" t="s">
        <v>38</v>
      </c>
      <c r="E366" t="s">
        <v>32</v>
      </c>
      <c r="F366" s="3">
        <v>1389</v>
      </c>
      <c r="G366" t="s">
        <v>40</v>
      </c>
      <c r="H366" s="1">
        <v>10</v>
      </c>
      <c r="I366" t="s">
        <v>61</v>
      </c>
      <c r="J366" t="s">
        <v>46</v>
      </c>
      <c r="K366" t="s">
        <v>60</v>
      </c>
      <c r="L366" t="s">
        <v>35</v>
      </c>
      <c r="M366" s="3">
        <v>98</v>
      </c>
      <c r="N366" t="s">
        <v>60</v>
      </c>
      <c r="O366" t="s">
        <v>59</v>
      </c>
      <c r="P366" t="s">
        <v>45</v>
      </c>
      <c r="Q366" t="s">
        <v>59</v>
      </c>
      <c r="R366" t="s">
        <v>43</v>
      </c>
      <c r="S366" s="3">
        <v>3452</v>
      </c>
      <c r="T366" s="3">
        <v>17663</v>
      </c>
      <c r="U366" s="3" t="str">
        <f t="shared" si="23"/>
        <v>Low</v>
      </c>
      <c r="V366">
        <v>6</v>
      </c>
      <c r="W366" t="s">
        <v>38</v>
      </c>
      <c r="X366" s="2">
        <v>20</v>
      </c>
      <c r="Y366" t="s">
        <v>62</v>
      </c>
      <c r="Z366" t="s">
        <v>61</v>
      </c>
      <c r="AA366">
        <v>1</v>
      </c>
      <c r="AB366">
        <v>17</v>
      </c>
      <c r="AC366">
        <v>3</v>
      </c>
      <c r="AD366">
        <v>3</v>
      </c>
      <c r="AE366">
        <v>5</v>
      </c>
      <c r="AF366">
        <v>4</v>
      </c>
      <c r="AG366">
        <v>0</v>
      </c>
      <c r="AH366">
        <v>3</v>
      </c>
      <c r="AI366" t="str">
        <f t="shared" si="20"/>
        <v>3-5 Years</v>
      </c>
      <c r="AJ366" t="str">
        <f t="shared" si="21"/>
        <v>0-2</v>
      </c>
    </row>
    <row r="367" spans="1:36" x14ac:dyDescent="0.35">
      <c r="A367">
        <v>366</v>
      </c>
      <c r="B367">
        <v>46</v>
      </c>
      <c r="C367" t="str">
        <f t="shared" si="22"/>
        <v>46-55</v>
      </c>
      <c r="D367" t="s">
        <v>38</v>
      </c>
      <c r="E367" t="s">
        <v>50</v>
      </c>
      <c r="F367" s="3">
        <v>1389</v>
      </c>
      <c r="G367" t="s">
        <v>40</v>
      </c>
      <c r="H367" s="1">
        <v>7</v>
      </c>
      <c r="I367" t="s">
        <v>60</v>
      </c>
      <c r="J367" t="s">
        <v>46</v>
      </c>
      <c r="K367" t="s">
        <v>60</v>
      </c>
      <c r="L367" t="s">
        <v>35</v>
      </c>
      <c r="M367" s="3">
        <v>30</v>
      </c>
      <c r="N367" t="s">
        <v>60</v>
      </c>
      <c r="O367" t="s">
        <v>61</v>
      </c>
      <c r="P367" t="s">
        <v>48</v>
      </c>
      <c r="Q367" t="s">
        <v>60</v>
      </c>
      <c r="R367" t="s">
        <v>43</v>
      </c>
      <c r="S367" s="3">
        <v>5258</v>
      </c>
      <c r="T367" s="3">
        <v>16044</v>
      </c>
      <c r="U367" s="3" t="str">
        <f t="shared" si="23"/>
        <v>Medium</v>
      </c>
      <c r="V367">
        <v>2</v>
      </c>
      <c r="W367" t="s">
        <v>38</v>
      </c>
      <c r="X367" s="2">
        <v>14</v>
      </c>
      <c r="Y367" t="s">
        <v>60</v>
      </c>
      <c r="Z367" t="s">
        <v>60</v>
      </c>
      <c r="AA367">
        <v>0</v>
      </c>
      <c r="AB367">
        <v>7</v>
      </c>
      <c r="AC367">
        <v>2</v>
      </c>
      <c r="AD367">
        <v>4</v>
      </c>
      <c r="AE367">
        <v>1</v>
      </c>
      <c r="AF367">
        <v>0</v>
      </c>
      <c r="AG367">
        <v>0</v>
      </c>
      <c r="AH367">
        <v>0</v>
      </c>
      <c r="AI367" t="str">
        <f t="shared" si="20"/>
        <v>0-2 Years</v>
      </c>
      <c r="AJ367" t="str">
        <f t="shared" si="21"/>
        <v>0-2</v>
      </c>
    </row>
    <row r="368" spans="1:36" x14ac:dyDescent="0.35">
      <c r="A368">
        <v>367</v>
      </c>
      <c r="B368">
        <v>41</v>
      </c>
      <c r="C368" t="str">
        <f t="shared" si="22"/>
        <v>36-45</v>
      </c>
      <c r="D368" t="s">
        <v>31</v>
      </c>
      <c r="E368" t="s">
        <v>39</v>
      </c>
      <c r="F368" s="3">
        <v>1389</v>
      </c>
      <c r="G368" t="s">
        <v>33</v>
      </c>
      <c r="H368" s="1">
        <v>4</v>
      </c>
      <c r="I368" t="s">
        <v>61</v>
      </c>
      <c r="J368" t="s">
        <v>54</v>
      </c>
      <c r="K368" t="s">
        <v>59</v>
      </c>
      <c r="L368" t="s">
        <v>41</v>
      </c>
      <c r="M368" s="3">
        <v>56</v>
      </c>
      <c r="N368" t="s">
        <v>60</v>
      </c>
      <c r="O368" t="s">
        <v>61</v>
      </c>
      <c r="P368" t="s">
        <v>36</v>
      </c>
      <c r="Q368" t="s">
        <v>61</v>
      </c>
      <c r="R368" t="s">
        <v>37</v>
      </c>
      <c r="S368" s="3">
        <v>9355</v>
      </c>
      <c r="T368" s="3">
        <v>9558</v>
      </c>
      <c r="U368" s="3" t="str">
        <f t="shared" si="23"/>
        <v>Medium</v>
      </c>
      <c r="V368">
        <v>1</v>
      </c>
      <c r="W368" t="s">
        <v>38</v>
      </c>
      <c r="X368" s="2">
        <v>18</v>
      </c>
      <c r="Y368" t="s">
        <v>60</v>
      </c>
      <c r="Z368" t="s">
        <v>60</v>
      </c>
      <c r="AA368">
        <v>0</v>
      </c>
      <c r="AB368">
        <v>8</v>
      </c>
      <c r="AC368">
        <v>5</v>
      </c>
      <c r="AD368">
        <v>3</v>
      </c>
      <c r="AE368">
        <v>8</v>
      </c>
      <c r="AF368">
        <v>7</v>
      </c>
      <c r="AG368">
        <v>7</v>
      </c>
      <c r="AH368">
        <v>7</v>
      </c>
      <c r="AI368" t="str">
        <f t="shared" si="20"/>
        <v>6-10 Years</v>
      </c>
      <c r="AJ368" t="str">
        <f t="shared" si="21"/>
        <v>6+</v>
      </c>
    </row>
    <row r="369" spans="1:36" x14ac:dyDescent="0.35">
      <c r="A369">
        <v>368</v>
      </c>
      <c r="B369">
        <v>50</v>
      </c>
      <c r="C369" t="str">
        <f t="shared" si="22"/>
        <v>46-55</v>
      </c>
      <c r="D369" t="s">
        <v>38</v>
      </c>
      <c r="E369" t="s">
        <v>32</v>
      </c>
      <c r="F369" s="3">
        <v>1389</v>
      </c>
      <c r="G369" t="s">
        <v>40</v>
      </c>
      <c r="H369" s="1">
        <v>10</v>
      </c>
      <c r="I369" t="s">
        <v>61</v>
      </c>
      <c r="J369" t="s">
        <v>55</v>
      </c>
      <c r="K369" t="s">
        <v>62</v>
      </c>
      <c r="L369" t="s">
        <v>41</v>
      </c>
      <c r="M369" s="3">
        <v>100</v>
      </c>
      <c r="N369" t="s">
        <v>61</v>
      </c>
      <c r="O369" t="s">
        <v>60</v>
      </c>
      <c r="P369" t="s">
        <v>49</v>
      </c>
      <c r="Q369" t="s">
        <v>62</v>
      </c>
      <c r="R369" t="s">
        <v>37</v>
      </c>
      <c r="S369" s="3">
        <v>10496</v>
      </c>
      <c r="T369" s="3">
        <v>2755</v>
      </c>
      <c r="U369" s="3" t="str">
        <f t="shared" si="23"/>
        <v>High</v>
      </c>
      <c r="V369">
        <v>6</v>
      </c>
      <c r="W369" t="s">
        <v>38</v>
      </c>
      <c r="X369" s="2">
        <v>15</v>
      </c>
      <c r="Y369" t="s">
        <v>60</v>
      </c>
      <c r="Z369" t="s">
        <v>62</v>
      </c>
      <c r="AA369">
        <v>0</v>
      </c>
      <c r="AB369">
        <v>20</v>
      </c>
      <c r="AC369">
        <v>2</v>
      </c>
      <c r="AD369">
        <v>3</v>
      </c>
      <c r="AE369">
        <v>4</v>
      </c>
      <c r="AF369">
        <v>3</v>
      </c>
      <c r="AG369">
        <v>1</v>
      </c>
      <c r="AH369">
        <v>3</v>
      </c>
      <c r="AI369" t="str">
        <f t="shared" si="20"/>
        <v>3-5 Years</v>
      </c>
      <c r="AJ369" t="str">
        <f t="shared" si="21"/>
        <v>0-2</v>
      </c>
    </row>
    <row r="370" spans="1:36" x14ac:dyDescent="0.35">
      <c r="A370">
        <v>369</v>
      </c>
      <c r="B370">
        <v>40</v>
      </c>
      <c r="C370" t="str">
        <f t="shared" si="22"/>
        <v>36-45</v>
      </c>
      <c r="D370" t="s">
        <v>31</v>
      </c>
      <c r="E370" t="s">
        <v>32</v>
      </c>
      <c r="F370" s="3">
        <v>1389</v>
      </c>
      <c r="G370" t="s">
        <v>33</v>
      </c>
      <c r="H370" s="1">
        <v>22</v>
      </c>
      <c r="I370" t="s">
        <v>58</v>
      </c>
      <c r="J370" t="s">
        <v>54</v>
      </c>
      <c r="K370" t="s">
        <v>60</v>
      </c>
      <c r="L370" t="s">
        <v>41</v>
      </c>
      <c r="M370" s="3">
        <v>68</v>
      </c>
      <c r="N370" t="s">
        <v>61</v>
      </c>
      <c r="O370" t="s">
        <v>61</v>
      </c>
      <c r="P370" t="s">
        <v>36</v>
      </c>
      <c r="Q370" t="s">
        <v>60</v>
      </c>
      <c r="R370" t="s">
        <v>43</v>
      </c>
      <c r="S370" s="3">
        <v>6380</v>
      </c>
      <c r="T370" s="3">
        <v>6110</v>
      </c>
      <c r="U370" s="3" t="str">
        <f t="shared" si="23"/>
        <v>Medium</v>
      </c>
      <c r="V370">
        <v>2</v>
      </c>
      <c r="W370" t="s">
        <v>31</v>
      </c>
      <c r="X370" s="2">
        <v>12</v>
      </c>
      <c r="Y370" t="s">
        <v>60</v>
      </c>
      <c r="Z370" t="s">
        <v>59</v>
      </c>
      <c r="AA370">
        <v>2</v>
      </c>
      <c r="AB370">
        <v>8</v>
      </c>
      <c r="AC370">
        <v>6</v>
      </c>
      <c r="AD370">
        <v>3</v>
      </c>
      <c r="AE370">
        <v>6</v>
      </c>
      <c r="AF370">
        <v>4</v>
      </c>
      <c r="AG370">
        <v>1</v>
      </c>
      <c r="AH370">
        <v>0</v>
      </c>
      <c r="AI370" t="str">
        <f t="shared" si="20"/>
        <v>6-10 Years</v>
      </c>
      <c r="AJ370" t="str">
        <f t="shared" si="21"/>
        <v>0-2</v>
      </c>
    </row>
    <row r="371" spans="1:36" x14ac:dyDescent="0.35">
      <c r="A371">
        <v>370</v>
      </c>
      <c r="B371">
        <v>31</v>
      </c>
      <c r="C371" t="str">
        <f t="shared" si="22"/>
        <v>26-35</v>
      </c>
      <c r="D371" t="s">
        <v>38</v>
      </c>
      <c r="E371" t="s">
        <v>32</v>
      </c>
      <c r="F371" s="3">
        <v>1389</v>
      </c>
      <c r="G371" t="s">
        <v>40</v>
      </c>
      <c r="H371" s="1">
        <v>9</v>
      </c>
      <c r="I371" t="s">
        <v>60</v>
      </c>
      <c r="J371" t="s">
        <v>34</v>
      </c>
      <c r="K371" t="s">
        <v>60</v>
      </c>
      <c r="L371" t="s">
        <v>41</v>
      </c>
      <c r="M371" s="3">
        <v>42</v>
      </c>
      <c r="N371" t="s">
        <v>61</v>
      </c>
      <c r="O371" t="s">
        <v>59</v>
      </c>
      <c r="P371" t="s">
        <v>42</v>
      </c>
      <c r="Q371" t="s">
        <v>61</v>
      </c>
      <c r="R371" t="s">
        <v>37</v>
      </c>
      <c r="S371" s="3">
        <v>2657</v>
      </c>
      <c r="T371" s="3">
        <v>7551</v>
      </c>
      <c r="U371" s="3" t="str">
        <f t="shared" si="23"/>
        <v>Low</v>
      </c>
      <c r="V371">
        <v>0</v>
      </c>
      <c r="W371" t="s">
        <v>31</v>
      </c>
      <c r="X371" s="2">
        <v>16</v>
      </c>
      <c r="Y371" t="s">
        <v>60</v>
      </c>
      <c r="Z371" t="s">
        <v>62</v>
      </c>
      <c r="AA371">
        <v>0</v>
      </c>
      <c r="AB371">
        <v>3</v>
      </c>
      <c r="AC371">
        <v>5</v>
      </c>
      <c r="AD371">
        <v>3</v>
      </c>
      <c r="AE371">
        <v>2</v>
      </c>
      <c r="AF371">
        <v>2</v>
      </c>
      <c r="AG371">
        <v>2</v>
      </c>
      <c r="AH371">
        <v>2</v>
      </c>
      <c r="AI371" t="str">
        <f t="shared" si="20"/>
        <v>0-2 Years</v>
      </c>
      <c r="AJ371" t="str">
        <f t="shared" si="21"/>
        <v>0-2</v>
      </c>
    </row>
    <row r="372" spans="1:36" x14ac:dyDescent="0.35">
      <c r="A372">
        <v>371</v>
      </c>
      <c r="B372">
        <v>21</v>
      </c>
      <c r="C372" t="str">
        <f t="shared" si="22"/>
        <v>18-25</v>
      </c>
      <c r="D372" t="s">
        <v>31</v>
      </c>
      <c r="E372" t="s">
        <v>32</v>
      </c>
      <c r="F372" s="3">
        <v>1389</v>
      </c>
      <c r="G372" t="s">
        <v>33</v>
      </c>
      <c r="H372" s="1">
        <v>12</v>
      </c>
      <c r="I372" t="s">
        <v>61</v>
      </c>
      <c r="J372" t="s">
        <v>34</v>
      </c>
      <c r="K372" t="s">
        <v>60</v>
      </c>
      <c r="L372" t="s">
        <v>35</v>
      </c>
      <c r="M372" s="3">
        <v>90</v>
      </c>
      <c r="N372" t="s">
        <v>62</v>
      </c>
      <c r="O372" t="s">
        <v>59</v>
      </c>
      <c r="P372" t="s">
        <v>52</v>
      </c>
      <c r="Q372" t="s">
        <v>61</v>
      </c>
      <c r="R372" t="s">
        <v>37</v>
      </c>
      <c r="S372" s="3">
        <v>2716</v>
      </c>
      <c r="T372" s="3">
        <v>25422</v>
      </c>
      <c r="U372" s="3" t="str">
        <f t="shared" si="23"/>
        <v>Low</v>
      </c>
      <c r="V372">
        <v>1</v>
      </c>
      <c r="W372" t="s">
        <v>38</v>
      </c>
      <c r="X372" s="2">
        <v>15</v>
      </c>
      <c r="Y372" t="s">
        <v>60</v>
      </c>
      <c r="Z372" t="s">
        <v>62</v>
      </c>
      <c r="AA372">
        <v>0</v>
      </c>
      <c r="AB372">
        <v>1</v>
      </c>
      <c r="AC372">
        <v>0</v>
      </c>
      <c r="AD372">
        <v>3</v>
      </c>
      <c r="AE372">
        <v>1</v>
      </c>
      <c r="AF372">
        <v>0</v>
      </c>
      <c r="AG372">
        <v>0</v>
      </c>
      <c r="AH372">
        <v>0</v>
      </c>
      <c r="AI372" t="str">
        <f t="shared" si="20"/>
        <v>0-2 Years</v>
      </c>
      <c r="AJ372" t="str">
        <f t="shared" si="21"/>
        <v>0-2</v>
      </c>
    </row>
    <row r="373" spans="1:36" x14ac:dyDescent="0.35">
      <c r="A373">
        <v>372</v>
      </c>
      <c r="B373">
        <v>29</v>
      </c>
      <c r="C373" t="str">
        <f t="shared" si="22"/>
        <v>26-35</v>
      </c>
      <c r="D373" t="s">
        <v>38</v>
      </c>
      <c r="E373" t="s">
        <v>32</v>
      </c>
      <c r="F373" s="3">
        <v>1389</v>
      </c>
      <c r="G373" t="s">
        <v>40</v>
      </c>
      <c r="H373" s="1">
        <v>23</v>
      </c>
      <c r="I373" t="s">
        <v>61</v>
      </c>
      <c r="J373" t="s">
        <v>34</v>
      </c>
      <c r="K373" t="s">
        <v>62</v>
      </c>
      <c r="L373" t="s">
        <v>41</v>
      </c>
      <c r="M373" s="3">
        <v>54</v>
      </c>
      <c r="N373" t="s">
        <v>60</v>
      </c>
      <c r="O373" t="s">
        <v>59</v>
      </c>
      <c r="P373" t="s">
        <v>42</v>
      </c>
      <c r="Q373" t="s">
        <v>62</v>
      </c>
      <c r="R373" t="s">
        <v>37</v>
      </c>
      <c r="S373" s="3">
        <v>2201</v>
      </c>
      <c r="T373" s="3">
        <v>18168</v>
      </c>
      <c r="U373" s="3" t="str">
        <f t="shared" si="23"/>
        <v>Low</v>
      </c>
      <c r="V373">
        <v>9</v>
      </c>
      <c r="W373" t="s">
        <v>38</v>
      </c>
      <c r="X373" s="2">
        <v>16</v>
      </c>
      <c r="Y373" t="s">
        <v>60</v>
      </c>
      <c r="Z373" t="s">
        <v>62</v>
      </c>
      <c r="AA373">
        <v>0</v>
      </c>
      <c r="AB373">
        <v>6</v>
      </c>
      <c r="AC373">
        <v>4</v>
      </c>
      <c r="AD373">
        <v>3</v>
      </c>
      <c r="AE373">
        <v>3</v>
      </c>
      <c r="AF373">
        <v>2</v>
      </c>
      <c r="AG373">
        <v>1</v>
      </c>
      <c r="AH373">
        <v>2</v>
      </c>
      <c r="AI373" t="str">
        <f t="shared" si="20"/>
        <v>3-5 Years</v>
      </c>
      <c r="AJ373" t="str">
        <f t="shared" si="21"/>
        <v>0-2</v>
      </c>
    </row>
    <row r="374" spans="1:36" x14ac:dyDescent="0.35">
      <c r="A374">
        <v>373</v>
      </c>
      <c r="B374">
        <v>35</v>
      </c>
      <c r="C374" t="str">
        <f t="shared" si="22"/>
        <v>26-35</v>
      </c>
      <c r="D374" t="s">
        <v>38</v>
      </c>
      <c r="E374" t="s">
        <v>32</v>
      </c>
      <c r="F374" s="3">
        <v>1389</v>
      </c>
      <c r="G374" t="s">
        <v>40</v>
      </c>
      <c r="H374" s="1">
        <v>9</v>
      </c>
      <c r="I374" t="s">
        <v>60</v>
      </c>
      <c r="J374" t="s">
        <v>34</v>
      </c>
      <c r="K374" t="s">
        <v>60</v>
      </c>
      <c r="L374" t="s">
        <v>41</v>
      </c>
      <c r="M374" s="3">
        <v>97</v>
      </c>
      <c r="N374" t="s">
        <v>61</v>
      </c>
      <c r="O374" t="s">
        <v>61</v>
      </c>
      <c r="P374" t="s">
        <v>49</v>
      </c>
      <c r="Q374" t="s">
        <v>61</v>
      </c>
      <c r="R374" t="s">
        <v>37</v>
      </c>
      <c r="S374" s="3">
        <v>6540</v>
      </c>
      <c r="T374" s="3">
        <v>19394</v>
      </c>
      <c r="U374" s="3" t="str">
        <f t="shared" si="23"/>
        <v>Medium</v>
      </c>
      <c r="V374">
        <v>9</v>
      </c>
      <c r="W374" t="s">
        <v>38</v>
      </c>
      <c r="X374" s="2">
        <v>19</v>
      </c>
      <c r="Y374" t="s">
        <v>60</v>
      </c>
      <c r="Z374" t="s">
        <v>60</v>
      </c>
      <c r="AA374">
        <v>0</v>
      </c>
      <c r="AB374">
        <v>10</v>
      </c>
      <c r="AC374">
        <v>5</v>
      </c>
      <c r="AD374">
        <v>3</v>
      </c>
      <c r="AE374">
        <v>1</v>
      </c>
      <c r="AF374">
        <v>1</v>
      </c>
      <c r="AG374">
        <v>0</v>
      </c>
      <c r="AH374">
        <v>0</v>
      </c>
      <c r="AI374" t="str">
        <f t="shared" si="20"/>
        <v>0-2 Years</v>
      </c>
      <c r="AJ374" t="str">
        <f t="shared" si="21"/>
        <v>0-2</v>
      </c>
    </row>
    <row r="375" spans="1:36" x14ac:dyDescent="0.35">
      <c r="A375">
        <v>374</v>
      </c>
      <c r="B375">
        <v>27</v>
      </c>
      <c r="C375" t="str">
        <f t="shared" si="22"/>
        <v>26-35</v>
      </c>
      <c r="D375" t="s">
        <v>38</v>
      </c>
      <c r="E375" t="s">
        <v>32</v>
      </c>
      <c r="F375" s="3">
        <v>1389</v>
      </c>
      <c r="G375" t="s">
        <v>40</v>
      </c>
      <c r="H375" s="1">
        <v>1</v>
      </c>
      <c r="I375" t="s">
        <v>58</v>
      </c>
      <c r="J375" t="s">
        <v>46</v>
      </c>
      <c r="K375" t="s">
        <v>62</v>
      </c>
      <c r="L375" t="s">
        <v>41</v>
      </c>
      <c r="M375" s="3">
        <v>82</v>
      </c>
      <c r="N375" t="s">
        <v>60</v>
      </c>
      <c r="O375" t="s">
        <v>59</v>
      </c>
      <c r="P375" t="s">
        <v>45</v>
      </c>
      <c r="Q375" t="s">
        <v>61</v>
      </c>
      <c r="R375" t="s">
        <v>47</v>
      </c>
      <c r="S375" s="3">
        <v>3816</v>
      </c>
      <c r="T375" s="3">
        <v>17881</v>
      </c>
      <c r="U375" s="3" t="str">
        <f t="shared" si="23"/>
        <v>Low</v>
      </c>
      <c r="V375">
        <v>1</v>
      </c>
      <c r="W375" t="s">
        <v>38</v>
      </c>
      <c r="X375" s="2">
        <v>11</v>
      </c>
      <c r="Y375" t="s">
        <v>60</v>
      </c>
      <c r="Z375" t="s">
        <v>61</v>
      </c>
      <c r="AA375">
        <v>1</v>
      </c>
      <c r="AB375">
        <v>5</v>
      </c>
      <c r="AC375">
        <v>2</v>
      </c>
      <c r="AD375">
        <v>3</v>
      </c>
      <c r="AE375">
        <v>5</v>
      </c>
      <c r="AF375">
        <v>2</v>
      </c>
      <c r="AG375">
        <v>0</v>
      </c>
      <c r="AH375">
        <v>4</v>
      </c>
      <c r="AI375" t="str">
        <f t="shared" si="20"/>
        <v>3-5 Years</v>
      </c>
      <c r="AJ375" t="str">
        <f t="shared" si="21"/>
        <v>0-2</v>
      </c>
    </row>
    <row r="376" spans="1:36" x14ac:dyDescent="0.35">
      <c r="A376">
        <v>375</v>
      </c>
      <c r="B376">
        <v>28</v>
      </c>
      <c r="C376" t="str">
        <f t="shared" si="22"/>
        <v>26-35</v>
      </c>
      <c r="D376" t="s">
        <v>38</v>
      </c>
      <c r="E376" t="s">
        <v>32</v>
      </c>
      <c r="F376" s="3">
        <v>1389</v>
      </c>
      <c r="G376" t="s">
        <v>33</v>
      </c>
      <c r="H376" s="1">
        <v>9</v>
      </c>
      <c r="I376" t="s">
        <v>60</v>
      </c>
      <c r="J376" t="s">
        <v>34</v>
      </c>
      <c r="K376" t="s">
        <v>61</v>
      </c>
      <c r="L376" t="s">
        <v>41</v>
      </c>
      <c r="M376" s="3">
        <v>92</v>
      </c>
      <c r="N376" t="s">
        <v>60</v>
      </c>
      <c r="O376" t="s">
        <v>61</v>
      </c>
      <c r="P376" t="s">
        <v>36</v>
      </c>
      <c r="Q376" t="s">
        <v>62</v>
      </c>
      <c r="R376" t="s">
        <v>37</v>
      </c>
      <c r="S376" s="3">
        <v>5253</v>
      </c>
      <c r="T376" s="3">
        <v>20750</v>
      </c>
      <c r="U376" s="3" t="str">
        <f t="shared" si="23"/>
        <v>Medium</v>
      </c>
      <c r="V376">
        <v>1</v>
      </c>
      <c r="W376" t="s">
        <v>38</v>
      </c>
      <c r="X376" s="2">
        <v>16</v>
      </c>
      <c r="Y376" t="s">
        <v>60</v>
      </c>
      <c r="Z376" t="s">
        <v>62</v>
      </c>
      <c r="AA376">
        <v>0</v>
      </c>
      <c r="AB376">
        <v>7</v>
      </c>
      <c r="AC376">
        <v>1</v>
      </c>
      <c r="AD376">
        <v>3</v>
      </c>
      <c r="AE376">
        <v>7</v>
      </c>
      <c r="AF376">
        <v>5</v>
      </c>
      <c r="AG376">
        <v>0</v>
      </c>
      <c r="AH376">
        <v>7</v>
      </c>
      <c r="AI376" t="str">
        <f t="shared" si="20"/>
        <v>6-10 Years</v>
      </c>
      <c r="AJ376" t="str">
        <f t="shared" si="21"/>
        <v>0-2</v>
      </c>
    </row>
    <row r="377" spans="1:36" x14ac:dyDescent="0.35">
      <c r="A377">
        <v>376</v>
      </c>
      <c r="B377">
        <v>49</v>
      </c>
      <c r="C377" t="str">
        <f t="shared" si="22"/>
        <v>46-55</v>
      </c>
      <c r="D377" t="s">
        <v>38</v>
      </c>
      <c r="E377" t="s">
        <v>32</v>
      </c>
      <c r="F377" s="3">
        <v>1389</v>
      </c>
      <c r="G377" t="s">
        <v>40</v>
      </c>
      <c r="H377" s="1">
        <v>7</v>
      </c>
      <c r="I377" t="s">
        <v>61</v>
      </c>
      <c r="J377" t="s">
        <v>44</v>
      </c>
      <c r="K377" t="s">
        <v>61</v>
      </c>
      <c r="L377" t="s">
        <v>41</v>
      </c>
      <c r="M377" s="3">
        <v>31</v>
      </c>
      <c r="N377" t="s">
        <v>61</v>
      </c>
      <c r="O377" t="s">
        <v>60</v>
      </c>
      <c r="P377" t="s">
        <v>49</v>
      </c>
      <c r="Q377" t="s">
        <v>60</v>
      </c>
      <c r="R377" t="s">
        <v>37</v>
      </c>
      <c r="S377" s="3">
        <v>10965</v>
      </c>
      <c r="T377" s="3">
        <v>12066</v>
      </c>
      <c r="U377" s="3" t="str">
        <f t="shared" si="23"/>
        <v>High</v>
      </c>
      <c r="V377">
        <v>8</v>
      </c>
      <c r="W377" t="s">
        <v>38</v>
      </c>
      <c r="X377" s="2">
        <v>24</v>
      </c>
      <c r="Y377" t="s">
        <v>62</v>
      </c>
      <c r="Z377" t="s">
        <v>60</v>
      </c>
      <c r="AA377">
        <v>0</v>
      </c>
      <c r="AB377">
        <v>26</v>
      </c>
      <c r="AC377">
        <v>2</v>
      </c>
      <c r="AD377">
        <v>3</v>
      </c>
      <c r="AE377">
        <v>5</v>
      </c>
      <c r="AF377">
        <v>2</v>
      </c>
      <c r="AG377">
        <v>0</v>
      </c>
      <c r="AH377">
        <v>0</v>
      </c>
      <c r="AI377" t="str">
        <f t="shared" si="20"/>
        <v>3-5 Years</v>
      </c>
      <c r="AJ377" t="str">
        <f t="shared" si="21"/>
        <v>0-2</v>
      </c>
    </row>
    <row r="378" spans="1:36" x14ac:dyDescent="0.35">
      <c r="A378">
        <v>377</v>
      </c>
      <c r="B378">
        <v>51</v>
      </c>
      <c r="C378" t="str">
        <f t="shared" si="22"/>
        <v>46-55</v>
      </c>
      <c r="D378" t="s">
        <v>38</v>
      </c>
      <c r="E378" t="s">
        <v>32</v>
      </c>
      <c r="F378" s="3">
        <v>1389</v>
      </c>
      <c r="G378" t="s">
        <v>33</v>
      </c>
      <c r="H378" s="1">
        <v>14</v>
      </c>
      <c r="I378" t="s">
        <v>58</v>
      </c>
      <c r="J378" t="s">
        <v>34</v>
      </c>
      <c r="K378" t="s">
        <v>60</v>
      </c>
      <c r="L378" t="s">
        <v>35</v>
      </c>
      <c r="M378" s="3">
        <v>87</v>
      </c>
      <c r="N378" t="s">
        <v>60</v>
      </c>
      <c r="O378" t="s">
        <v>61</v>
      </c>
      <c r="P378" t="s">
        <v>36</v>
      </c>
      <c r="Q378" t="s">
        <v>62</v>
      </c>
      <c r="R378" t="s">
        <v>43</v>
      </c>
      <c r="S378" s="3">
        <v>4936</v>
      </c>
      <c r="T378" s="3">
        <v>14862</v>
      </c>
      <c r="U378" s="3" t="str">
        <f t="shared" si="23"/>
        <v>Low</v>
      </c>
      <c r="V378">
        <v>4</v>
      </c>
      <c r="W378" t="s">
        <v>38</v>
      </c>
      <c r="X378" s="2">
        <v>11</v>
      </c>
      <c r="Y378" t="s">
        <v>60</v>
      </c>
      <c r="Z378" t="s">
        <v>60</v>
      </c>
      <c r="AA378">
        <v>1</v>
      </c>
      <c r="AB378">
        <v>18</v>
      </c>
      <c r="AC378">
        <v>2</v>
      </c>
      <c r="AD378">
        <v>2</v>
      </c>
      <c r="AE378">
        <v>7</v>
      </c>
      <c r="AF378">
        <v>7</v>
      </c>
      <c r="AG378">
        <v>0</v>
      </c>
      <c r="AH378">
        <v>7</v>
      </c>
      <c r="AI378" t="str">
        <f t="shared" si="20"/>
        <v>6-10 Years</v>
      </c>
      <c r="AJ378" t="str">
        <f t="shared" si="21"/>
        <v>0-2</v>
      </c>
    </row>
    <row r="379" spans="1:36" x14ac:dyDescent="0.35">
      <c r="A379">
        <v>378</v>
      </c>
      <c r="B379">
        <v>36</v>
      </c>
      <c r="C379" t="str">
        <f t="shared" si="22"/>
        <v>36-45</v>
      </c>
      <c r="D379" t="s">
        <v>38</v>
      </c>
      <c r="E379" t="s">
        <v>32</v>
      </c>
      <c r="F379" s="3">
        <v>1389</v>
      </c>
      <c r="G379" t="s">
        <v>40</v>
      </c>
      <c r="H379" s="1">
        <v>2</v>
      </c>
      <c r="I379" t="s">
        <v>61</v>
      </c>
      <c r="J379" t="s">
        <v>34</v>
      </c>
      <c r="K379" t="s">
        <v>62</v>
      </c>
      <c r="L379" t="s">
        <v>35</v>
      </c>
      <c r="M379" s="3">
        <v>96</v>
      </c>
      <c r="N379" t="s">
        <v>60</v>
      </c>
      <c r="O379" t="s">
        <v>59</v>
      </c>
      <c r="P379" t="s">
        <v>42</v>
      </c>
      <c r="Q379" t="s">
        <v>60</v>
      </c>
      <c r="R379" t="s">
        <v>43</v>
      </c>
      <c r="S379" s="3">
        <v>2543</v>
      </c>
      <c r="T379" s="3">
        <v>11868</v>
      </c>
      <c r="U379" s="3" t="str">
        <f t="shared" si="23"/>
        <v>Low</v>
      </c>
      <c r="V379">
        <v>4</v>
      </c>
      <c r="W379" t="s">
        <v>38</v>
      </c>
      <c r="X379" s="2">
        <v>13</v>
      </c>
      <c r="Y379" t="s">
        <v>60</v>
      </c>
      <c r="Z379" t="s">
        <v>61</v>
      </c>
      <c r="AA379">
        <v>1</v>
      </c>
      <c r="AB379">
        <v>6</v>
      </c>
      <c r="AC379">
        <v>3</v>
      </c>
      <c r="AD379">
        <v>3</v>
      </c>
      <c r="AE379">
        <v>2</v>
      </c>
      <c r="AF379">
        <v>2</v>
      </c>
      <c r="AG379">
        <v>2</v>
      </c>
      <c r="AH379">
        <v>2</v>
      </c>
      <c r="AI379" t="str">
        <f t="shared" si="20"/>
        <v>0-2 Years</v>
      </c>
      <c r="AJ379" t="str">
        <f t="shared" si="21"/>
        <v>0-2</v>
      </c>
    </row>
    <row r="380" spans="1:36" x14ac:dyDescent="0.35">
      <c r="A380">
        <v>379</v>
      </c>
      <c r="B380">
        <v>34</v>
      </c>
      <c r="C380" t="str">
        <f t="shared" si="22"/>
        <v>26-35</v>
      </c>
      <c r="D380" t="s">
        <v>31</v>
      </c>
      <c r="E380" t="s">
        <v>50</v>
      </c>
      <c r="F380" s="3">
        <v>1389</v>
      </c>
      <c r="G380" t="s">
        <v>33</v>
      </c>
      <c r="H380" s="1">
        <v>19</v>
      </c>
      <c r="I380" t="s">
        <v>61</v>
      </c>
      <c r="J380" t="s">
        <v>54</v>
      </c>
      <c r="K380" t="s">
        <v>59</v>
      </c>
      <c r="L380" t="s">
        <v>41</v>
      </c>
      <c r="M380" s="3">
        <v>67</v>
      </c>
      <c r="N380" t="s">
        <v>62</v>
      </c>
      <c r="O380" t="s">
        <v>61</v>
      </c>
      <c r="P380" t="s">
        <v>36</v>
      </c>
      <c r="Q380" t="s">
        <v>62</v>
      </c>
      <c r="R380" t="s">
        <v>37</v>
      </c>
      <c r="S380" s="3">
        <v>5304</v>
      </c>
      <c r="T380" s="3">
        <v>4652</v>
      </c>
      <c r="U380" s="3" t="str">
        <f t="shared" si="23"/>
        <v>Medium</v>
      </c>
      <c r="V380">
        <v>8</v>
      </c>
      <c r="W380" t="s">
        <v>31</v>
      </c>
      <c r="X380" s="2">
        <v>13</v>
      </c>
      <c r="Y380" t="s">
        <v>60</v>
      </c>
      <c r="Z380" t="s">
        <v>61</v>
      </c>
      <c r="AA380">
        <v>0</v>
      </c>
      <c r="AB380">
        <v>9</v>
      </c>
      <c r="AC380">
        <v>3</v>
      </c>
      <c r="AD380">
        <v>2</v>
      </c>
      <c r="AE380">
        <v>5</v>
      </c>
      <c r="AF380">
        <v>2</v>
      </c>
      <c r="AG380">
        <v>0</v>
      </c>
      <c r="AH380">
        <v>4</v>
      </c>
      <c r="AI380" t="str">
        <f t="shared" si="20"/>
        <v>3-5 Years</v>
      </c>
      <c r="AJ380" t="str">
        <f t="shared" si="21"/>
        <v>0-2</v>
      </c>
    </row>
    <row r="381" spans="1:36" x14ac:dyDescent="0.35">
      <c r="A381">
        <v>380</v>
      </c>
      <c r="B381">
        <v>55</v>
      </c>
      <c r="C381" t="str">
        <f t="shared" si="22"/>
        <v>46-55</v>
      </c>
      <c r="D381" t="s">
        <v>38</v>
      </c>
      <c r="E381" t="s">
        <v>32</v>
      </c>
      <c r="F381" s="3">
        <v>1389</v>
      </c>
      <c r="G381" t="s">
        <v>40</v>
      </c>
      <c r="H381" s="1">
        <v>2</v>
      </c>
      <c r="I381" t="s">
        <v>61</v>
      </c>
      <c r="J381" t="s">
        <v>34</v>
      </c>
      <c r="K381" t="s">
        <v>60</v>
      </c>
      <c r="L381" t="s">
        <v>35</v>
      </c>
      <c r="M381" s="3">
        <v>97</v>
      </c>
      <c r="N381" t="s">
        <v>60</v>
      </c>
      <c r="O381" t="s">
        <v>62</v>
      </c>
      <c r="P381" t="s">
        <v>51</v>
      </c>
      <c r="Q381" t="s">
        <v>62</v>
      </c>
      <c r="R381" t="s">
        <v>37</v>
      </c>
      <c r="S381" s="3">
        <v>16659</v>
      </c>
      <c r="T381" s="3">
        <v>23258</v>
      </c>
      <c r="U381" s="3" t="str">
        <f t="shared" si="23"/>
        <v>High</v>
      </c>
      <c r="V381">
        <v>2</v>
      </c>
      <c r="W381" t="s">
        <v>31</v>
      </c>
      <c r="X381" s="2">
        <v>13</v>
      </c>
      <c r="Y381" t="s">
        <v>60</v>
      </c>
      <c r="Z381" t="s">
        <v>60</v>
      </c>
      <c r="AA381">
        <v>0</v>
      </c>
      <c r="AB381">
        <v>30</v>
      </c>
      <c r="AC381">
        <v>2</v>
      </c>
      <c r="AD381">
        <v>3</v>
      </c>
      <c r="AE381">
        <v>5</v>
      </c>
      <c r="AF381">
        <v>4</v>
      </c>
      <c r="AG381">
        <v>1</v>
      </c>
      <c r="AH381">
        <v>2</v>
      </c>
      <c r="AI381" t="str">
        <f t="shared" si="20"/>
        <v>3-5 Years</v>
      </c>
      <c r="AJ381" t="str">
        <f t="shared" si="21"/>
        <v>0-2</v>
      </c>
    </row>
    <row r="382" spans="1:36" x14ac:dyDescent="0.35">
      <c r="A382">
        <v>381</v>
      </c>
      <c r="B382">
        <v>24</v>
      </c>
      <c r="C382" t="str">
        <f t="shared" si="22"/>
        <v>18-25</v>
      </c>
      <c r="D382" t="s">
        <v>38</v>
      </c>
      <c r="E382" t="s">
        <v>32</v>
      </c>
      <c r="F382" s="3">
        <v>1389</v>
      </c>
      <c r="G382" t="s">
        <v>33</v>
      </c>
      <c r="H382" s="1">
        <v>10</v>
      </c>
      <c r="I382" t="s">
        <v>60</v>
      </c>
      <c r="J382" t="s">
        <v>54</v>
      </c>
      <c r="K382" t="s">
        <v>62</v>
      </c>
      <c r="L382" t="s">
        <v>35</v>
      </c>
      <c r="M382" s="3">
        <v>77</v>
      </c>
      <c r="N382" t="s">
        <v>60</v>
      </c>
      <c r="O382" t="s">
        <v>61</v>
      </c>
      <c r="P382" t="s">
        <v>36</v>
      </c>
      <c r="Q382" t="s">
        <v>60</v>
      </c>
      <c r="R382" t="s">
        <v>47</v>
      </c>
      <c r="S382" s="3">
        <v>4260</v>
      </c>
      <c r="T382" s="3">
        <v>5915</v>
      </c>
      <c r="U382" s="3" t="str">
        <f t="shared" si="23"/>
        <v>Low</v>
      </c>
      <c r="V382">
        <v>1</v>
      </c>
      <c r="W382" t="s">
        <v>31</v>
      </c>
      <c r="X382" s="2">
        <v>12</v>
      </c>
      <c r="Y382" t="s">
        <v>60</v>
      </c>
      <c r="Z382" t="s">
        <v>62</v>
      </c>
      <c r="AA382">
        <v>1</v>
      </c>
      <c r="AB382">
        <v>5</v>
      </c>
      <c r="AC382">
        <v>2</v>
      </c>
      <c r="AD382">
        <v>4</v>
      </c>
      <c r="AE382">
        <v>5</v>
      </c>
      <c r="AF382">
        <v>2</v>
      </c>
      <c r="AG382">
        <v>0</v>
      </c>
      <c r="AH382">
        <v>3</v>
      </c>
      <c r="AI382" t="str">
        <f t="shared" si="20"/>
        <v>3-5 Years</v>
      </c>
      <c r="AJ382" t="str">
        <f t="shared" si="21"/>
        <v>0-2</v>
      </c>
    </row>
    <row r="383" spans="1:36" x14ac:dyDescent="0.35">
      <c r="A383">
        <v>382</v>
      </c>
      <c r="B383">
        <v>30</v>
      </c>
      <c r="C383" t="str">
        <f t="shared" si="22"/>
        <v>26-35</v>
      </c>
      <c r="D383" t="s">
        <v>38</v>
      </c>
      <c r="E383" t="s">
        <v>32</v>
      </c>
      <c r="F383" s="3">
        <v>1389</v>
      </c>
      <c r="G383" t="s">
        <v>33</v>
      </c>
      <c r="H383" s="1">
        <v>2</v>
      </c>
      <c r="I383" t="s">
        <v>59</v>
      </c>
      <c r="J383" t="s">
        <v>55</v>
      </c>
      <c r="K383" t="s">
        <v>60</v>
      </c>
      <c r="L383" t="s">
        <v>41</v>
      </c>
      <c r="M383" s="3">
        <v>72</v>
      </c>
      <c r="N383" t="s">
        <v>60</v>
      </c>
      <c r="O383" t="s">
        <v>59</v>
      </c>
      <c r="P383" t="s">
        <v>52</v>
      </c>
      <c r="Q383" t="s">
        <v>61</v>
      </c>
      <c r="R383" t="s">
        <v>43</v>
      </c>
      <c r="S383" s="3">
        <v>2476</v>
      </c>
      <c r="T383" s="3">
        <v>17434</v>
      </c>
      <c r="U383" s="3" t="str">
        <f t="shared" si="23"/>
        <v>Low</v>
      </c>
      <c r="V383">
        <v>1</v>
      </c>
      <c r="W383" t="s">
        <v>38</v>
      </c>
      <c r="X383" s="2">
        <v>18</v>
      </c>
      <c r="Y383" t="s">
        <v>60</v>
      </c>
      <c r="Z383" t="s">
        <v>59</v>
      </c>
      <c r="AA383">
        <v>1</v>
      </c>
      <c r="AB383">
        <v>1</v>
      </c>
      <c r="AC383">
        <v>3</v>
      </c>
      <c r="AD383">
        <v>3</v>
      </c>
      <c r="AE383">
        <v>1</v>
      </c>
      <c r="AF383">
        <v>0</v>
      </c>
      <c r="AG383">
        <v>0</v>
      </c>
      <c r="AH383">
        <v>0</v>
      </c>
      <c r="AI383" t="str">
        <f t="shared" si="20"/>
        <v>0-2 Years</v>
      </c>
      <c r="AJ383" t="str">
        <f t="shared" si="21"/>
        <v>0-2</v>
      </c>
    </row>
    <row r="384" spans="1:36" x14ac:dyDescent="0.35">
      <c r="A384">
        <v>383</v>
      </c>
      <c r="B384">
        <v>26</v>
      </c>
      <c r="C384" t="str">
        <f t="shared" si="22"/>
        <v>26-35</v>
      </c>
      <c r="D384" t="s">
        <v>31</v>
      </c>
      <c r="E384" t="s">
        <v>39</v>
      </c>
      <c r="F384" s="3">
        <v>1389</v>
      </c>
      <c r="G384" t="s">
        <v>40</v>
      </c>
      <c r="H384" s="1">
        <v>3</v>
      </c>
      <c r="I384" t="s">
        <v>59</v>
      </c>
      <c r="J384" t="s">
        <v>55</v>
      </c>
      <c r="K384" t="s">
        <v>60</v>
      </c>
      <c r="L384" t="s">
        <v>41</v>
      </c>
      <c r="M384" s="3">
        <v>73</v>
      </c>
      <c r="N384" t="s">
        <v>60</v>
      </c>
      <c r="O384" t="s">
        <v>59</v>
      </c>
      <c r="P384" t="s">
        <v>42</v>
      </c>
      <c r="Q384" t="s">
        <v>59</v>
      </c>
      <c r="R384" t="s">
        <v>37</v>
      </c>
      <c r="S384" s="3">
        <v>3102</v>
      </c>
      <c r="T384" s="3">
        <v>6582</v>
      </c>
      <c r="U384" s="3" t="str">
        <f t="shared" si="23"/>
        <v>Low</v>
      </c>
      <c r="V384">
        <v>0</v>
      </c>
      <c r="W384" t="s">
        <v>38</v>
      </c>
      <c r="X384" s="2">
        <v>22</v>
      </c>
      <c r="Y384" t="s">
        <v>62</v>
      </c>
      <c r="Z384" t="s">
        <v>60</v>
      </c>
      <c r="AA384">
        <v>0</v>
      </c>
      <c r="AB384">
        <v>7</v>
      </c>
      <c r="AC384">
        <v>2</v>
      </c>
      <c r="AD384">
        <v>3</v>
      </c>
      <c r="AE384">
        <v>6</v>
      </c>
      <c r="AF384">
        <v>4</v>
      </c>
      <c r="AG384">
        <v>0</v>
      </c>
      <c r="AH384">
        <v>4</v>
      </c>
      <c r="AI384" t="str">
        <f t="shared" si="20"/>
        <v>6-10 Years</v>
      </c>
      <c r="AJ384" t="str">
        <f t="shared" si="21"/>
        <v>0-2</v>
      </c>
    </row>
    <row r="385" spans="1:36" x14ac:dyDescent="0.35">
      <c r="A385">
        <v>384</v>
      </c>
      <c r="B385">
        <v>22</v>
      </c>
      <c r="C385" t="str">
        <f t="shared" si="22"/>
        <v>18-25</v>
      </c>
      <c r="D385" t="s">
        <v>38</v>
      </c>
      <c r="E385" t="s">
        <v>32</v>
      </c>
      <c r="F385" s="3">
        <v>1389</v>
      </c>
      <c r="G385" t="s">
        <v>40</v>
      </c>
      <c r="H385" s="1">
        <v>11</v>
      </c>
      <c r="I385" t="s">
        <v>61</v>
      </c>
      <c r="J385" t="s">
        <v>46</v>
      </c>
      <c r="K385" t="s">
        <v>59</v>
      </c>
      <c r="L385" t="s">
        <v>35</v>
      </c>
      <c r="M385" s="3">
        <v>43</v>
      </c>
      <c r="N385" t="s">
        <v>60</v>
      </c>
      <c r="O385" t="s">
        <v>59</v>
      </c>
      <c r="P385" t="s">
        <v>42</v>
      </c>
      <c r="Q385" t="s">
        <v>61</v>
      </c>
      <c r="R385" t="s">
        <v>43</v>
      </c>
      <c r="S385" s="3">
        <v>2244</v>
      </c>
      <c r="T385" s="3">
        <v>24440</v>
      </c>
      <c r="U385" s="3" t="str">
        <f t="shared" si="23"/>
        <v>Low</v>
      </c>
      <c r="V385">
        <v>1</v>
      </c>
      <c r="W385" t="s">
        <v>38</v>
      </c>
      <c r="X385" s="2">
        <v>13</v>
      </c>
      <c r="Y385" t="s">
        <v>60</v>
      </c>
      <c r="Z385" t="s">
        <v>62</v>
      </c>
      <c r="AA385">
        <v>1</v>
      </c>
      <c r="AB385">
        <v>2</v>
      </c>
      <c r="AC385">
        <v>1</v>
      </c>
      <c r="AD385">
        <v>3</v>
      </c>
      <c r="AE385">
        <v>2</v>
      </c>
      <c r="AF385">
        <v>1</v>
      </c>
      <c r="AG385">
        <v>1</v>
      </c>
      <c r="AH385">
        <v>2</v>
      </c>
      <c r="AI385" t="str">
        <f t="shared" si="20"/>
        <v>0-2 Years</v>
      </c>
      <c r="AJ385" t="str">
        <f t="shared" si="21"/>
        <v>0-2</v>
      </c>
    </row>
    <row r="386" spans="1:36" x14ac:dyDescent="0.35">
      <c r="A386">
        <v>385</v>
      </c>
      <c r="B386">
        <v>36</v>
      </c>
      <c r="C386" t="str">
        <f t="shared" si="22"/>
        <v>36-45</v>
      </c>
      <c r="D386" t="s">
        <v>38</v>
      </c>
      <c r="E386" t="s">
        <v>32</v>
      </c>
      <c r="F386" s="3">
        <v>1389</v>
      </c>
      <c r="G386" t="s">
        <v>33</v>
      </c>
      <c r="H386" s="1">
        <v>2</v>
      </c>
      <c r="I386" t="s">
        <v>58</v>
      </c>
      <c r="J386" t="s">
        <v>46</v>
      </c>
      <c r="K386" t="s">
        <v>61</v>
      </c>
      <c r="L386" t="s">
        <v>41</v>
      </c>
      <c r="M386" s="3">
        <v>61</v>
      </c>
      <c r="N386" t="s">
        <v>61</v>
      </c>
      <c r="O386" t="s">
        <v>60</v>
      </c>
      <c r="P386" t="s">
        <v>36</v>
      </c>
      <c r="Q386" t="s">
        <v>60</v>
      </c>
      <c r="R386" t="s">
        <v>43</v>
      </c>
      <c r="S386" s="3">
        <v>7596</v>
      </c>
      <c r="T386" s="3">
        <v>3809</v>
      </c>
      <c r="U386" s="3" t="str">
        <f t="shared" si="23"/>
        <v>Medium</v>
      </c>
      <c r="V386">
        <v>1</v>
      </c>
      <c r="W386" t="s">
        <v>38</v>
      </c>
      <c r="X386" s="2">
        <v>13</v>
      </c>
      <c r="Y386" t="s">
        <v>60</v>
      </c>
      <c r="Z386" t="s">
        <v>61</v>
      </c>
      <c r="AA386">
        <v>2</v>
      </c>
      <c r="AB386">
        <v>10</v>
      </c>
      <c r="AC386">
        <v>2</v>
      </c>
      <c r="AD386">
        <v>3</v>
      </c>
      <c r="AE386">
        <v>10</v>
      </c>
      <c r="AF386">
        <v>9</v>
      </c>
      <c r="AG386">
        <v>9</v>
      </c>
      <c r="AH386">
        <v>0</v>
      </c>
      <c r="AI386" t="str">
        <f t="shared" ref="AI386:AI449" si="24">IF(AE386&lt;=2,"0-2 Years",
IF(AE386&lt;=5,"3-5 Years",
IF(AE386&lt;=10,"6-10 Years","10+ Years")))</f>
        <v>6-10 Years</v>
      </c>
      <c r="AJ386" t="str">
        <f t="shared" ref="AJ386:AJ449" si="25">IF(AG386&lt;=2,"0-2",
IF(AG386&lt;=5,"3-5","6+"))</f>
        <v>6+</v>
      </c>
    </row>
    <row r="387" spans="1:36" x14ac:dyDescent="0.35">
      <c r="A387">
        <v>386</v>
      </c>
      <c r="B387">
        <v>30</v>
      </c>
      <c r="C387" t="str">
        <f t="shared" ref="C387:C450" si="26">IF(B387&lt;=25,"18-25",
IF(B387&lt;=35,"26-35",
IF(B387&lt;=45,"36-45",
IF(B387&lt;=55,"46-55","55+"))))</f>
        <v>26-35</v>
      </c>
      <c r="D387" t="s">
        <v>31</v>
      </c>
      <c r="E387" t="s">
        <v>39</v>
      </c>
      <c r="F387" s="3">
        <v>1389</v>
      </c>
      <c r="G387" t="s">
        <v>40</v>
      </c>
      <c r="H387" s="1">
        <v>4</v>
      </c>
      <c r="I387" t="s">
        <v>61</v>
      </c>
      <c r="J387" t="s">
        <v>55</v>
      </c>
      <c r="K387" t="s">
        <v>60</v>
      </c>
      <c r="L387" t="s">
        <v>41</v>
      </c>
      <c r="M387" s="3">
        <v>40</v>
      </c>
      <c r="N387" t="s">
        <v>60</v>
      </c>
      <c r="O387" t="s">
        <v>59</v>
      </c>
      <c r="P387" t="s">
        <v>42</v>
      </c>
      <c r="Q387" t="s">
        <v>62</v>
      </c>
      <c r="R387" t="s">
        <v>37</v>
      </c>
      <c r="S387" s="3">
        <v>2285</v>
      </c>
      <c r="T387" s="3">
        <v>3427</v>
      </c>
      <c r="U387" s="3" t="str">
        <f t="shared" ref="U387:U450" si="27">_xlfn.IFS(S387&lt;5000,"Low",S387&lt;10000,"Medium",S387&gt;10000,"High")</f>
        <v>Low</v>
      </c>
      <c r="V387">
        <v>9</v>
      </c>
      <c r="W387" t="s">
        <v>31</v>
      </c>
      <c r="X387" s="2">
        <v>23</v>
      </c>
      <c r="Y387" t="s">
        <v>62</v>
      </c>
      <c r="Z387" t="s">
        <v>60</v>
      </c>
      <c r="AA387">
        <v>0</v>
      </c>
      <c r="AB387">
        <v>3</v>
      </c>
      <c r="AC387">
        <v>4</v>
      </c>
      <c r="AD387">
        <v>3</v>
      </c>
      <c r="AE387">
        <v>1</v>
      </c>
      <c r="AF387">
        <v>0</v>
      </c>
      <c r="AG387">
        <v>0</v>
      </c>
      <c r="AH387">
        <v>0</v>
      </c>
      <c r="AI387" t="str">
        <f t="shared" si="24"/>
        <v>0-2 Years</v>
      </c>
      <c r="AJ387" t="str">
        <f t="shared" si="25"/>
        <v>0-2</v>
      </c>
    </row>
    <row r="388" spans="1:36" x14ac:dyDescent="0.35">
      <c r="A388">
        <v>387</v>
      </c>
      <c r="B388">
        <v>37</v>
      </c>
      <c r="C388" t="str">
        <f t="shared" si="26"/>
        <v>36-45</v>
      </c>
      <c r="D388" t="s">
        <v>38</v>
      </c>
      <c r="E388" t="s">
        <v>32</v>
      </c>
      <c r="F388" s="3">
        <v>1389</v>
      </c>
      <c r="G388" t="s">
        <v>40</v>
      </c>
      <c r="H388" s="1">
        <v>14</v>
      </c>
      <c r="I388" t="s">
        <v>61</v>
      </c>
      <c r="J388" t="s">
        <v>34</v>
      </c>
      <c r="K388" t="s">
        <v>62</v>
      </c>
      <c r="L388" t="s">
        <v>35</v>
      </c>
      <c r="M388" s="3">
        <v>95</v>
      </c>
      <c r="N388" t="s">
        <v>60</v>
      </c>
      <c r="O388" t="s">
        <v>59</v>
      </c>
      <c r="P388" t="s">
        <v>45</v>
      </c>
      <c r="Q388" t="s">
        <v>59</v>
      </c>
      <c r="R388" t="s">
        <v>47</v>
      </c>
      <c r="S388" s="3">
        <v>3034</v>
      </c>
      <c r="T388" s="3">
        <v>26914</v>
      </c>
      <c r="U388" s="3" t="str">
        <f t="shared" si="27"/>
        <v>Low</v>
      </c>
      <c r="V388">
        <v>1</v>
      </c>
      <c r="W388" t="s">
        <v>38</v>
      </c>
      <c r="X388" s="2">
        <v>12</v>
      </c>
      <c r="Y388" t="s">
        <v>60</v>
      </c>
      <c r="Z388" t="s">
        <v>60</v>
      </c>
      <c r="AA388">
        <v>1</v>
      </c>
      <c r="AB388">
        <v>18</v>
      </c>
      <c r="AC388">
        <v>2</v>
      </c>
      <c r="AD388">
        <v>2</v>
      </c>
      <c r="AE388">
        <v>18</v>
      </c>
      <c r="AF388">
        <v>7</v>
      </c>
      <c r="AG388">
        <v>12</v>
      </c>
      <c r="AH388">
        <v>17</v>
      </c>
      <c r="AI388" t="str">
        <f t="shared" si="24"/>
        <v>10+ Years</v>
      </c>
      <c r="AJ388" t="str">
        <f t="shared" si="25"/>
        <v>6+</v>
      </c>
    </row>
    <row r="389" spans="1:36" x14ac:dyDescent="0.35">
      <c r="A389">
        <v>388</v>
      </c>
      <c r="B389">
        <v>40</v>
      </c>
      <c r="C389" t="str">
        <f t="shared" si="26"/>
        <v>36-45</v>
      </c>
      <c r="D389" t="s">
        <v>38</v>
      </c>
      <c r="E389" t="s">
        <v>32</v>
      </c>
      <c r="F389" s="3">
        <v>1389</v>
      </c>
      <c r="G389" t="s">
        <v>33</v>
      </c>
      <c r="H389" s="1">
        <v>2</v>
      </c>
      <c r="I389" t="s">
        <v>58</v>
      </c>
      <c r="J389" t="s">
        <v>54</v>
      </c>
      <c r="K389" t="s">
        <v>62</v>
      </c>
      <c r="L389" t="s">
        <v>35</v>
      </c>
      <c r="M389" s="3">
        <v>46</v>
      </c>
      <c r="N389" t="s">
        <v>60</v>
      </c>
      <c r="O389" t="s">
        <v>61</v>
      </c>
      <c r="P389" t="s">
        <v>36</v>
      </c>
      <c r="Q389" t="s">
        <v>61</v>
      </c>
      <c r="R389" t="s">
        <v>47</v>
      </c>
      <c r="S389" s="3">
        <v>5715</v>
      </c>
      <c r="T389" s="3">
        <v>22553</v>
      </c>
      <c r="U389" s="3" t="str">
        <f t="shared" si="27"/>
        <v>Medium</v>
      </c>
      <c r="V389">
        <v>7</v>
      </c>
      <c r="W389" t="s">
        <v>38</v>
      </c>
      <c r="X389" s="2">
        <v>12</v>
      </c>
      <c r="Y389" t="s">
        <v>60</v>
      </c>
      <c r="Z389" t="s">
        <v>60</v>
      </c>
      <c r="AA389">
        <v>2</v>
      </c>
      <c r="AB389">
        <v>8</v>
      </c>
      <c r="AC389">
        <v>5</v>
      </c>
      <c r="AD389">
        <v>3</v>
      </c>
      <c r="AE389">
        <v>5</v>
      </c>
      <c r="AF389">
        <v>4</v>
      </c>
      <c r="AG389">
        <v>1</v>
      </c>
      <c r="AH389">
        <v>3</v>
      </c>
      <c r="AI389" t="str">
        <f t="shared" si="24"/>
        <v>3-5 Years</v>
      </c>
      <c r="AJ389" t="str">
        <f t="shared" si="25"/>
        <v>0-2</v>
      </c>
    </row>
    <row r="390" spans="1:36" x14ac:dyDescent="0.35">
      <c r="A390">
        <v>389</v>
      </c>
      <c r="B390">
        <v>42</v>
      </c>
      <c r="C390" t="str">
        <f t="shared" si="26"/>
        <v>36-45</v>
      </c>
      <c r="D390" t="s">
        <v>38</v>
      </c>
      <c r="E390" t="s">
        <v>32</v>
      </c>
      <c r="F390" s="3">
        <v>1389</v>
      </c>
      <c r="G390" t="s">
        <v>40</v>
      </c>
      <c r="H390" s="1">
        <v>1</v>
      </c>
      <c r="I390" t="s">
        <v>60</v>
      </c>
      <c r="J390" t="s">
        <v>34</v>
      </c>
      <c r="K390" t="s">
        <v>61</v>
      </c>
      <c r="L390" t="s">
        <v>35</v>
      </c>
      <c r="M390" s="3">
        <v>95</v>
      </c>
      <c r="N390" t="s">
        <v>60</v>
      </c>
      <c r="O390" t="s">
        <v>59</v>
      </c>
      <c r="P390" t="s">
        <v>45</v>
      </c>
      <c r="Q390" t="s">
        <v>59</v>
      </c>
      <c r="R390" t="s">
        <v>47</v>
      </c>
      <c r="S390" s="3">
        <v>2576</v>
      </c>
      <c r="T390" s="3">
        <v>20490</v>
      </c>
      <c r="U390" s="3" t="str">
        <f t="shared" si="27"/>
        <v>Low</v>
      </c>
      <c r="V390">
        <v>3</v>
      </c>
      <c r="W390" t="s">
        <v>38</v>
      </c>
      <c r="X390" s="2">
        <v>16</v>
      </c>
      <c r="Y390" t="s">
        <v>60</v>
      </c>
      <c r="Z390" t="s">
        <v>61</v>
      </c>
      <c r="AA390">
        <v>1</v>
      </c>
      <c r="AB390">
        <v>8</v>
      </c>
      <c r="AC390">
        <v>5</v>
      </c>
      <c r="AD390">
        <v>3</v>
      </c>
      <c r="AE390">
        <v>5</v>
      </c>
      <c r="AF390">
        <v>2</v>
      </c>
      <c r="AG390">
        <v>1</v>
      </c>
      <c r="AH390">
        <v>2</v>
      </c>
      <c r="AI390" t="str">
        <f t="shared" si="24"/>
        <v>3-5 Years</v>
      </c>
      <c r="AJ390" t="str">
        <f t="shared" si="25"/>
        <v>0-2</v>
      </c>
    </row>
    <row r="391" spans="1:36" x14ac:dyDescent="0.35">
      <c r="A391">
        <v>390</v>
      </c>
      <c r="B391">
        <v>37</v>
      </c>
      <c r="C391" t="str">
        <f t="shared" si="26"/>
        <v>36-45</v>
      </c>
      <c r="D391" t="s">
        <v>38</v>
      </c>
      <c r="E391" t="s">
        <v>32</v>
      </c>
      <c r="F391" s="3">
        <v>1389</v>
      </c>
      <c r="G391" t="s">
        <v>40</v>
      </c>
      <c r="H391" s="1">
        <v>10</v>
      </c>
      <c r="I391" t="s">
        <v>60</v>
      </c>
      <c r="J391" t="s">
        <v>34</v>
      </c>
      <c r="K391" t="s">
        <v>60</v>
      </c>
      <c r="L391" t="s">
        <v>41</v>
      </c>
      <c r="M391" s="3">
        <v>49</v>
      </c>
      <c r="N391" t="s">
        <v>60</v>
      </c>
      <c r="O391" t="s">
        <v>61</v>
      </c>
      <c r="P391" t="s">
        <v>48</v>
      </c>
      <c r="Q391" t="s">
        <v>61</v>
      </c>
      <c r="R391" t="s">
        <v>37</v>
      </c>
      <c r="S391" s="3">
        <v>4197</v>
      </c>
      <c r="T391" s="3">
        <v>21123</v>
      </c>
      <c r="U391" s="3" t="str">
        <f t="shared" si="27"/>
        <v>Low</v>
      </c>
      <c r="V391">
        <v>2</v>
      </c>
      <c r="W391" t="s">
        <v>31</v>
      </c>
      <c r="X391" s="2">
        <v>12</v>
      </c>
      <c r="Y391" t="s">
        <v>60</v>
      </c>
      <c r="Z391" t="s">
        <v>62</v>
      </c>
      <c r="AA391">
        <v>0</v>
      </c>
      <c r="AB391">
        <v>18</v>
      </c>
      <c r="AC391">
        <v>2</v>
      </c>
      <c r="AD391">
        <v>2</v>
      </c>
      <c r="AE391">
        <v>1</v>
      </c>
      <c r="AF391">
        <v>0</v>
      </c>
      <c r="AG391">
        <v>0</v>
      </c>
      <c r="AH391">
        <v>1</v>
      </c>
      <c r="AI391" t="str">
        <f t="shared" si="24"/>
        <v>0-2 Years</v>
      </c>
      <c r="AJ391" t="str">
        <f t="shared" si="25"/>
        <v>0-2</v>
      </c>
    </row>
    <row r="392" spans="1:36" x14ac:dyDescent="0.35">
      <c r="A392">
        <v>391</v>
      </c>
      <c r="B392">
        <v>43</v>
      </c>
      <c r="C392" t="str">
        <f t="shared" si="26"/>
        <v>36-45</v>
      </c>
      <c r="D392" t="s">
        <v>38</v>
      </c>
      <c r="E392" t="s">
        <v>32</v>
      </c>
      <c r="F392" s="3">
        <v>1389</v>
      </c>
      <c r="G392" t="s">
        <v>40</v>
      </c>
      <c r="H392" s="1">
        <v>12</v>
      </c>
      <c r="I392" t="s">
        <v>61</v>
      </c>
      <c r="J392" t="s">
        <v>34</v>
      </c>
      <c r="K392" t="s">
        <v>59</v>
      </c>
      <c r="L392" t="s">
        <v>41</v>
      </c>
      <c r="M392" s="3">
        <v>59</v>
      </c>
      <c r="N392" t="s">
        <v>61</v>
      </c>
      <c r="O392" t="s">
        <v>62</v>
      </c>
      <c r="P392" t="s">
        <v>53</v>
      </c>
      <c r="Q392" t="s">
        <v>61</v>
      </c>
      <c r="R392" t="s">
        <v>47</v>
      </c>
      <c r="S392" s="3">
        <v>14336</v>
      </c>
      <c r="T392" s="3">
        <v>4345</v>
      </c>
      <c r="U392" s="3" t="str">
        <f t="shared" si="27"/>
        <v>High</v>
      </c>
      <c r="V392">
        <v>1</v>
      </c>
      <c r="W392" t="s">
        <v>38</v>
      </c>
      <c r="X392" s="2">
        <v>11</v>
      </c>
      <c r="Y392" t="s">
        <v>60</v>
      </c>
      <c r="Z392" t="s">
        <v>60</v>
      </c>
      <c r="AA392">
        <v>1</v>
      </c>
      <c r="AB392">
        <v>25</v>
      </c>
      <c r="AC392">
        <v>3</v>
      </c>
      <c r="AD392">
        <v>3</v>
      </c>
      <c r="AE392">
        <v>25</v>
      </c>
      <c r="AF392">
        <v>10</v>
      </c>
      <c r="AG392">
        <v>3</v>
      </c>
      <c r="AH392">
        <v>9</v>
      </c>
      <c r="AI392" t="str">
        <f t="shared" si="24"/>
        <v>10+ Years</v>
      </c>
      <c r="AJ392" t="str">
        <f t="shared" si="25"/>
        <v>3-5</v>
      </c>
    </row>
    <row r="393" spans="1:36" x14ac:dyDescent="0.35">
      <c r="A393">
        <v>392</v>
      </c>
      <c r="B393">
        <v>40</v>
      </c>
      <c r="C393" t="str">
        <f t="shared" si="26"/>
        <v>36-45</v>
      </c>
      <c r="D393" t="s">
        <v>38</v>
      </c>
      <c r="E393" t="s">
        <v>32</v>
      </c>
      <c r="F393" s="3">
        <v>1389</v>
      </c>
      <c r="G393" t="s">
        <v>40</v>
      </c>
      <c r="H393" s="1">
        <v>2</v>
      </c>
      <c r="I393" t="s">
        <v>61</v>
      </c>
      <c r="J393" t="s">
        <v>46</v>
      </c>
      <c r="K393" t="s">
        <v>61</v>
      </c>
      <c r="L393" t="s">
        <v>35</v>
      </c>
      <c r="M393" s="3">
        <v>78</v>
      </c>
      <c r="N393" t="s">
        <v>61</v>
      </c>
      <c r="O393" t="s">
        <v>61</v>
      </c>
      <c r="P393" t="s">
        <v>45</v>
      </c>
      <c r="Q393" t="s">
        <v>60</v>
      </c>
      <c r="R393" t="s">
        <v>43</v>
      </c>
      <c r="S393" s="3">
        <v>3448</v>
      </c>
      <c r="T393" s="3">
        <v>13436</v>
      </c>
      <c r="U393" s="3" t="str">
        <f t="shared" si="27"/>
        <v>Low</v>
      </c>
      <c r="V393">
        <v>6</v>
      </c>
      <c r="W393" t="s">
        <v>38</v>
      </c>
      <c r="X393" s="2">
        <v>22</v>
      </c>
      <c r="Y393" t="s">
        <v>62</v>
      </c>
      <c r="Z393" t="s">
        <v>61</v>
      </c>
      <c r="AA393">
        <v>1</v>
      </c>
      <c r="AB393">
        <v>20</v>
      </c>
      <c r="AC393">
        <v>3</v>
      </c>
      <c r="AD393">
        <v>3</v>
      </c>
      <c r="AE393">
        <v>1</v>
      </c>
      <c r="AF393">
        <v>0</v>
      </c>
      <c r="AG393">
        <v>0</v>
      </c>
      <c r="AH393">
        <v>0</v>
      </c>
      <c r="AI393" t="str">
        <f t="shared" si="24"/>
        <v>0-2 Years</v>
      </c>
      <c r="AJ393" t="str">
        <f t="shared" si="25"/>
        <v>0-2</v>
      </c>
    </row>
    <row r="394" spans="1:36" x14ac:dyDescent="0.35">
      <c r="A394">
        <v>393</v>
      </c>
      <c r="B394">
        <v>54</v>
      </c>
      <c r="C394" t="str">
        <f t="shared" si="26"/>
        <v>46-55</v>
      </c>
      <c r="D394" t="s">
        <v>38</v>
      </c>
      <c r="E394" t="s">
        <v>32</v>
      </c>
      <c r="F394" s="3">
        <v>1389</v>
      </c>
      <c r="G394" t="s">
        <v>40</v>
      </c>
      <c r="H394" s="1">
        <v>5</v>
      </c>
      <c r="I394" t="s">
        <v>58</v>
      </c>
      <c r="J394" t="s">
        <v>46</v>
      </c>
      <c r="K394" t="s">
        <v>59</v>
      </c>
      <c r="L394" t="s">
        <v>41</v>
      </c>
      <c r="M394" s="3">
        <v>86</v>
      </c>
      <c r="N394" t="s">
        <v>60</v>
      </c>
      <c r="O394" t="e">
        <v>#N/A</v>
      </c>
      <c r="P394" t="s">
        <v>53</v>
      </c>
      <c r="Q394" t="s">
        <v>59</v>
      </c>
      <c r="R394" t="s">
        <v>43</v>
      </c>
      <c r="S394" s="3">
        <v>19406</v>
      </c>
      <c r="T394" s="3">
        <v>8509</v>
      </c>
      <c r="U394" s="3" t="str">
        <f t="shared" si="27"/>
        <v>High</v>
      </c>
      <c r="V394">
        <v>4</v>
      </c>
      <c r="W394" t="s">
        <v>38</v>
      </c>
      <c r="X394" s="2">
        <v>11</v>
      </c>
      <c r="Y394" t="s">
        <v>60</v>
      </c>
      <c r="Z394" t="s">
        <v>60</v>
      </c>
      <c r="AA394">
        <v>1</v>
      </c>
      <c r="AB394">
        <v>24</v>
      </c>
      <c r="AC394">
        <v>4</v>
      </c>
      <c r="AD394">
        <v>2</v>
      </c>
      <c r="AE394">
        <v>4</v>
      </c>
      <c r="AF394">
        <v>2</v>
      </c>
      <c r="AG394">
        <v>1</v>
      </c>
      <c r="AH394">
        <v>2</v>
      </c>
      <c r="AI394" t="str">
        <f t="shared" si="24"/>
        <v>3-5 Years</v>
      </c>
      <c r="AJ394" t="str">
        <f t="shared" si="25"/>
        <v>0-2</v>
      </c>
    </row>
    <row r="395" spans="1:36" x14ac:dyDescent="0.35">
      <c r="A395">
        <v>394</v>
      </c>
      <c r="B395">
        <v>34</v>
      </c>
      <c r="C395" t="str">
        <f t="shared" si="26"/>
        <v>26-35</v>
      </c>
      <c r="D395" t="s">
        <v>38</v>
      </c>
      <c r="E395" t="s">
        <v>50</v>
      </c>
      <c r="F395" s="3">
        <v>1389</v>
      </c>
      <c r="G395" t="s">
        <v>33</v>
      </c>
      <c r="H395" s="1">
        <v>4</v>
      </c>
      <c r="I395" t="s">
        <v>60</v>
      </c>
      <c r="J395" t="s">
        <v>54</v>
      </c>
      <c r="K395" t="s">
        <v>60</v>
      </c>
      <c r="L395" t="s">
        <v>35</v>
      </c>
      <c r="M395" s="3">
        <v>72</v>
      </c>
      <c r="N395" t="s">
        <v>60</v>
      </c>
      <c r="O395" t="s">
        <v>61</v>
      </c>
      <c r="P395" t="s">
        <v>36</v>
      </c>
      <c r="Q395" t="s">
        <v>60</v>
      </c>
      <c r="R395" t="s">
        <v>43</v>
      </c>
      <c r="S395" s="3">
        <v>6538</v>
      </c>
      <c r="T395" s="3">
        <v>12740</v>
      </c>
      <c r="U395" s="3" t="str">
        <f t="shared" si="27"/>
        <v>Medium</v>
      </c>
      <c r="V395">
        <v>9</v>
      </c>
      <c r="W395" t="s">
        <v>38</v>
      </c>
      <c r="X395" s="2">
        <v>15</v>
      </c>
      <c r="Y395" t="s">
        <v>60</v>
      </c>
      <c r="Z395" t="s">
        <v>59</v>
      </c>
      <c r="AA395">
        <v>1</v>
      </c>
      <c r="AB395">
        <v>6</v>
      </c>
      <c r="AC395">
        <v>3</v>
      </c>
      <c r="AD395">
        <v>3</v>
      </c>
      <c r="AE395">
        <v>3</v>
      </c>
      <c r="AF395">
        <v>2</v>
      </c>
      <c r="AG395">
        <v>1</v>
      </c>
      <c r="AH395">
        <v>2</v>
      </c>
      <c r="AI395" t="str">
        <f t="shared" si="24"/>
        <v>3-5 Years</v>
      </c>
      <c r="AJ395" t="str">
        <f t="shared" si="25"/>
        <v>0-2</v>
      </c>
    </row>
    <row r="396" spans="1:36" x14ac:dyDescent="0.35">
      <c r="A396">
        <v>395</v>
      </c>
      <c r="B396">
        <v>31</v>
      </c>
      <c r="C396" t="str">
        <f t="shared" si="26"/>
        <v>26-35</v>
      </c>
      <c r="D396" t="s">
        <v>38</v>
      </c>
      <c r="E396" t="s">
        <v>32</v>
      </c>
      <c r="F396" s="3">
        <v>1389</v>
      </c>
      <c r="G396" t="s">
        <v>40</v>
      </c>
      <c r="H396" s="1">
        <v>7</v>
      </c>
      <c r="I396" t="s">
        <v>58</v>
      </c>
      <c r="J396" t="s">
        <v>46</v>
      </c>
      <c r="K396" t="s">
        <v>61</v>
      </c>
      <c r="L396" t="s">
        <v>35</v>
      </c>
      <c r="M396" s="3">
        <v>31</v>
      </c>
      <c r="N396" t="s">
        <v>60</v>
      </c>
      <c r="O396" t="s">
        <v>61</v>
      </c>
      <c r="P396" t="s">
        <v>48</v>
      </c>
      <c r="Q396" t="s">
        <v>59</v>
      </c>
      <c r="R396" t="s">
        <v>43</v>
      </c>
      <c r="S396" s="3">
        <v>4306</v>
      </c>
      <c r="T396" s="3">
        <v>4156</v>
      </c>
      <c r="U396" s="3" t="str">
        <f t="shared" si="27"/>
        <v>Low</v>
      </c>
      <c r="V396">
        <v>1</v>
      </c>
      <c r="W396" t="s">
        <v>38</v>
      </c>
      <c r="X396" s="2">
        <v>12</v>
      </c>
      <c r="Y396" t="s">
        <v>60</v>
      </c>
      <c r="Z396" t="s">
        <v>61</v>
      </c>
      <c r="AA396">
        <v>1</v>
      </c>
      <c r="AB396">
        <v>13</v>
      </c>
      <c r="AC396">
        <v>5</v>
      </c>
      <c r="AD396">
        <v>1</v>
      </c>
      <c r="AE396">
        <v>13</v>
      </c>
      <c r="AF396">
        <v>10</v>
      </c>
      <c r="AG396">
        <v>3</v>
      </c>
      <c r="AH396">
        <v>12</v>
      </c>
      <c r="AI396" t="str">
        <f t="shared" si="24"/>
        <v>10+ Years</v>
      </c>
      <c r="AJ396" t="str">
        <f t="shared" si="25"/>
        <v>3-5</v>
      </c>
    </row>
    <row r="397" spans="1:36" x14ac:dyDescent="0.35">
      <c r="A397">
        <v>396</v>
      </c>
      <c r="B397">
        <v>43</v>
      </c>
      <c r="C397" t="str">
        <f t="shared" si="26"/>
        <v>36-45</v>
      </c>
      <c r="D397" t="s">
        <v>38</v>
      </c>
      <c r="E397" t="s">
        <v>39</v>
      </c>
      <c r="F397" s="3">
        <v>1389</v>
      </c>
      <c r="G397" t="s">
        <v>40</v>
      </c>
      <c r="H397" s="1">
        <v>21</v>
      </c>
      <c r="I397" t="s">
        <v>61</v>
      </c>
      <c r="J397" t="s">
        <v>46</v>
      </c>
      <c r="K397" t="s">
        <v>62</v>
      </c>
      <c r="L397" t="s">
        <v>41</v>
      </c>
      <c r="M397" s="3">
        <v>61</v>
      </c>
      <c r="N397" t="s">
        <v>60</v>
      </c>
      <c r="O397" t="s">
        <v>59</v>
      </c>
      <c r="P397" t="s">
        <v>45</v>
      </c>
      <c r="Q397" t="s">
        <v>62</v>
      </c>
      <c r="R397" t="s">
        <v>43</v>
      </c>
      <c r="S397" s="3">
        <v>2258</v>
      </c>
      <c r="T397" s="3">
        <v>15238</v>
      </c>
      <c r="U397" s="3" t="str">
        <f t="shared" si="27"/>
        <v>Low</v>
      </c>
      <c r="V397">
        <v>7</v>
      </c>
      <c r="W397" t="s">
        <v>38</v>
      </c>
      <c r="X397" s="2">
        <v>20</v>
      </c>
      <c r="Y397" t="s">
        <v>62</v>
      </c>
      <c r="Z397" t="s">
        <v>59</v>
      </c>
      <c r="AA397">
        <v>1</v>
      </c>
      <c r="AB397">
        <v>8</v>
      </c>
      <c r="AC397">
        <v>1</v>
      </c>
      <c r="AD397">
        <v>3</v>
      </c>
      <c r="AE397">
        <v>3</v>
      </c>
      <c r="AF397">
        <v>2</v>
      </c>
      <c r="AG397">
        <v>1</v>
      </c>
      <c r="AH397">
        <v>2</v>
      </c>
      <c r="AI397" t="str">
        <f t="shared" si="24"/>
        <v>3-5 Years</v>
      </c>
      <c r="AJ397" t="str">
        <f t="shared" si="25"/>
        <v>0-2</v>
      </c>
    </row>
    <row r="398" spans="1:36" x14ac:dyDescent="0.35">
      <c r="A398">
        <v>397</v>
      </c>
      <c r="B398">
        <v>43</v>
      </c>
      <c r="C398" t="str">
        <f t="shared" si="26"/>
        <v>36-45</v>
      </c>
      <c r="D398" t="s">
        <v>38</v>
      </c>
      <c r="E398" t="s">
        <v>32</v>
      </c>
      <c r="F398" s="3">
        <v>1389</v>
      </c>
      <c r="G398" t="s">
        <v>40</v>
      </c>
      <c r="H398" s="1">
        <v>8</v>
      </c>
      <c r="I398" t="s">
        <v>60</v>
      </c>
      <c r="J398" t="s">
        <v>44</v>
      </c>
      <c r="K398" t="s">
        <v>60</v>
      </c>
      <c r="L398" t="s">
        <v>35</v>
      </c>
      <c r="M398" s="3">
        <v>74</v>
      </c>
      <c r="N398" t="s">
        <v>60</v>
      </c>
      <c r="O398" t="s">
        <v>61</v>
      </c>
      <c r="P398" t="s">
        <v>49</v>
      </c>
      <c r="Q398" t="s">
        <v>60</v>
      </c>
      <c r="R398" t="s">
        <v>47</v>
      </c>
      <c r="S398" s="3">
        <v>4522</v>
      </c>
      <c r="T398" s="3">
        <v>2227</v>
      </c>
      <c r="U398" s="3" t="str">
        <f t="shared" si="27"/>
        <v>Low</v>
      </c>
      <c r="V398">
        <v>4</v>
      </c>
      <c r="W398" t="s">
        <v>31</v>
      </c>
      <c r="X398" s="2">
        <v>14</v>
      </c>
      <c r="Y398" t="s">
        <v>60</v>
      </c>
      <c r="Z398" t="s">
        <v>62</v>
      </c>
      <c r="AA398">
        <v>0</v>
      </c>
      <c r="AB398">
        <v>8</v>
      </c>
      <c r="AC398">
        <v>3</v>
      </c>
      <c r="AD398">
        <v>3</v>
      </c>
      <c r="AE398">
        <v>5</v>
      </c>
      <c r="AF398">
        <v>2</v>
      </c>
      <c r="AG398">
        <v>0</v>
      </c>
      <c r="AH398">
        <v>2</v>
      </c>
      <c r="AI398" t="str">
        <f t="shared" si="24"/>
        <v>3-5 Years</v>
      </c>
      <c r="AJ398" t="str">
        <f t="shared" si="25"/>
        <v>0-2</v>
      </c>
    </row>
    <row r="399" spans="1:36" x14ac:dyDescent="0.35">
      <c r="A399">
        <v>398</v>
      </c>
      <c r="B399">
        <v>25</v>
      </c>
      <c r="C399" t="str">
        <f t="shared" si="26"/>
        <v>18-25</v>
      </c>
      <c r="D399" t="s">
        <v>38</v>
      </c>
      <c r="E399" t="s">
        <v>32</v>
      </c>
      <c r="F399" s="3">
        <v>1389</v>
      </c>
      <c r="G399" t="s">
        <v>33</v>
      </c>
      <c r="H399" s="1">
        <v>4</v>
      </c>
      <c r="I399" t="s">
        <v>58</v>
      </c>
      <c r="J399" t="s">
        <v>34</v>
      </c>
      <c r="K399" t="s">
        <v>61</v>
      </c>
      <c r="L399" t="s">
        <v>35</v>
      </c>
      <c r="M399" s="3">
        <v>99</v>
      </c>
      <c r="N399" t="s">
        <v>61</v>
      </c>
      <c r="O399" t="s">
        <v>61</v>
      </c>
      <c r="P399" t="s">
        <v>36</v>
      </c>
      <c r="Q399" t="s">
        <v>62</v>
      </c>
      <c r="R399" t="s">
        <v>37</v>
      </c>
      <c r="S399" s="3">
        <v>4487</v>
      </c>
      <c r="T399" s="3">
        <v>12090</v>
      </c>
      <c r="U399" s="3" t="str">
        <f t="shared" si="27"/>
        <v>Low</v>
      </c>
      <c r="V399">
        <v>1</v>
      </c>
      <c r="W399" t="s">
        <v>31</v>
      </c>
      <c r="X399" s="2">
        <v>11</v>
      </c>
      <c r="Y399" t="s">
        <v>60</v>
      </c>
      <c r="Z399" t="s">
        <v>61</v>
      </c>
      <c r="AA399">
        <v>0</v>
      </c>
      <c r="AB399">
        <v>5</v>
      </c>
      <c r="AC399">
        <v>3</v>
      </c>
      <c r="AD399">
        <v>3</v>
      </c>
      <c r="AE399">
        <v>5</v>
      </c>
      <c r="AF399">
        <v>4</v>
      </c>
      <c r="AG399">
        <v>1</v>
      </c>
      <c r="AH399">
        <v>3</v>
      </c>
      <c r="AI399" t="str">
        <f t="shared" si="24"/>
        <v>3-5 Years</v>
      </c>
      <c r="AJ399" t="str">
        <f t="shared" si="25"/>
        <v>0-2</v>
      </c>
    </row>
    <row r="400" spans="1:36" x14ac:dyDescent="0.35">
      <c r="A400">
        <v>399</v>
      </c>
      <c r="B400">
        <v>37</v>
      </c>
      <c r="C400" t="str">
        <f t="shared" si="26"/>
        <v>36-45</v>
      </c>
      <c r="D400" t="s">
        <v>38</v>
      </c>
      <c r="E400" t="s">
        <v>50</v>
      </c>
      <c r="F400" s="3">
        <v>1389</v>
      </c>
      <c r="G400" t="s">
        <v>40</v>
      </c>
      <c r="H400" s="1">
        <v>25</v>
      </c>
      <c r="I400" t="s">
        <v>62</v>
      </c>
      <c r="J400" t="s">
        <v>46</v>
      </c>
      <c r="K400" t="s">
        <v>61</v>
      </c>
      <c r="L400" t="s">
        <v>35</v>
      </c>
      <c r="M400" s="3">
        <v>72</v>
      </c>
      <c r="N400" t="s">
        <v>60</v>
      </c>
      <c r="O400" t="s">
        <v>61</v>
      </c>
      <c r="P400" t="s">
        <v>42</v>
      </c>
      <c r="Q400" t="s">
        <v>60</v>
      </c>
      <c r="R400" t="s">
        <v>43</v>
      </c>
      <c r="S400" s="3">
        <v>4449</v>
      </c>
      <c r="T400" s="3">
        <v>23866</v>
      </c>
      <c r="U400" s="3" t="str">
        <f t="shared" si="27"/>
        <v>Low</v>
      </c>
      <c r="V400">
        <v>3</v>
      </c>
      <c r="W400" t="s">
        <v>31</v>
      </c>
      <c r="X400" s="2">
        <v>15</v>
      </c>
      <c r="Y400" t="s">
        <v>60</v>
      </c>
      <c r="Z400" t="s">
        <v>59</v>
      </c>
      <c r="AA400">
        <v>2</v>
      </c>
      <c r="AB400">
        <v>15</v>
      </c>
      <c r="AC400">
        <v>2</v>
      </c>
      <c r="AD400">
        <v>3</v>
      </c>
      <c r="AE400">
        <v>13</v>
      </c>
      <c r="AF400">
        <v>11</v>
      </c>
      <c r="AG400">
        <v>10</v>
      </c>
      <c r="AH400">
        <v>7</v>
      </c>
      <c r="AI400" t="str">
        <f t="shared" si="24"/>
        <v>10+ Years</v>
      </c>
      <c r="AJ400" t="str">
        <f t="shared" si="25"/>
        <v>6+</v>
      </c>
    </row>
    <row r="401" spans="1:36" x14ac:dyDescent="0.35">
      <c r="A401">
        <v>400</v>
      </c>
      <c r="B401">
        <v>31</v>
      </c>
      <c r="C401" t="str">
        <f t="shared" si="26"/>
        <v>26-35</v>
      </c>
      <c r="D401" t="s">
        <v>38</v>
      </c>
      <c r="E401" t="s">
        <v>32</v>
      </c>
      <c r="F401" s="3">
        <v>1389</v>
      </c>
      <c r="G401" t="s">
        <v>40</v>
      </c>
      <c r="H401" s="1">
        <v>1</v>
      </c>
      <c r="I401" t="s">
        <v>58</v>
      </c>
      <c r="J401" t="s">
        <v>34</v>
      </c>
      <c r="K401" t="s">
        <v>62</v>
      </c>
      <c r="L401" t="s">
        <v>41</v>
      </c>
      <c r="M401" s="3">
        <v>98</v>
      </c>
      <c r="N401" t="s">
        <v>61</v>
      </c>
      <c r="O401" t="s">
        <v>59</v>
      </c>
      <c r="P401" t="s">
        <v>45</v>
      </c>
      <c r="Q401" t="s">
        <v>59</v>
      </c>
      <c r="R401" t="s">
        <v>43</v>
      </c>
      <c r="S401" s="3">
        <v>2218</v>
      </c>
      <c r="T401" s="3">
        <v>16193</v>
      </c>
      <c r="U401" s="3" t="str">
        <f t="shared" si="27"/>
        <v>Low</v>
      </c>
      <c r="V401">
        <v>1</v>
      </c>
      <c r="W401" t="s">
        <v>38</v>
      </c>
      <c r="X401" s="2">
        <v>12</v>
      </c>
      <c r="Y401" t="s">
        <v>60</v>
      </c>
      <c r="Z401" t="s">
        <v>60</v>
      </c>
      <c r="AA401">
        <v>1</v>
      </c>
      <c r="AB401">
        <v>4</v>
      </c>
      <c r="AC401">
        <v>3</v>
      </c>
      <c r="AD401">
        <v>3</v>
      </c>
      <c r="AE401">
        <v>4</v>
      </c>
      <c r="AF401">
        <v>2</v>
      </c>
      <c r="AG401">
        <v>3</v>
      </c>
      <c r="AH401">
        <v>2</v>
      </c>
      <c r="AI401" t="str">
        <f t="shared" si="24"/>
        <v>3-5 Years</v>
      </c>
      <c r="AJ401" t="str">
        <f t="shared" si="25"/>
        <v>3-5</v>
      </c>
    </row>
    <row r="402" spans="1:36" x14ac:dyDescent="0.35">
      <c r="A402">
        <v>401</v>
      </c>
      <c r="B402">
        <v>39</v>
      </c>
      <c r="C402" t="str">
        <f t="shared" si="26"/>
        <v>36-45</v>
      </c>
      <c r="D402" t="s">
        <v>38</v>
      </c>
      <c r="E402" t="s">
        <v>39</v>
      </c>
      <c r="F402" s="3">
        <v>1389</v>
      </c>
      <c r="G402" t="s">
        <v>40</v>
      </c>
      <c r="H402" s="1">
        <v>1</v>
      </c>
      <c r="I402" t="s">
        <v>59</v>
      </c>
      <c r="J402" t="s">
        <v>34</v>
      </c>
      <c r="K402" t="s">
        <v>61</v>
      </c>
      <c r="L402" t="s">
        <v>41</v>
      </c>
      <c r="M402" s="3">
        <v>52</v>
      </c>
      <c r="N402" t="s">
        <v>60</v>
      </c>
      <c r="O402" t="e">
        <v>#N/A</v>
      </c>
      <c r="P402" t="s">
        <v>51</v>
      </c>
      <c r="Q402" t="s">
        <v>60</v>
      </c>
      <c r="R402" t="s">
        <v>47</v>
      </c>
      <c r="S402" s="3">
        <v>19197</v>
      </c>
      <c r="T402" s="3">
        <v>8213</v>
      </c>
      <c r="U402" s="3" t="str">
        <f t="shared" si="27"/>
        <v>High</v>
      </c>
      <c r="V402">
        <v>1</v>
      </c>
      <c r="W402" t="s">
        <v>31</v>
      </c>
      <c r="X402" s="2">
        <v>14</v>
      </c>
      <c r="Y402" t="s">
        <v>60</v>
      </c>
      <c r="Z402" t="s">
        <v>60</v>
      </c>
      <c r="AA402">
        <v>1</v>
      </c>
      <c r="AB402">
        <v>21</v>
      </c>
      <c r="AC402">
        <v>3</v>
      </c>
      <c r="AD402">
        <v>3</v>
      </c>
      <c r="AE402">
        <v>21</v>
      </c>
      <c r="AF402">
        <v>8</v>
      </c>
      <c r="AG402">
        <v>1</v>
      </c>
      <c r="AH402">
        <v>6</v>
      </c>
      <c r="AI402" t="str">
        <f t="shared" si="24"/>
        <v>10+ Years</v>
      </c>
      <c r="AJ402" t="str">
        <f t="shared" si="25"/>
        <v>0-2</v>
      </c>
    </row>
    <row r="403" spans="1:36" x14ac:dyDescent="0.35">
      <c r="A403">
        <v>402</v>
      </c>
      <c r="B403">
        <v>56</v>
      </c>
      <c r="C403" t="str">
        <f t="shared" si="26"/>
        <v>55+</v>
      </c>
      <c r="D403" t="s">
        <v>38</v>
      </c>
      <c r="E403" t="s">
        <v>39</v>
      </c>
      <c r="F403" s="3">
        <v>1389</v>
      </c>
      <c r="G403" t="s">
        <v>33</v>
      </c>
      <c r="H403" s="1">
        <v>6</v>
      </c>
      <c r="I403" t="s">
        <v>61</v>
      </c>
      <c r="J403" t="s">
        <v>34</v>
      </c>
      <c r="K403" t="s">
        <v>60</v>
      </c>
      <c r="L403" t="s">
        <v>35</v>
      </c>
      <c r="M403" s="3">
        <v>86</v>
      </c>
      <c r="N403" t="s">
        <v>62</v>
      </c>
      <c r="O403" t="s">
        <v>62</v>
      </c>
      <c r="P403" t="s">
        <v>36</v>
      </c>
      <c r="Q403" t="s">
        <v>59</v>
      </c>
      <c r="R403" t="s">
        <v>43</v>
      </c>
      <c r="S403" s="3">
        <v>13212</v>
      </c>
      <c r="T403" s="3">
        <v>18256</v>
      </c>
      <c r="U403" s="3" t="str">
        <f t="shared" si="27"/>
        <v>High</v>
      </c>
      <c r="V403">
        <v>9</v>
      </c>
      <c r="W403" t="s">
        <v>38</v>
      </c>
      <c r="X403" s="2">
        <v>11</v>
      </c>
      <c r="Y403" t="s">
        <v>60</v>
      </c>
      <c r="Z403" t="s">
        <v>62</v>
      </c>
      <c r="AA403">
        <v>3</v>
      </c>
      <c r="AB403">
        <v>36</v>
      </c>
      <c r="AC403">
        <v>0</v>
      </c>
      <c r="AD403">
        <v>2</v>
      </c>
      <c r="AE403">
        <v>7</v>
      </c>
      <c r="AF403">
        <v>7</v>
      </c>
      <c r="AG403">
        <v>7</v>
      </c>
      <c r="AH403">
        <v>7</v>
      </c>
      <c r="AI403" t="str">
        <f t="shared" si="24"/>
        <v>6-10 Years</v>
      </c>
      <c r="AJ403" t="str">
        <f t="shared" si="25"/>
        <v>6+</v>
      </c>
    </row>
    <row r="404" spans="1:36" x14ac:dyDescent="0.35">
      <c r="A404">
        <v>403</v>
      </c>
      <c r="B404">
        <v>30</v>
      </c>
      <c r="C404" t="str">
        <f t="shared" si="26"/>
        <v>26-35</v>
      </c>
      <c r="D404" t="s">
        <v>38</v>
      </c>
      <c r="E404" t="s">
        <v>32</v>
      </c>
      <c r="F404" s="3">
        <v>1389</v>
      </c>
      <c r="G404" t="s">
        <v>33</v>
      </c>
      <c r="H404" s="1">
        <v>12</v>
      </c>
      <c r="I404" t="s">
        <v>61</v>
      </c>
      <c r="J404" t="s">
        <v>55</v>
      </c>
      <c r="K404" t="s">
        <v>61</v>
      </c>
      <c r="L404" t="s">
        <v>35</v>
      </c>
      <c r="M404" s="3">
        <v>83</v>
      </c>
      <c r="N404" t="s">
        <v>60</v>
      </c>
      <c r="O404" t="s">
        <v>61</v>
      </c>
      <c r="P404" t="s">
        <v>36</v>
      </c>
      <c r="Q404" t="s">
        <v>60</v>
      </c>
      <c r="R404" t="s">
        <v>37</v>
      </c>
      <c r="S404" s="3">
        <v>6577</v>
      </c>
      <c r="T404" s="3">
        <v>19558</v>
      </c>
      <c r="U404" s="3" t="str">
        <f t="shared" si="27"/>
        <v>Medium</v>
      </c>
      <c r="V404">
        <v>0</v>
      </c>
      <c r="W404" t="s">
        <v>38</v>
      </c>
      <c r="X404" s="2">
        <v>11</v>
      </c>
      <c r="Y404" t="s">
        <v>60</v>
      </c>
      <c r="Z404" t="s">
        <v>61</v>
      </c>
      <c r="AA404">
        <v>0</v>
      </c>
      <c r="AB404">
        <v>6</v>
      </c>
      <c r="AC404">
        <v>6</v>
      </c>
      <c r="AD404">
        <v>3</v>
      </c>
      <c r="AE404">
        <v>5</v>
      </c>
      <c r="AF404">
        <v>4</v>
      </c>
      <c r="AG404">
        <v>4</v>
      </c>
      <c r="AH404">
        <v>4</v>
      </c>
      <c r="AI404" t="str">
        <f t="shared" si="24"/>
        <v>3-5 Years</v>
      </c>
      <c r="AJ404" t="str">
        <f t="shared" si="25"/>
        <v>3-5</v>
      </c>
    </row>
    <row r="405" spans="1:36" x14ac:dyDescent="0.35">
      <c r="A405">
        <v>404</v>
      </c>
      <c r="B405">
        <v>41</v>
      </c>
      <c r="C405" t="str">
        <f t="shared" si="26"/>
        <v>36-45</v>
      </c>
      <c r="D405" t="s">
        <v>38</v>
      </c>
      <c r="E405" t="s">
        <v>32</v>
      </c>
      <c r="F405" s="3">
        <v>1389</v>
      </c>
      <c r="G405" t="s">
        <v>33</v>
      </c>
      <c r="H405" s="1">
        <v>1</v>
      </c>
      <c r="I405" t="s">
        <v>61</v>
      </c>
      <c r="J405" t="s">
        <v>54</v>
      </c>
      <c r="K405" t="s">
        <v>61</v>
      </c>
      <c r="L405" t="s">
        <v>41</v>
      </c>
      <c r="M405" s="3">
        <v>49</v>
      </c>
      <c r="N405" t="s">
        <v>62</v>
      </c>
      <c r="O405" t="s">
        <v>60</v>
      </c>
      <c r="P405" t="s">
        <v>36</v>
      </c>
      <c r="Q405" t="s">
        <v>59</v>
      </c>
      <c r="R405" t="s">
        <v>43</v>
      </c>
      <c r="S405" s="3">
        <v>8392</v>
      </c>
      <c r="T405" s="3">
        <v>19566</v>
      </c>
      <c r="U405" s="3" t="str">
        <f t="shared" si="27"/>
        <v>Medium</v>
      </c>
      <c r="V405">
        <v>1</v>
      </c>
      <c r="W405" t="s">
        <v>38</v>
      </c>
      <c r="X405" s="2">
        <v>16</v>
      </c>
      <c r="Y405" t="s">
        <v>60</v>
      </c>
      <c r="Z405" t="s">
        <v>60</v>
      </c>
      <c r="AA405">
        <v>1</v>
      </c>
      <c r="AB405">
        <v>10</v>
      </c>
      <c r="AC405">
        <v>2</v>
      </c>
      <c r="AD405">
        <v>3</v>
      </c>
      <c r="AE405">
        <v>10</v>
      </c>
      <c r="AF405">
        <v>7</v>
      </c>
      <c r="AG405">
        <v>0</v>
      </c>
      <c r="AH405">
        <v>7</v>
      </c>
      <c r="AI405" t="str">
        <f t="shared" si="24"/>
        <v>6-10 Years</v>
      </c>
      <c r="AJ405" t="str">
        <f t="shared" si="25"/>
        <v>0-2</v>
      </c>
    </row>
    <row r="406" spans="1:36" x14ac:dyDescent="0.35">
      <c r="A406">
        <v>405</v>
      </c>
      <c r="B406">
        <v>28</v>
      </c>
      <c r="C406" t="str">
        <f t="shared" si="26"/>
        <v>26-35</v>
      </c>
      <c r="D406" t="s">
        <v>38</v>
      </c>
      <c r="E406" t="s">
        <v>32</v>
      </c>
      <c r="F406" s="3">
        <v>1389</v>
      </c>
      <c r="G406" t="s">
        <v>40</v>
      </c>
      <c r="H406" s="1">
        <v>17</v>
      </c>
      <c r="I406" t="s">
        <v>58</v>
      </c>
      <c r="J406" t="s">
        <v>46</v>
      </c>
      <c r="K406" t="s">
        <v>60</v>
      </c>
      <c r="L406" t="s">
        <v>41</v>
      </c>
      <c r="M406" s="3">
        <v>79</v>
      </c>
      <c r="N406" t="s">
        <v>60</v>
      </c>
      <c r="O406" t="s">
        <v>61</v>
      </c>
      <c r="P406" t="s">
        <v>45</v>
      </c>
      <c r="Q406" t="s">
        <v>59</v>
      </c>
      <c r="R406" t="s">
        <v>47</v>
      </c>
      <c r="S406" s="3">
        <v>4558</v>
      </c>
      <c r="T406" s="3">
        <v>13535</v>
      </c>
      <c r="U406" s="3" t="str">
        <f t="shared" si="27"/>
        <v>Low</v>
      </c>
      <c r="V406">
        <v>1</v>
      </c>
      <c r="W406" t="s">
        <v>38</v>
      </c>
      <c r="X406" s="2">
        <v>12</v>
      </c>
      <c r="Y406" t="s">
        <v>60</v>
      </c>
      <c r="Z406" t="s">
        <v>62</v>
      </c>
      <c r="AA406">
        <v>1</v>
      </c>
      <c r="AB406">
        <v>10</v>
      </c>
      <c r="AC406">
        <v>2</v>
      </c>
      <c r="AD406">
        <v>3</v>
      </c>
      <c r="AE406">
        <v>10</v>
      </c>
      <c r="AF406">
        <v>0</v>
      </c>
      <c r="AG406">
        <v>1</v>
      </c>
      <c r="AH406">
        <v>8</v>
      </c>
      <c r="AI406" t="str">
        <f t="shared" si="24"/>
        <v>6-10 Years</v>
      </c>
      <c r="AJ406" t="str">
        <f t="shared" si="25"/>
        <v>0-2</v>
      </c>
    </row>
    <row r="407" spans="1:36" x14ac:dyDescent="0.35">
      <c r="A407">
        <v>406</v>
      </c>
      <c r="B407">
        <v>25</v>
      </c>
      <c r="C407" t="str">
        <f t="shared" si="26"/>
        <v>18-25</v>
      </c>
      <c r="D407" t="s">
        <v>31</v>
      </c>
      <c r="E407" t="s">
        <v>32</v>
      </c>
      <c r="F407" s="3">
        <v>1389</v>
      </c>
      <c r="G407" t="s">
        <v>40</v>
      </c>
      <c r="H407" s="1">
        <v>3</v>
      </c>
      <c r="I407" t="s">
        <v>61</v>
      </c>
      <c r="J407" t="s">
        <v>46</v>
      </c>
      <c r="K407" t="s">
        <v>59</v>
      </c>
      <c r="L407" t="s">
        <v>41</v>
      </c>
      <c r="M407" s="3">
        <v>91</v>
      </c>
      <c r="N407" t="s">
        <v>60</v>
      </c>
      <c r="O407" t="s">
        <v>59</v>
      </c>
      <c r="P407" t="s">
        <v>45</v>
      </c>
      <c r="Q407" t="s">
        <v>59</v>
      </c>
      <c r="R407" t="s">
        <v>43</v>
      </c>
      <c r="S407" s="3">
        <v>4031</v>
      </c>
      <c r="T407" s="3">
        <v>9396</v>
      </c>
      <c r="U407" s="3" t="str">
        <f t="shared" si="27"/>
        <v>Low</v>
      </c>
      <c r="V407">
        <v>5</v>
      </c>
      <c r="W407" t="s">
        <v>38</v>
      </c>
      <c r="X407" s="2">
        <v>13</v>
      </c>
      <c r="Y407" t="s">
        <v>60</v>
      </c>
      <c r="Z407" t="s">
        <v>60</v>
      </c>
      <c r="AA407">
        <v>1</v>
      </c>
      <c r="AB407">
        <v>6</v>
      </c>
      <c r="AC407">
        <v>5</v>
      </c>
      <c r="AD407">
        <v>3</v>
      </c>
      <c r="AE407">
        <v>2</v>
      </c>
      <c r="AF407">
        <v>2</v>
      </c>
      <c r="AG407">
        <v>0</v>
      </c>
      <c r="AH407">
        <v>2</v>
      </c>
      <c r="AI407" t="str">
        <f t="shared" si="24"/>
        <v>0-2 Years</v>
      </c>
      <c r="AJ407" t="str">
        <f t="shared" si="25"/>
        <v>0-2</v>
      </c>
    </row>
    <row r="408" spans="1:36" x14ac:dyDescent="0.35">
      <c r="A408">
        <v>407</v>
      </c>
      <c r="B408">
        <v>52</v>
      </c>
      <c r="C408" t="str">
        <f t="shared" si="26"/>
        <v>46-55</v>
      </c>
      <c r="D408" t="s">
        <v>38</v>
      </c>
      <c r="E408" t="s">
        <v>32</v>
      </c>
      <c r="F408" s="3">
        <v>1389</v>
      </c>
      <c r="G408" t="s">
        <v>40</v>
      </c>
      <c r="H408" s="1">
        <v>3</v>
      </c>
      <c r="I408" t="s">
        <v>61</v>
      </c>
      <c r="J408" t="s">
        <v>46</v>
      </c>
      <c r="K408" t="s">
        <v>62</v>
      </c>
      <c r="L408" t="s">
        <v>41</v>
      </c>
      <c r="M408" s="3">
        <v>39</v>
      </c>
      <c r="N408" t="s">
        <v>61</v>
      </c>
      <c r="O408" t="s">
        <v>60</v>
      </c>
      <c r="P408" t="s">
        <v>48</v>
      </c>
      <c r="Q408" t="s">
        <v>60</v>
      </c>
      <c r="R408" t="s">
        <v>43</v>
      </c>
      <c r="S408" s="3">
        <v>7969</v>
      </c>
      <c r="T408" s="3">
        <v>19609</v>
      </c>
      <c r="U408" s="3" t="str">
        <f t="shared" si="27"/>
        <v>Medium</v>
      </c>
      <c r="V408">
        <v>2</v>
      </c>
      <c r="W408" t="s">
        <v>31</v>
      </c>
      <c r="X408" s="2">
        <v>14</v>
      </c>
      <c r="Y408" t="s">
        <v>60</v>
      </c>
      <c r="Z408" t="s">
        <v>60</v>
      </c>
      <c r="AA408">
        <v>0</v>
      </c>
      <c r="AB408">
        <v>28</v>
      </c>
      <c r="AC408">
        <v>4</v>
      </c>
      <c r="AD408">
        <v>3</v>
      </c>
      <c r="AE408">
        <v>5</v>
      </c>
      <c r="AF408">
        <v>4</v>
      </c>
      <c r="AG408">
        <v>0</v>
      </c>
      <c r="AH408">
        <v>4</v>
      </c>
      <c r="AI408" t="str">
        <f t="shared" si="24"/>
        <v>3-5 Years</v>
      </c>
      <c r="AJ408" t="str">
        <f t="shared" si="25"/>
        <v>0-2</v>
      </c>
    </row>
    <row r="409" spans="1:36" x14ac:dyDescent="0.35">
      <c r="A409">
        <v>408</v>
      </c>
      <c r="B409">
        <v>45</v>
      </c>
      <c r="C409" t="str">
        <f t="shared" si="26"/>
        <v>36-45</v>
      </c>
      <c r="D409" t="s">
        <v>38</v>
      </c>
      <c r="E409" t="s">
        <v>32</v>
      </c>
      <c r="F409" s="3">
        <v>1389</v>
      </c>
      <c r="G409" t="s">
        <v>40</v>
      </c>
      <c r="H409" s="1">
        <v>10</v>
      </c>
      <c r="I409" t="s">
        <v>58</v>
      </c>
      <c r="J409" t="s">
        <v>34</v>
      </c>
      <c r="K409" t="s">
        <v>59</v>
      </c>
      <c r="L409" t="s">
        <v>41</v>
      </c>
      <c r="M409" s="3">
        <v>69</v>
      </c>
      <c r="N409" t="s">
        <v>60</v>
      </c>
      <c r="O409" t="s">
        <v>59</v>
      </c>
      <c r="P409" t="s">
        <v>42</v>
      </c>
      <c r="Q409" t="s">
        <v>62</v>
      </c>
      <c r="R409" t="s">
        <v>43</v>
      </c>
      <c r="S409" s="3">
        <v>2654</v>
      </c>
      <c r="T409" s="3">
        <v>9655</v>
      </c>
      <c r="U409" s="3" t="str">
        <f t="shared" si="27"/>
        <v>Low</v>
      </c>
      <c r="V409">
        <v>3</v>
      </c>
      <c r="W409" t="s">
        <v>38</v>
      </c>
      <c r="X409" s="2">
        <v>21</v>
      </c>
      <c r="Y409" t="s">
        <v>62</v>
      </c>
      <c r="Z409" t="s">
        <v>62</v>
      </c>
      <c r="AA409">
        <v>2</v>
      </c>
      <c r="AB409">
        <v>8</v>
      </c>
      <c r="AC409">
        <v>3</v>
      </c>
      <c r="AD409">
        <v>2</v>
      </c>
      <c r="AE409">
        <v>2</v>
      </c>
      <c r="AF409">
        <v>2</v>
      </c>
      <c r="AG409">
        <v>0</v>
      </c>
      <c r="AH409">
        <v>2</v>
      </c>
      <c r="AI409" t="str">
        <f t="shared" si="24"/>
        <v>0-2 Years</v>
      </c>
      <c r="AJ409" t="str">
        <f t="shared" si="25"/>
        <v>0-2</v>
      </c>
    </row>
    <row r="410" spans="1:36" x14ac:dyDescent="0.35">
      <c r="A410">
        <v>409</v>
      </c>
      <c r="B410">
        <v>52</v>
      </c>
      <c r="C410" t="str">
        <f t="shared" si="26"/>
        <v>46-55</v>
      </c>
      <c r="D410" t="s">
        <v>38</v>
      </c>
      <c r="E410" t="s">
        <v>32</v>
      </c>
      <c r="F410" s="3">
        <v>1389</v>
      </c>
      <c r="G410" t="s">
        <v>40</v>
      </c>
      <c r="H410" s="1">
        <v>4</v>
      </c>
      <c r="I410" t="s">
        <v>58</v>
      </c>
      <c r="J410" t="s">
        <v>34</v>
      </c>
      <c r="K410" t="s">
        <v>62</v>
      </c>
      <c r="L410" t="s">
        <v>35</v>
      </c>
      <c r="M410" s="3">
        <v>30</v>
      </c>
      <c r="N410" t="s">
        <v>60</v>
      </c>
      <c r="O410" t="s">
        <v>62</v>
      </c>
      <c r="P410" t="s">
        <v>51</v>
      </c>
      <c r="Q410" t="s">
        <v>62</v>
      </c>
      <c r="R410" t="s">
        <v>43</v>
      </c>
      <c r="S410" s="3">
        <v>16555</v>
      </c>
      <c r="T410" s="3">
        <v>10310</v>
      </c>
      <c r="U410" s="3" t="str">
        <f t="shared" si="27"/>
        <v>High</v>
      </c>
      <c r="V410">
        <v>2</v>
      </c>
      <c r="W410" t="s">
        <v>38</v>
      </c>
      <c r="X410" s="2">
        <v>13</v>
      </c>
      <c r="Y410" t="s">
        <v>60</v>
      </c>
      <c r="Z410" t="s">
        <v>62</v>
      </c>
      <c r="AA410">
        <v>0</v>
      </c>
      <c r="AB410">
        <v>31</v>
      </c>
      <c r="AC410">
        <v>2</v>
      </c>
      <c r="AD410">
        <v>1</v>
      </c>
      <c r="AE410">
        <v>5</v>
      </c>
      <c r="AF410">
        <v>2</v>
      </c>
      <c r="AG410">
        <v>1</v>
      </c>
      <c r="AH410">
        <v>4</v>
      </c>
      <c r="AI410" t="str">
        <f t="shared" si="24"/>
        <v>3-5 Years</v>
      </c>
      <c r="AJ410" t="str">
        <f t="shared" si="25"/>
        <v>0-2</v>
      </c>
    </row>
    <row r="411" spans="1:36" x14ac:dyDescent="0.35">
      <c r="A411">
        <v>410</v>
      </c>
      <c r="B411">
        <v>42</v>
      </c>
      <c r="C411" t="str">
        <f t="shared" si="26"/>
        <v>36-45</v>
      </c>
      <c r="D411" t="s">
        <v>38</v>
      </c>
      <c r="E411" t="s">
        <v>39</v>
      </c>
      <c r="F411" s="3">
        <v>1389</v>
      </c>
      <c r="G411" t="s">
        <v>40</v>
      </c>
      <c r="H411" s="1">
        <v>29</v>
      </c>
      <c r="I411" t="s">
        <v>58</v>
      </c>
      <c r="J411" t="s">
        <v>34</v>
      </c>
      <c r="K411" t="s">
        <v>59</v>
      </c>
      <c r="L411" t="s">
        <v>35</v>
      </c>
      <c r="M411" s="3">
        <v>92</v>
      </c>
      <c r="N411" t="s">
        <v>60</v>
      </c>
      <c r="O411" t="s">
        <v>61</v>
      </c>
      <c r="P411" t="s">
        <v>42</v>
      </c>
      <c r="Q411" t="s">
        <v>60</v>
      </c>
      <c r="R411" t="s">
        <v>47</v>
      </c>
      <c r="S411" s="3">
        <v>4556</v>
      </c>
      <c r="T411" s="3">
        <v>12932</v>
      </c>
      <c r="U411" s="3" t="str">
        <f t="shared" si="27"/>
        <v>Low</v>
      </c>
      <c r="V411">
        <v>2</v>
      </c>
      <c r="W411" t="s">
        <v>38</v>
      </c>
      <c r="X411" s="2">
        <v>11</v>
      </c>
      <c r="Y411" t="s">
        <v>60</v>
      </c>
      <c r="Z411" t="s">
        <v>61</v>
      </c>
      <c r="AA411">
        <v>1</v>
      </c>
      <c r="AB411">
        <v>19</v>
      </c>
      <c r="AC411">
        <v>3</v>
      </c>
      <c r="AD411">
        <v>3</v>
      </c>
      <c r="AE411">
        <v>5</v>
      </c>
      <c r="AF411">
        <v>4</v>
      </c>
      <c r="AG411">
        <v>0</v>
      </c>
      <c r="AH411">
        <v>2</v>
      </c>
      <c r="AI411" t="str">
        <f t="shared" si="24"/>
        <v>3-5 Years</v>
      </c>
      <c r="AJ411" t="str">
        <f t="shared" si="25"/>
        <v>0-2</v>
      </c>
    </row>
    <row r="412" spans="1:36" x14ac:dyDescent="0.35">
      <c r="A412">
        <v>411</v>
      </c>
      <c r="B412">
        <v>30</v>
      </c>
      <c r="C412" t="str">
        <f t="shared" si="26"/>
        <v>26-35</v>
      </c>
      <c r="D412" t="s">
        <v>38</v>
      </c>
      <c r="E412" t="s">
        <v>32</v>
      </c>
      <c r="F412" s="3">
        <v>1389</v>
      </c>
      <c r="G412" t="s">
        <v>40</v>
      </c>
      <c r="H412" s="1">
        <v>2</v>
      </c>
      <c r="I412" t="s">
        <v>61</v>
      </c>
      <c r="J412" t="s">
        <v>34</v>
      </c>
      <c r="K412" t="s">
        <v>60</v>
      </c>
      <c r="L412" t="s">
        <v>35</v>
      </c>
      <c r="M412" s="3">
        <v>43</v>
      </c>
      <c r="N412" t="s">
        <v>59</v>
      </c>
      <c r="O412" t="s">
        <v>61</v>
      </c>
      <c r="P412" t="s">
        <v>48</v>
      </c>
      <c r="Q412" t="s">
        <v>62</v>
      </c>
      <c r="R412" t="s">
        <v>37</v>
      </c>
      <c r="S412" s="3">
        <v>6091</v>
      </c>
      <c r="T412" s="3">
        <v>24793</v>
      </c>
      <c r="U412" s="3" t="str">
        <f t="shared" si="27"/>
        <v>Medium</v>
      </c>
      <c r="V412">
        <v>2</v>
      </c>
      <c r="W412" t="s">
        <v>38</v>
      </c>
      <c r="X412" s="2">
        <v>20</v>
      </c>
      <c r="Y412" t="s">
        <v>62</v>
      </c>
      <c r="Z412" t="s">
        <v>60</v>
      </c>
      <c r="AA412">
        <v>0</v>
      </c>
      <c r="AB412">
        <v>11</v>
      </c>
      <c r="AC412">
        <v>2</v>
      </c>
      <c r="AD412">
        <v>3</v>
      </c>
      <c r="AE412">
        <v>5</v>
      </c>
      <c r="AF412">
        <v>4</v>
      </c>
      <c r="AG412">
        <v>0</v>
      </c>
      <c r="AH412">
        <v>2</v>
      </c>
      <c r="AI412" t="str">
        <f t="shared" si="24"/>
        <v>3-5 Years</v>
      </c>
      <c r="AJ412" t="str">
        <f t="shared" si="25"/>
        <v>0-2</v>
      </c>
    </row>
    <row r="413" spans="1:36" x14ac:dyDescent="0.35">
      <c r="A413">
        <v>412</v>
      </c>
      <c r="B413">
        <v>60</v>
      </c>
      <c r="C413" t="str">
        <f t="shared" si="26"/>
        <v>55+</v>
      </c>
      <c r="D413" t="s">
        <v>38</v>
      </c>
      <c r="E413" t="s">
        <v>32</v>
      </c>
      <c r="F413" s="3">
        <v>1389</v>
      </c>
      <c r="G413" t="s">
        <v>40</v>
      </c>
      <c r="H413" s="1">
        <v>7</v>
      </c>
      <c r="I413" t="s">
        <v>61</v>
      </c>
      <c r="J413" t="s">
        <v>34</v>
      </c>
      <c r="K413" t="s">
        <v>59</v>
      </c>
      <c r="L413" t="s">
        <v>35</v>
      </c>
      <c r="M413" s="3">
        <v>41</v>
      </c>
      <c r="N413" t="s">
        <v>60</v>
      </c>
      <c r="O413" t="e">
        <v>#N/A</v>
      </c>
      <c r="P413" t="s">
        <v>51</v>
      </c>
      <c r="Q413" t="s">
        <v>59</v>
      </c>
      <c r="R413" t="s">
        <v>43</v>
      </c>
      <c r="S413" s="3">
        <v>19566</v>
      </c>
      <c r="T413" s="3">
        <v>3854</v>
      </c>
      <c r="U413" s="3" t="str">
        <f t="shared" si="27"/>
        <v>High</v>
      </c>
      <c r="V413">
        <v>5</v>
      </c>
      <c r="W413" t="s">
        <v>38</v>
      </c>
      <c r="X413" s="2">
        <v>11</v>
      </c>
      <c r="Y413" t="s">
        <v>60</v>
      </c>
      <c r="Z413" t="s">
        <v>62</v>
      </c>
      <c r="AA413">
        <v>0</v>
      </c>
      <c r="AB413">
        <v>33</v>
      </c>
      <c r="AC413">
        <v>5</v>
      </c>
      <c r="AD413">
        <v>1</v>
      </c>
      <c r="AE413">
        <v>29</v>
      </c>
      <c r="AF413">
        <v>8</v>
      </c>
      <c r="AG413">
        <v>11</v>
      </c>
      <c r="AH413">
        <v>10</v>
      </c>
      <c r="AI413" t="str">
        <f t="shared" si="24"/>
        <v>10+ Years</v>
      </c>
      <c r="AJ413" t="str">
        <f t="shared" si="25"/>
        <v>6+</v>
      </c>
    </row>
    <row r="414" spans="1:36" x14ac:dyDescent="0.35">
      <c r="A414">
        <v>413</v>
      </c>
      <c r="B414">
        <v>46</v>
      </c>
      <c r="C414" t="str">
        <f t="shared" si="26"/>
        <v>46-55</v>
      </c>
      <c r="D414" t="s">
        <v>38</v>
      </c>
      <c r="E414" t="s">
        <v>32</v>
      </c>
      <c r="F414" s="3">
        <v>1389</v>
      </c>
      <c r="G414" t="s">
        <v>40</v>
      </c>
      <c r="H414" s="1">
        <v>18</v>
      </c>
      <c r="I414" t="s">
        <v>61</v>
      </c>
      <c r="J414" t="s">
        <v>46</v>
      </c>
      <c r="K414" t="s">
        <v>60</v>
      </c>
      <c r="L414" t="s">
        <v>35</v>
      </c>
      <c r="M414" s="3">
        <v>87</v>
      </c>
      <c r="N414" t="s">
        <v>60</v>
      </c>
      <c r="O414" t="s">
        <v>61</v>
      </c>
      <c r="P414" t="s">
        <v>48</v>
      </c>
      <c r="Q414" t="s">
        <v>60</v>
      </c>
      <c r="R414" t="s">
        <v>47</v>
      </c>
      <c r="S414" s="3">
        <v>4810</v>
      </c>
      <c r="T414" s="3">
        <v>26314</v>
      </c>
      <c r="U414" s="3" t="str">
        <f t="shared" si="27"/>
        <v>Low</v>
      </c>
      <c r="V414">
        <v>2</v>
      </c>
      <c r="W414" t="s">
        <v>38</v>
      </c>
      <c r="X414" s="2">
        <v>14</v>
      </c>
      <c r="Y414" t="s">
        <v>60</v>
      </c>
      <c r="Z414" t="s">
        <v>60</v>
      </c>
      <c r="AA414">
        <v>1</v>
      </c>
      <c r="AB414">
        <v>19</v>
      </c>
      <c r="AC414">
        <v>5</v>
      </c>
      <c r="AD414">
        <v>2</v>
      </c>
      <c r="AE414">
        <v>10</v>
      </c>
      <c r="AF414">
        <v>7</v>
      </c>
      <c r="AG414">
        <v>0</v>
      </c>
      <c r="AH414">
        <v>8</v>
      </c>
      <c r="AI414" t="str">
        <f t="shared" si="24"/>
        <v>6-10 Years</v>
      </c>
      <c r="AJ414" t="str">
        <f t="shared" si="25"/>
        <v>0-2</v>
      </c>
    </row>
    <row r="415" spans="1:36" x14ac:dyDescent="0.35">
      <c r="A415">
        <v>414</v>
      </c>
      <c r="B415">
        <v>42</v>
      </c>
      <c r="C415" t="str">
        <f t="shared" si="26"/>
        <v>36-45</v>
      </c>
      <c r="D415" t="s">
        <v>38</v>
      </c>
      <c r="E415" t="s">
        <v>39</v>
      </c>
      <c r="F415" s="3">
        <v>1389</v>
      </c>
      <c r="G415" t="s">
        <v>40</v>
      </c>
      <c r="H415" s="1">
        <v>28</v>
      </c>
      <c r="I415" t="s">
        <v>60</v>
      </c>
      <c r="J415" t="s">
        <v>55</v>
      </c>
      <c r="K415" t="s">
        <v>62</v>
      </c>
      <c r="L415" t="s">
        <v>35</v>
      </c>
      <c r="M415" s="3">
        <v>88</v>
      </c>
      <c r="N415" t="s">
        <v>61</v>
      </c>
      <c r="O415" t="s">
        <v>61</v>
      </c>
      <c r="P415" t="s">
        <v>49</v>
      </c>
      <c r="Q415" t="s">
        <v>62</v>
      </c>
      <c r="R415" t="s">
        <v>43</v>
      </c>
      <c r="S415" s="3">
        <v>4523</v>
      </c>
      <c r="T415" s="3">
        <v>4386</v>
      </c>
      <c r="U415" s="3" t="str">
        <f t="shared" si="27"/>
        <v>Low</v>
      </c>
      <c r="V415">
        <v>0</v>
      </c>
      <c r="W415" t="s">
        <v>38</v>
      </c>
      <c r="X415" s="2">
        <v>11</v>
      </c>
      <c r="Y415" t="s">
        <v>60</v>
      </c>
      <c r="Z415" t="s">
        <v>62</v>
      </c>
      <c r="AA415">
        <v>3</v>
      </c>
      <c r="AB415">
        <v>7</v>
      </c>
      <c r="AC415">
        <v>4</v>
      </c>
      <c r="AD415">
        <v>4</v>
      </c>
      <c r="AE415">
        <v>6</v>
      </c>
      <c r="AF415">
        <v>5</v>
      </c>
      <c r="AG415">
        <v>0</v>
      </c>
      <c r="AH415">
        <v>4</v>
      </c>
      <c r="AI415" t="str">
        <f t="shared" si="24"/>
        <v>6-10 Years</v>
      </c>
      <c r="AJ415" t="str">
        <f t="shared" si="25"/>
        <v>0-2</v>
      </c>
    </row>
    <row r="416" spans="1:36" x14ac:dyDescent="0.35">
      <c r="A416">
        <v>415</v>
      </c>
      <c r="B416">
        <v>24</v>
      </c>
      <c r="C416" t="str">
        <f t="shared" si="26"/>
        <v>18-25</v>
      </c>
      <c r="D416" t="s">
        <v>31</v>
      </c>
      <c r="E416" t="s">
        <v>32</v>
      </c>
      <c r="F416" s="3">
        <v>1389</v>
      </c>
      <c r="G416" t="s">
        <v>33</v>
      </c>
      <c r="H416" s="1">
        <v>1</v>
      </c>
      <c r="I416" t="s">
        <v>59</v>
      </c>
      <c r="J416" t="s">
        <v>55</v>
      </c>
      <c r="K416" t="s">
        <v>59</v>
      </c>
      <c r="L416" t="s">
        <v>35</v>
      </c>
      <c r="M416" s="3">
        <v>62</v>
      </c>
      <c r="N416" t="s">
        <v>60</v>
      </c>
      <c r="O416" t="s">
        <v>59</v>
      </c>
      <c r="P416" t="s">
        <v>52</v>
      </c>
      <c r="Q416" t="s">
        <v>61</v>
      </c>
      <c r="R416" t="s">
        <v>37</v>
      </c>
      <c r="S416" s="3">
        <v>3202</v>
      </c>
      <c r="T416" s="3">
        <v>21972</v>
      </c>
      <c r="U416" s="3" t="str">
        <f t="shared" si="27"/>
        <v>Low</v>
      </c>
      <c r="V416">
        <v>1</v>
      </c>
      <c r="W416" t="s">
        <v>31</v>
      </c>
      <c r="X416" s="2">
        <v>16</v>
      </c>
      <c r="Y416" t="s">
        <v>60</v>
      </c>
      <c r="Z416" t="s">
        <v>61</v>
      </c>
      <c r="AA416">
        <v>0</v>
      </c>
      <c r="AB416">
        <v>6</v>
      </c>
      <c r="AC416">
        <v>4</v>
      </c>
      <c r="AD416">
        <v>3</v>
      </c>
      <c r="AE416">
        <v>5</v>
      </c>
      <c r="AF416">
        <v>3</v>
      </c>
      <c r="AG416">
        <v>1</v>
      </c>
      <c r="AH416">
        <v>4</v>
      </c>
      <c r="AI416" t="str">
        <f t="shared" si="24"/>
        <v>3-5 Years</v>
      </c>
      <c r="AJ416" t="str">
        <f t="shared" si="25"/>
        <v>0-2</v>
      </c>
    </row>
    <row r="417" spans="1:36" x14ac:dyDescent="0.35">
      <c r="A417">
        <v>416</v>
      </c>
      <c r="B417">
        <v>34</v>
      </c>
      <c r="C417" t="str">
        <f t="shared" si="26"/>
        <v>26-35</v>
      </c>
      <c r="D417" t="s">
        <v>31</v>
      </c>
      <c r="E417" t="s">
        <v>39</v>
      </c>
      <c r="F417" s="3">
        <v>1389</v>
      </c>
      <c r="G417" t="s">
        <v>33</v>
      </c>
      <c r="H417" s="1">
        <v>6</v>
      </c>
      <c r="I417" t="s">
        <v>58</v>
      </c>
      <c r="J417" t="s">
        <v>54</v>
      </c>
      <c r="K417" t="s">
        <v>62</v>
      </c>
      <c r="L417" t="s">
        <v>35</v>
      </c>
      <c r="M417" s="3">
        <v>33</v>
      </c>
      <c r="N417" t="s">
        <v>59</v>
      </c>
      <c r="O417" t="s">
        <v>59</v>
      </c>
      <c r="P417" t="s">
        <v>52</v>
      </c>
      <c r="Q417" t="s">
        <v>60</v>
      </c>
      <c r="R417" t="s">
        <v>47</v>
      </c>
      <c r="S417" s="3">
        <v>2351</v>
      </c>
      <c r="T417" s="3">
        <v>12253</v>
      </c>
      <c r="U417" s="3" t="str">
        <f t="shared" si="27"/>
        <v>Low</v>
      </c>
      <c r="V417">
        <v>0</v>
      </c>
      <c r="W417" t="s">
        <v>38</v>
      </c>
      <c r="X417" s="2">
        <v>16</v>
      </c>
      <c r="Y417" t="s">
        <v>60</v>
      </c>
      <c r="Z417" t="s">
        <v>62</v>
      </c>
      <c r="AA417">
        <v>1</v>
      </c>
      <c r="AB417">
        <v>3</v>
      </c>
      <c r="AC417">
        <v>3</v>
      </c>
      <c r="AD417">
        <v>2</v>
      </c>
      <c r="AE417">
        <v>2</v>
      </c>
      <c r="AF417">
        <v>2</v>
      </c>
      <c r="AG417">
        <v>1</v>
      </c>
      <c r="AH417">
        <v>0</v>
      </c>
      <c r="AI417" t="str">
        <f t="shared" si="24"/>
        <v>0-2 Years</v>
      </c>
      <c r="AJ417" t="str">
        <f t="shared" si="25"/>
        <v>0-2</v>
      </c>
    </row>
    <row r="418" spans="1:36" x14ac:dyDescent="0.35">
      <c r="A418">
        <v>417</v>
      </c>
      <c r="B418">
        <v>38</v>
      </c>
      <c r="C418" t="str">
        <f t="shared" si="26"/>
        <v>36-45</v>
      </c>
      <c r="D418" t="s">
        <v>38</v>
      </c>
      <c r="E418" t="s">
        <v>39</v>
      </c>
      <c r="F418" s="3">
        <v>1389</v>
      </c>
      <c r="G418" t="s">
        <v>40</v>
      </c>
      <c r="H418" s="1">
        <v>2</v>
      </c>
      <c r="I418" t="s">
        <v>58</v>
      </c>
      <c r="J418" t="s">
        <v>34</v>
      </c>
      <c r="K418" t="s">
        <v>62</v>
      </c>
      <c r="L418" t="s">
        <v>41</v>
      </c>
      <c r="M418" s="3">
        <v>42</v>
      </c>
      <c r="N418" t="s">
        <v>60</v>
      </c>
      <c r="O418" t="s">
        <v>59</v>
      </c>
      <c r="P418" t="s">
        <v>45</v>
      </c>
      <c r="Q418" t="s">
        <v>62</v>
      </c>
      <c r="R418" t="s">
        <v>43</v>
      </c>
      <c r="S418" s="3">
        <v>1702</v>
      </c>
      <c r="T418" s="3">
        <v>12106</v>
      </c>
      <c r="U418" s="3" t="str">
        <f t="shared" si="27"/>
        <v>Low</v>
      </c>
      <c r="V418">
        <v>1</v>
      </c>
      <c r="W418" t="s">
        <v>31</v>
      </c>
      <c r="X418" s="2">
        <v>23</v>
      </c>
      <c r="Y418" t="s">
        <v>62</v>
      </c>
      <c r="Z418" t="s">
        <v>60</v>
      </c>
      <c r="AA418">
        <v>1</v>
      </c>
      <c r="AB418">
        <v>1</v>
      </c>
      <c r="AC418">
        <v>3</v>
      </c>
      <c r="AD418">
        <v>3</v>
      </c>
      <c r="AE418">
        <v>1</v>
      </c>
      <c r="AF418">
        <v>0</v>
      </c>
      <c r="AG418">
        <v>0</v>
      </c>
      <c r="AH418">
        <v>0</v>
      </c>
      <c r="AI418" t="str">
        <f t="shared" si="24"/>
        <v>0-2 Years</v>
      </c>
      <c r="AJ418" t="str">
        <f t="shared" si="25"/>
        <v>0-2</v>
      </c>
    </row>
    <row r="419" spans="1:36" x14ac:dyDescent="0.35">
      <c r="A419">
        <v>418</v>
      </c>
      <c r="B419">
        <v>40</v>
      </c>
      <c r="C419" t="str">
        <f t="shared" si="26"/>
        <v>36-45</v>
      </c>
      <c r="D419" t="s">
        <v>38</v>
      </c>
      <c r="E419" t="s">
        <v>32</v>
      </c>
      <c r="F419" s="3">
        <v>1389</v>
      </c>
      <c r="G419" t="s">
        <v>33</v>
      </c>
      <c r="H419" s="1">
        <v>2</v>
      </c>
      <c r="I419" t="s">
        <v>60</v>
      </c>
      <c r="J419" t="s">
        <v>34</v>
      </c>
      <c r="K419" t="s">
        <v>60</v>
      </c>
      <c r="L419" t="s">
        <v>35</v>
      </c>
      <c r="M419" s="3">
        <v>79</v>
      </c>
      <c r="N419" t="s">
        <v>60</v>
      </c>
      <c r="O419" t="e">
        <v>#N/A</v>
      </c>
      <c r="P419" t="s">
        <v>51</v>
      </c>
      <c r="Q419" t="s">
        <v>60</v>
      </c>
      <c r="R419" t="s">
        <v>43</v>
      </c>
      <c r="S419" s="3">
        <v>18041</v>
      </c>
      <c r="T419" s="3">
        <v>13022</v>
      </c>
      <c r="U419" s="3" t="str">
        <f t="shared" si="27"/>
        <v>High</v>
      </c>
      <c r="V419">
        <v>0</v>
      </c>
      <c r="W419" t="s">
        <v>38</v>
      </c>
      <c r="X419" s="2">
        <v>14</v>
      </c>
      <c r="Y419" t="s">
        <v>60</v>
      </c>
      <c r="Z419" t="s">
        <v>62</v>
      </c>
      <c r="AA419">
        <v>0</v>
      </c>
      <c r="AB419">
        <v>21</v>
      </c>
      <c r="AC419">
        <v>2</v>
      </c>
      <c r="AD419">
        <v>3</v>
      </c>
      <c r="AE419">
        <v>20</v>
      </c>
      <c r="AF419">
        <v>15</v>
      </c>
      <c r="AG419">
        <v>1</v>
      </c>
      <c r="AH419">
        <v>12</v>
      </c>
      <c r="AI419" t="str">
        <f t="shared" si="24"/>
        <v>10+ Years</v>
      </c>
      <c r="AJ419" t="str">
        <f t="shared" si="25"/>
        <v>0-2</v>
      </c>
    </row>
    <row r="420" spans="1:36" x14ac:dyDescent="0.35">
      <c r="A420">
        <v>419</v>
      </c>
      <c r="B420">
        <v>26</v>
      </c>
      <c r="C420" t="str">
        <f t="shared" si="26"/>
        <v>26-35</v>
      </c>
      <c r="D420" t="s">
        <v>38</v>
      </c>
      <c r="E420" t="s">
        <v>32</v>
      </c>
      <c r="F420" s="3">
        <v>1389</v>
      </c>
      <c r="G420" t="s">
        <v>40</v>
      </c>
      <c r="H420" s="1">
        <v>23</v>
      </c>
      <c r="I420" t="s">
        <v>61</v>
      </c>
      <c r="J420" t="s">
        <v>34</v>
      </c>
      <c r="K420" t="s">
        <v>59</v>
      </c>
      <c r="L420" t="s">
        <v>35</v>
      </c>
      <c r="M420" s="3">
        <v>90</v>
      </c>
      <c r="N420" t="s">
        <v>60</v>
      </c>
      <c r="O420" t="s">
        <v>59</v>
      </c>
      <c r="P420" t="s">
        <v>42</v>
      </c>
      <c r="Q420" t="s">
        <v>62</v>
      </c>
      <c r="R420" t="s">
        <v>47</v>
      </c>
      <c r="S420" s="3">
        <v>2886</v>
      </c>
      <c r="T420" s="3">
        <v>3032</v>
      </c>
      <c r="U420" s="3" t="str">
        <f t="shared" si="27"/>
        <v>Low</v>
      </c>
      <c r="V420">
        <v>1</v>
      </c>
      <c r="W420" t="s">
        <v>38</v>
      </c>
      <c r="X420" s="2">
        <v>22</v>
      </c>
      <c r="Y420" t="s">
        <v>62</v>
      </c>
      <c r="Z420" t="s">
        <v>61</v>
      </c>
      <c r="AA420">
        <v>2</v>
      </c>
      <c r="AB420">
        <v>3</v>
      </c>
      <c r="AC420">
        <v>3</v>
      </c>
      <c r="AD420">
        <v>1</v>
      </c>
      <c r="AE420">
        <v>3</v>
      </c>
      <c r="AF420">
        <v>2</v>
      </c>
      <c r="AG420">
        <v>0</v>
      </c>
      <c r="AH420">
        <v>2</v>
      </c>
      <c r="AI420" t="str">
        <f t="shared" si="24"/>
        <v>3-5 Years</v>
      </c>
      <c r="AJ420" t="str">
        <f t="shared" si="25"/>
        <v>0-2</v>
      </c>
    </row>
    <row r="421" spans="1:36" x14ac:dyDescent="0.35">
      <c r="A421">
        <v>420</v>
      </c>
      <c r="B421">
        <v>30</v>
      </c>
      <c r="C421" t="str">
        <f t="shared" si="26"/>
        <v>26-35</v>
      </c>
      <c r="D421" t="s">
        <v>38</v>
      </c>
      <c r="E421" t="s">
        <v>50</v>
      </c>
      <c r="F421" s="3">
        <v>1389</v>
      </c>
      <c r="G421" t="s">
        <v>40</v>
      </c>
      <c r="H421" s="1">
        <v>3</v>
      </c>
      <c r="I421" t="s">
        <v>61</v>
      </c>
      <c r="J421" t="s">
        <v>34</v>
      </c>
      <c r="K421" t="s">
        <v>60</v>
      </c>
      <c r="L421" t="s">
        <v>41</v>
      </c>
      <c r="M421" s="3">
        <v>53</v>
      </c>
      <c r="N421" t="s">
        <v>60</v>
      </c>
      <c r="O421" t="s">
        <v>59</v>
      </c>
      <c r="P421" t="s">
        <v>45</v>
      </c>
      <c r="Q421" t="s">
        <v>62</v>
      </c>
      <c r="R421" t="s">
        <v>43</v>
      </c>
      <c r="S421" s="3">
        <v>2097</v>
      </c>
      <c r="T421" s="3">
        <v>16734</v>
      </c>
      <c r="U421" s="3" t="str">
        <f t="shared" si="27"/>
        <v>Low</v>
      </c>
      <c r="V421">
        <v>4</v>
      </c>
      <c r="W421" t="s">
        <v>38</v>
      </c>
      <c r="X421" s="2">
        <v>15</v>
      </c>
      <c r="Y421" t="s">
        <v>60</v>
      </c>
      <c r="Z421" t="s">
        <v>60</v>
      </c>
      <c r="AA421">
        <v>1</v>
      </c>
      <c r="AB421">
        <v>9</v>
      </c>
      <c r="AC421">
        <v>3</v>
      </c>
      <c r="AD421">
        <v>1</v>
      </c>
      <c r="AE421">
        <v>5</v>
      </c>
      <c r="AF421">
        <v>3</v>
      </c>
      <c r="AG421">
        <v>1</v>
      </c>
      <c r="AH421">
        <v>4</v>
      </c>
      <c r="AI421" t="str">
        <f t="shared" si="24"/>
        <v>3-5 Years</v>
      </c>
      <c r="AJ421" t="str">
        <f t="shared" si="25"/>
        <v>0-2</v>
      </c>
    </row>
    <row r="422" spans="1:36" x14ac:dyDescent="0.35">
      <c r="A422">
        <v>421</v>
      </c>
      <c r="B422">
        <v>29</v>
      </c>
      <c r="C422" t="str">
        <f t="shared" si="26"/>
        <v>26-35</v>
      </c>
      <c r="D422" t="s">
        <v>38</v>
      </c>
      <c r="E422" t="s">
        <v>32</v>
      </c>
      <c r="F422" s="3">
        <v>1389</v>
      </c>
      <c r="G422" t="s">
        <v>40</v>
      </c>
      <c r="H422" s="1">
        <v>3</v>
      </c>
      <c r="I422" t="s">
        <v>60</v>
      </c>
      <c r="J422" t="s">
        <v>46</v>
      </c>
      <c r="K422" t="s">
        <v>61</v>
      </c>
      <c r="L422" t="s">
        <v>41</v>
      </c>
      <c r="M422" s="3">
        <v>93</v>
      </c>
      <c r="N422" t="s">
        <v>61</v>
      </c>
      <c r="O422" t="s">
        <v>60</v>
      </c>
      <c r="P422" t="s">
        <v>53</v>
      </c>
      <c r="Q422" t="s">
        <v>60</v>
      </c>
      <c r="R422" t="s">
        <v>43</v>
      </c>
      <c r="S422" s="3">
        <v>11935</v>
      </c>
      <c r="T422" s="3">
        <v>21526</v>
      </c>
      <c r="U422" s="3" t="str">
        <f t="shared" si="27"/>
        <v>High</v>
      </c>
      <c r="V422">
        <v>1</v>
      </c>
      <c r="W422" t="s">
        <v>38</v>
      </c>
      <c r="X422" s="2">
        <v>18</v>
      </c>
      <c r="Y422" t="s">
        <v>60</v>
      </c>
      <c r="Z422" t="s">
        <v>60</v>
      </c>
      <c r="AA422">
        <v>0</v>
      </c>
      <c r="AB422">
        <v>10</v>
      </c>
      <c r="AC422">
        <v>2</v>
      </c>
      <c r="AD422">
        <v>3</v>
      </c>
      <c r="AE422">
        <v>10</v>
      </c>
      <c r="AF422">
        <v>2</v>
      </c>
      <c r="AG422">
        <v>0</v>
      </c>
      <c r="AH422">
        <v>7</v>
      </c>
      <c r="AI422" t="str">
        <f t="shared" si="24"/>
        <v>6-10 Years</v>
      </c>
      <c r="AJ422" t="str">
        <f t="shared" si="25"/>
        <v>0-2</v>
      </c>
    </row>
    <row r="423" spans="1:36" x14ac:dyDescent="0.35">
      <c r="A423">
        <v>422</v>
      </c>
      <c r="B423">
        <v>29</v>
      </c>
      <c r="C423" t="str">
        <f t="shared" si="26"/>
        <v>26-35</v>
      </c>
      <c r="D423" t="s">
        <v>31</v>
      </c>
      <c r="E423" t="s">
        <v>32</v>
      </c>
      <c r="F423" s="3">
        <v>1389</v>
      </c>
      <c r="G423" t="s">
        <v>40</v>
      </c>
      <c r="H423" s="1">
        <v>25</v>
      </c>
      <c r="I423" t="s">
        <v>62</v>
      </c>
      <c r="J423" t="s">
        <v>55</v>
      </c>
      <c r="K423" t="s">
        <v>60</v>
      </c>
      <c r="L423" t="s">
        <v>35</v>
      </c>
      <c r="M423" s="3">
        <v>71</v>
      </c>
      <c r="N423" t="s">
        <v>61</v>
      </c>
      <c r="O423" t="s">
        <v>59</v>
      </c>
      <c r="P423" t="s">
        <v>42</v>
      </c>
      <c r="Q423" t="s">
        <v>61</v>
      </c>
      <c r="R423" t="s">
        <v>43</v>
      </c>
      <c r="S423" s="3">
        <v>2546</v>
      </c>
      <c r="T423" s="3">
        <v>18300</v>
      </c>
      <c r="U423" s="3" t="str">
        <f t="shared" si="27"/>
        <v>Low</v>
      </c>
      <c r="V423">
        <v>5</v>
      </c>
      <c r="W423" t="s">
        <v>38</v>
      </c>
      <c r="X423" s="2">
        <v>16</v>
      </c>
      <c r="Y423" t="s">
        <v>60</v>
      </c>
      <c r="Z423" t="s">
        <v>61</v>
      </c>
      <c r="AA423">
        <v>0</v>
      </c>
      <c r="AB423">
        <v>6</v>
      </c>
      <c r="AC423">
        <v>2</v>
      </c>
      <c r="AD423">
        <v>4</v>
      </c>
      <c r="AE423">
        <v>2</v>
      </c>
      <c r="AF423">
        <v>2</v>
      </c>
      <c r="AG423">
        <v>1</v>
      </c>
      <c r="AH423">
        <v>1</v>
      </c>
      <c r="AI423" t="str">
        <f t="shared" si="24"/>
        <v>0-2 Years</v>
      </c>
      <c r="AJ423" t="str">
        <f t="shared" si="25"/>
        <v>0-2</v>
      </c>
    </row>
    <row r="424" spans="1:36" x14ac:dyDescent="0.35">
      <c r="A424">
        <v>423</v>
      </c>
      <c r="B424">
        <v>19</v>
      </c>
      <c r="C424" t="str">
        <f t="shared" si="26"/>
        <v>18-25</v>
      </c>
      <c r="D424" t="s">
        <v>31</v>
      </c>
      <c r="E424" t="s">
        <v>32</v>
      </c>
      <c r="F424" s="3">
        <v>1389</v>
      </c>
      <c r="G424" t="s">
        <v>56</v>
      </c>
      <c r="H424" s="1">
        <v>2</v>
      </c>
      <c r="I424" t="s">
        <v>58</v>
      </c>
      <c r="J424" t="s">
        <v>55</v>
      </c>
      <c r="K424" t="s">
        <v>59</v>
      </c>
      <c r="L424" t="s">
        <v>41</v>
      </c>
      <c r="M424" s="3">
        <v>52</v>
      </c>
      <c r="N424" t="s">
        <v>61</v>
      </c>
      <c r="O424" t="s">
        <v>59</v>
      </c>
      <c r="P424" t="s">
        <v>56</v>
      </c>
      <c r="Q424" t="s">
        <v>62</v>
      </c>
      <c r="R424" t="s">
        <v>37</v>
      </c>
      <c r="S424" s="3">
        <v>2564</v>
      </c>
      <c r="T424" s="3">
        <v>18437</v>
      </c>
      <c r="U424" s="3" t="str">
        <f t="shared" si="27"/>
        <v>Low</v>
      </c>
      <c r="V424">
        <v>1</v>
      </c>
      <c r="W424" t="s">
        <v>38</v>
      </c>
      <c r="X424" s="2">
        <v>12</v>
      </c>
      <c r="Y424" t="s">
        <v>60</v>
      </c>
      <c r="Z424" t="s">
        <v>60</v>
      </c>
      <c r="AA424">
        <v>0</v>
      </c>
      <c r="AB424">
        <v>1</v>
      </c>
      <c r="AC424">
        <v>3</v>
      </c>
      <c r="AD424">
        <v>4</v>
      </c>
      <c r="AE424">
        <v>1</v>
      </c>
      <c r="AF424">
        <v>0</v>
      </c>
      <c r="AG424">
        <v>0</v>
      </c>
      <c r="AH424">
        <v>0</v>
      </c>
      <c r="AI424" t="str">
        <f t="shared" si="24"/>
        <v>0-2 Years</v>
      </c>
      <c r="AJ424" t="str">
        <f t="shared" si="25"/>
        <v>0-2</v>
      </c>
    </row>
    <row r="425" spans="1:36" x14ac:dyDescent="0.35">
      <c r="A425">
        <v>424</v>
      </c>
      <c r="B425">
        <v>30</v>
      </c>
      <c r="C425" t="str">
        <f t="shared" si="26"/>
        <v>26-35</v>
      </c>
      <c r="D425" t="s">
        <v>38</v>
      </c>
      <c r="E425" t="s">
        <v>50</v>
      </c>
      <c r="F425" s="3">
        <v>1389</v>
      </c>
      <c r="G425" t="s">
        <v>33</v>
      </c>
      <c r="H425" s="1">
        <v>22</v>
      </c>
      <c r="I425" t="s">
        <v>60</v>
      </c>
      <c r="J425" t="s">
        <v>44</v>
      </c>
      <c r="K425" t="s">
        <v>60</v>
      </c>
      <c r="L425" t="s">
        <v>35</v>
      </c>
      <c r="M425" s="3">
        <v>69</v>
      </c>
      <c r="N425" t="s">
        <v>60</v>
      </c>
      <c r="O425" t="s">
        <v>60</v>
      </c>
      <c r="P425" t="s">
        <v>36</v>
      </c>
      <c r="Q425" t="s">
        <v>59</v>
      </c>
      <c r="R425" t="s">
        <v>43</v>
      </c>
      <c r="S425" s="3">
        <v>8412</v>
      </c>
      <c r="T425" s="3">
        <v>2890</v>
      </c>
      <c r="U425" s="3" t="str">
        <f t="shared" si="27"/>
        <v>Medium</v>
      </c>
      <c r="V425">
        <v>0</v>
      </c>
      <c r="W425" t="s">
        <v>38</v>
      </c>
      <c r="X425" s="2">
        <v>11</v>
      </c>
      <c r="Y425" t="s">
        <v>60</v>
      </c>
      <c r="Z425" t="s">
        <v>60</v>
      </c>
      <c r="AA425">
        <v>0</v>
      </c>
      <c r="AB425">
        <v>10</v>
      </c>
      <c r="AC425">
        <v>3</v>
      </c>
      <c r="AD425">
        <v>3</v>
      </c>
      <c r="AE425">
        <v>9</v>
      </c>
      <c r="AF425">
        <v>8</v>
      </c>
      <c r="AG425">
        <v>7</v>
      </c>
      <c r="AH425">
        <v>8</v>
      </c>
      <c r="AI425" t="str">
        <f t="shared" si="24"/>
        <v>6-10 Years</v>
      </c>
      <c r="AJ425" t="str">
        <f t="shared" si="25"/>
        <v>6+</v>
      </c>
    </row>
    <row r="426" spans="1:36" x14ac:dyDescent="0.35">
      <c r="A426">
        <v>425</v>
      </c>
      <c r="B426">
        <v>57</v>
      </c>
      <c r="C426" t="str">
        <f t="shared" si="26"/>
        <v>55+</v>
      </c>
      <c r="D426" t="s">
        <v>38</v>
      </c>
      <c r="E426" t="s">
        <v>32</v>
      </c>
      <c r="F426" s="3">
        <v>1389</v>
      </c>
      <c r="G426" t="s">
        <v>33</v>
      </c>
      <c r="H426" s="1">
        <v>29</v>
      </c>
      <c r="I426" t="s">
        <v>61</v>
      </c>
      <c r="J426" t="s">
        <v>54</v>
      </c>
      <c r="K426" t="s">
        <v>59</v>
      </c>
      <c r="L426" t="s">
        <v>41</v>
      </c>
      <c r="M426" s="3">
        <v>56</v>
      </c>
      <c r="N426" t="s">
        <v>61</v>
      </c>
      <c r="O426" t="s">
        <v>62</v>
      </c>
      <c r="P426" t="s">
        <v>51</v>
      </c>
      <c r="Q426" t="s">
        <v>62</v>
      </c>
      <c r="R426" t="s">
        <v>47</v>
      </c>
      <c r="S426" s="3">
        <v>14118</v>
      </c>
      <c r="T426" s="3">
        <v>22102</v>
      </c>
      <c r="U426" s="3" t="str">
        <f t="shared" si="27"/>
        <v>High</v>
      </c>
      <c r="V426">
        <v>3</v>
      </c>
      <c r="W426" t="s">
        <v>38</v>
      </c>
      <c r="X426" s="2">
        <v>12</v>
      </c>
      <c r="Y426" t="s">
        <v>60</v>
      </c>
      <c r="Z426" t="s">
        <v>60</v>
      </c>
      <c r="AA426">
        <v>1</v>
      </c>
      <c r="AB426">
        <v>32</v>
      </c>
      <c r="AC426">
        <v>3</v>
      </c>
      <c r="AD426">
        <v>2</v>
      </c>
      <c r="AE426">
        <v>1</v>
      </c>
      <c r="AF426">
        <v>0</v>
      </c>
      <c r="AG426">
        <v>0</v>
      </c>
      <c r="AH426">
        <v>0</v>
      </c>
      <c r="AI426" t="str">
        <f t="shared" si="24"/>
        <v>0-2 Years</v>
      </c>
      <c r="AJ426" t="str">
        <f t="shared" si="25"/>
        <v>0-2</v>
      </c>
    </row>
    <row r="427" spans="1:36" x14ac:dyDescent="0.35">
      <c r="A427">
        <v>426</v>
      </c>
      <c r="B427">
        <v>50</v>
      </c>
      <c r="C427" t="str">
        <f t="shared" si="26"/>
        <v>46-55</v>
      </c>
      <c r="D427" t="s">
        <v>38</v>
      </c>
      <c r="E427" t="s">
        <v>32</v>
      </c>
      <c r="F427" s="3">
        <v>1389</v>
      </c>
      <c r="G427" t="s">
        <v>40</v>
      </c>
      <c r="H427" s="1">
        <v>29</v>
      </c>
      <c r="I427" t="s">
        <v>60</v>
      </c>
      <c r="J427" t="s">
        <v>34</v>
      </c>
      <c r="K427" t="s">
        <v>61</v>
      </c>
      <c r="L427" t="s">
        <v>41</v>
      </c>
      <c r="M427" s="3">
        <v>88</v>
      </c>
      <c r="N427" t="s">
        <v>61</v>
      </c>
      <c r="O427" t="s">
        <v>62</v>
      </c>
      <c r="P427" t="s">
        <v>51</v>
      </c>
      <c r="Q427" t="s">
        <v>60</v>
      </c>
      <c r="R427" t="s">
        <v>43</v>
      </c>
      <c r="S427" s="3">
        <v>17046</v>
      </c>
      <c r="T427" s="3">
        <v>9314</v>
      </c>
      <c r="U427" s="3" t="str">
        <f t="shared" si="27"/>
        <v>High</v>
      </c>
      <c r="V427">
        <v>0</v>
      </c>
      <c r="W427" t="s">
        <v>38</v>
      </c>
      <c r="X427" s="2">
        <v>15</v>
      </c>
      <c r="Y427" t="s">
        <v>60</v>
      </c>
      <c r="Z427" t="s">
        <v>61</v>
      </c>
      <c r="AA427">
        <v>1</v>
      </c>
      <c r="AB427">
        <v>28</v>
      </c>
      <c r="AC427">
        <v>2</v>
      </c>
      <c r="AD427">
        <v>3</v>
      </c>
      <c r="AE427">
        <v>27</v>
      </c>
      <c r="AF427">
        <v>10</v>
      </c>
      <c r="AG427">
        <v>15</v>
      </c>
      <c r="AH427">
        <v>7</v>
      </c>
      <c r="AI427" t="str">
        <f t="shared" si="24"/>
        <v>10+ Years</v>
      </c>
      <c r="AJ427" t="str">
        <f t="shared" si="25"/>
        <v>6+</v>
      </c>
    </row>
    <row r="428" spans="1:36" x14ac:dyDescent="0.35">
      <c r="A428">
        <v>427</v>
      </c>
      <c r="B428">
        <v>30</v>
      </c>
      <c r="C428" t="str">
        <f t="shared" si="26"/>
        <v>26-35</v>
      </c>
      <c r="D428" t="s">
        <v>38</v>
      </c>
      <c r="E428" t="s">
        <v>50</v>
      </c>
      <c r="F428" s="3">
        <v>1389</v>
      </c>
      <c r="G428" t="s">
        <v>40</v>
      </c>
      <c r="H428" s="1">
        <v>2</v>
      </c>
      <c r="I428" t="s">
        <v>61</v>
      </c>
      <c r="J428" t="s">
        <v>46</v>
      </c>
      <c r="K428" t="s">
        <v>60</v>
      </c>
      <c r="L428" t="s">
        <v>35</v>
      </c>
      <c r="M428" s="3">
        <v>49</v>
      </c>
      <c r="N428" t="s">
        <v>60</v>
      </c>
      <c r="O428" t="s">
        <v>59</v>
      </c>
      <c r="P428" t="s">
        <v>45</v>
      </c>
      <c r="Q428" t="s">
        <v>62</v>
      </c>
      <c r="R428" t="s">
        <v>37</v>
      </c>
      <c r="S428" s="3">
        <v>2564</v>
      </c>
      <c r="T428" s="3">
        <v>7181</v>
      </c>
      <c r="U428" s="3" t="str">
        <f t="shared" si="27"/>
        <v>Low</v>
      </c>
      <c r="V428">
        <v>0</v>
      </c>
      <c r="W428" t="s">
        <v>38</v>
      </c>
      <c r="X428" s="2">
        <v>14</v>
      </c>
      <c r="Y428" t="s">
        <v>60</v>
      </c>
      <c r="Z428" t="s">
        <v>60</v>
      </c>
      <c r="AA428">
        <v>0</v>
      </c>
      <c r="AB428">
        <v>12</v>
      </c>
      <c r="AC428">
        <v>2</v>
      </c>
      <c r="AD428">
        <v>2</v>
      </c>
      <c r="AE428">
        <v>11</v>
      </c>
      <c r="AF428">
        <v>7</v>
      </c>
      <c r="AG428">
        <v>6</v>
      </c>
      <c r="AH428">
        <v>7</v>
      </c>
      <c r="AI428" t="str">
        <f t="shared" si="24"/>
        <v>10+ Years</v>
      </c>
      <c r="AJ428" t="str">
        <f t="shared" si="25"/>
        <v>6+</v>
      </c>
    </row>
    <row r="429" spans="1:36" x14ac:dyDescent="0.35">
      <c r="A429">
        <v>428</v>
      </c>
      <c r="B429">
        <v>60</v>
      </c>
      <c r="C429" t="str">
        <f t="shared" si="26"/>
        <v>55+</v>
      </c>
      <c r="D429" t="s">
        <v>38</v>
      </c>
      <c r="E429" t="s">
        <v>39</v>
      </c>
      <c r="F429" s="3">
        <v>1389</v>
      </c>
      <c r="G429" t="s">
        <v>33</v>
      </c>
      <c r="H429" s="1">
        <v>28</v>
      </c>
      <c r="I429" t="s">
        <v>61</v>
      </c>
      <c r="J429" t="s">
        <v>54</v>
      </c>
      <c r="K429" t="s">
        <v>60</v>
      </c>
      <c r="L429" t="s">
        <v>35</v>
      </c>
      <c r="M429" s="3">
        <v>80</v>
      </c>
      <c r="N429" t="s">
        <v>61</v>
      </c>
      <c r="O429" t="s">
        <v>60</v>
      </c>
      <c r="P429" t="s">
        <v>36</v>
      </c>
      <c r="Q429" t="s">
        <v>59</v>
      </c>
      <c r="R429" t="s">
        <v>43</v>
      </c>
      <c r="S429" s="3">
        <v>10266</v>
      </c>
      <c r="T429" s="3">
        <v>2845</v>
      </c>
      <c r="U429" s="3" t="str">
        <f t="shared" si="27"/>
        <v>High</v>
      </c>
      <c r="V429">
        <v>4</v>
      </c>
      <c r="W429" t="s">
        <v>38</v>
      </c>
      <c r="X429" s="2">
        <v>19</v>
      </c>
      <c r="Y429" t="s">
        <v>60</v>
      </c>
      <c r="Z429" t="s">
        <v>62</v>
      </c>
      <c r="AA429">
        <v>0</v>
      </c>
      <c r="AB429">
        <v>22</v>
      </c>
      <c r="AC429">
        <v>5</v>
      </c>
      <c r="AD429">
        <v>4</v>
      </c>
      <c r="AE429">
        <v>18</v>
      </c>
      <c r="AF429">
        <v>13</v>
      </c>
      <c r="AG429">
        <v>13</v>
      </c>
      <c r="AH429">
        <v>11</v>
      </c>
      <c r="AI429" t="str">
        <f t="shared" si="24"/>
        <v>10+ Years</v>
      </c>
      <c r="AJ429" t="str">
        <f t="shared" si="25"/>
        <v>6+</v>
      </c>
    </row>
    <row r="430" spans="1:36" x14ac:dyDescent="0.35">
      <c r="A430">
        <v>429</v>
      </c>
      <c r="B430">
        <v>47</v>
      </c>
      <c r="C430" t="str">
        <f t="shared" si="26"/>
        <v>46-55</v>
      </c>
      <c r="D430" t="s">
        <v>38</v>
      </c>
      <c r="E430" t="s">
        <v>32</v>
      </c>
      <c r="F430" s="3">
        <v>1389</v>
      </c>
      <c r="G430" t="s">
        <v>40</v>
      </c>
      <c r="H430" s="1">
        <v>2</v>
      </c>
      <c r="I430" t="s">
        <v>58</v>
      </c>
      <c r="J430" t="s">
        <v>46</v>
      </c>
      <c r="K430" t="s">
        <v>59</v>
      </c>
      <c r="L430" t="s">
        <v>35</v>
      </c>
      <c r="M430" s="3">
        <v>65</v>
      </c>
      <c r="N430" t="s">
        <v>60</v>
      </c>
      <c r="O430" t="s">
        <v>61</v>
      </c>
      <c r="P430" t="s">
        <v>48</v>
      </c>
      <c r="Q430" t="s">
        <v>62</v>
      </c>
      <c r="R430" t="s">
        <v>47</v>
      </c>
      <c r="S430" s="3">
        <v>5070</v>
      </c>
      <c r="T430" s="3">
        <v>7389</v>
      </c>
      <c r="U430" s="3" t="str">
        <f t="shared" si="27"/>
        <v>Medium</v>
      </c>
      <c r="V430">
        <v>5</v>
      </c>
      <c r="W430" t="s">
        <v>38</v>
      </c>
      <c r="X430" s="2">
        <v>13</v>
      </c>
      <c r="Y430" t="s">
        <v>60</v>
      </c>
      <c r="Z430" t="s">
        <v>60</v>
      </c>
      <c r="AA430">
        <v>3</v>
      </c>
      <c r="AB430">
        <v>20</v>
      </c>
      <c r="AC430">
        <v>2</v>
      </c>
      <c r="AD430">
        <v>3</v>
      </c>
      <c r="AE430">
        <v>5</v>
      </c>
      <c r="AF430">
        <v>0</v>
      </c>
      <c r="AG430">
        <v>0</v>
      </c>
      <c r="AH430">
        <v>4</v>
      </c>
      <c r="AI430" t="str">
        <f t="shared" si="24"/>
        <v>3-5 Years</v>
      </c>
      <c r="AJ430" t="str">
        <f t="shared" si="25"/>
        <v>0-2</v>
      </c>
    </row>
    <row r="431" spans="1:36" x14ac:dyDescent="0.35">
      <c r="A431">
        <v>430</v>
      </c>
      <c r="B431">
        <v>46</v>
      </c>
      <c r="C431" t="str">
        <f t="shared" si="26"/>
        <v>46-55</v>
      </c>
      <c r="D431" t="s">
        <v>38</v>
      </c>
      <c r="E431" t="s">
        <v>32</v>
      </c>
      <c r="F431" s="3">
        <v>1389</v>
      </c>
      <c r="G431" t="s">
        <v>40</v>
      </c>
      <c r="H431" s="1">
        <v>2</v>
      </c>
      <c r="I431" t="s">
        <v>61</v>
      </c>
      <c r="J431" t="s">
        <v>34</v>
      </c>
      <c r="K431" t="s">
        <v>59</v>
      </c>
      <c r="L431" t="s">
        <v>41</v>
      </c>
      <c r="M431" s="3">
        <v>51</v>
      </c>
      <c r="N431" t="s">
        <v>60</v>
      </c>
      <c r="O431" t="s">
        <v>62</v>
      </c>
      <c r="P431" t="s">
        <v>53</v>
      </c>
      <c r="Q431" t="s">
        <v>60</v>
      </c>
      <c r="R431" t="s">
        <v>43</v>
      </c>
      <c r="S431" s="3">
        <v>17861</v>
      </c>
      <c r="T431" s="3">
        <v>2288</v>
      </c>
      <c r="U431" s="3" t="str">
        <f t="shared" si="27"/>
        <v>High</v>
      </c>
      <c r="V431">
        <v>6</v>
      </c>
      <c r="W431" t="s">
        <v>38</v>
      </c>
      <c r="X431" s="2">
        <v>13</v>
      </c>
      <c r="Y431" t="s">
        <v>60</v>
      </c>
      <c r="Z431" t="s">
        <v>60</v>
      </c>
      <c r="AA431">
        <v>0</v>
      </c>
      <c r="AB431">
        <v>26</v>
      </c>
      <c r="AC431">
        <v>2</v>
      </c>
      <c r="AD431">
        <v>1</v>
      </c>
      <c r="AE431">
        <v>3</v>
      </c>
      <c r="AF431">
        <v>2</v>
      </c>
      <c r="AG431">
        <v>0</v>
      </c>
      <c r="AH431">
        <v>1</v>
      </c>
      <c r="AI431" t="str">
        <f t="shared" si="24"/>
        <v>3-5 Years</v>
      </c>
      <c r="AJ431" t="str">
        <f t="shared" si="25"/>
        <v>0-2</v>
      </c>
    </row>
    <row r="432" spans="1:36" x14ac:dyDescent="0.35">
      <c r="A432">
        <v>431</v>
      </c>
      <c r="B432">
        <v>35</v>
      </c>
      <c r="C432" t="str">
        <f t="shared" si="26"/>
        <v>26-35</v>
      </c>
      <c r="D432" t="s">
        <v>38</v>
      </c>
      <c r="E432" t="s">
        <v>32</v>
      </c>
      <c r="F432" s="3">
        <v>1389</v>
      </c>
      <c r="G432" t="s">
        <v>40</v>
      </c>
      <c r="H432" s="1">
        <v>22</v>
      </c>
      <c r="I432" t="s">
        <v>61</v>
      </c>
      <c r="J432" t="s">
        <v>34</v>
      </c>
      <c r="K432" t="s">
        <v>62</v>
      </c>
      <c r="L432" t="s">
        <v>41</v>
      </c>
      <c r="M432" s="3">
        <v>46</v>
      </c>
      <c r="N432" t="s">
        <v>59</v>
      </c>
      <c r="O432" t="s">
        <v>59</v>
      </c>
      <c r="P432" t="s">
        <v>45</v>
      </c>
      <c r="Q432" t="s">
        <v>60</v>
      </c>
      <c r="R432" t="s">
        <v>37</v>
      </c>
      <c r="S432" s="3">
        <v>4230</v>
      </c>
      <c r="T432" s="3">
        <v>19225</v>
      </c>
      <c r="U432" s="3" t="str">
        <f t="shared" si="27"/>
        <v>Low</v>
      </c>
      <c r="V432">
        <v>0</v>
      </c>
      <c r="W432" t="s">
        <v>38</v>
      </c>
      <c r="X432" s="2">
        <v>15</v>
      </c>
      <c r="Y432" t="s">
        <v>60</v>
      </c>
      <c r="Z432" t="s">
        <v>60</v>
      </c>
      <c r="AA432">
        <v>0</v>
      </c>
      <c r="AB432">
        <v>6</v>
      </c>
      <c r="AC432">
        <v>2</v>
      </c>
      <c r="AD432">
        <v>3</v>
      </c>
      <c r="AE432">
        <v>5</v>
      </c>
      <c r="AF432">
        <v>4</v>
      </c>
      <c r="AG432">
        <v>4</v>
      </c>
      <c r="AH432">
        <v>3</v>
      </c>
      <c r="AI432" t="str">
        <f t="shared" si="24"/>
        <v>3-5 Years</v>
      </c>
      <c r="AJ432" t="str">
        <f t="shared" si="25"/>
        <v>3-5</v>
      </c>
    </row>
    <row r="433" spans="1:36" x14ac:dyDescent="0.35">
      <c r="A433">
        <v>432</v>
      </c>
      <c r="B433">
        <v>54</v>
      </c>
      <c r="C433" t="str">
        <f t="shared" si="26"/>
        <v>46-55</v>
      </c>
      <c r="D433" t="s">
        <v>38</v>
      </c>
      <c r="E433" t="s">
        <v>32</v>
      </c>
      <c r="F433" s="3">
        <v>1389</v>
      </c>
      <c r="G433" t="s">
        <v>40</v>
      </c>
      <c r="H433" s="1">
        <v>8</v>
      </c>
      <c r="I433" t="s">
        <v>60</v>
      </c>
      <c r="J433" t="s">
        <v>34</v>
      </c>
      <c r="K433" t="s">
        <v>60</v>
      </c>
      <c r="L433" t="s">
        <v>35</v>
      </c>
      <c r="M433" s="3">
        <v>42</v>
      </c>
      <c r="N433" t="s">
        <v>60</v>
      </c>
      <c r="O433" t="s">
        <v>61</v>
      </c>
      <c r="P433" t="s">
        <v>45</v>
      </c>
      <c r="Q433" t="s">
        <v>60</v>
      </c>
      <c r="R433" t="s">
        <v>37</v>
      </c>
      <c r="S433" s="3">
        <v>3780</v>
      </c>
      <c r="T433" s="3">
        <v>23428</v>
      </c>
      <c r="U433" s="3" t="str">
        <f t="shared" si="27"/>
        <v>Low</v>
      </c>
      <c r="V433">
        <v>7</v>
      </c>
      <c r="W433" t="s">
        <v>38</v>
      </c>
      <c r="X433" s="2">
        <v>11</v>
      </c>
      <c r="Y433" t="s">
        <v>60</v>
      </c>
      <c r="Z433" t="s">
        <v>60</v>
      </c>
      <c r="AA433">
        <v>0</v>
      </c>
      <c r="AB433">
        <v>19</v>
      </c>
      <c r="AC433">
        <v>3</v>
      </c>
      <c r="AD433">
        <v>3</v>
      </c>
      <c r="AE433">
        <v>1</v>
      </c>
      <c r="AF433">
        <v>0</v>
      </c>
      <c r="AG433">
        <v>0</v>
      </c>
      <c r="AH433">
        <v>0</v>
      </c>
      <c r="AI433" t="str">
        <f t="shared" si="24"/>
        <v>0-2 Years</v>
      </c>
      <c r="AJ433" t="str">
        <f t="shared" si="25"/>
        <v>0-2</v>
      </c>
    </row>
    <row r="434" spans="1:36" x14ac:dyDescent="0.35">
      <c r="A434">
        <v>433</v>
      </c>
      <c r="B434">
        <v>34</v>
      </c>
      <c r="C434" t="str">
        <f t="shared" si="26"/>
        <v>26-35</v>
      </c>
      <c r="D434" t="s">
        <v>38</v>
      </c>
      <c r="E434" t="s">
        <v>32</v>
      </c>
      <c r="F434" s="3">
        <v>1389</v>
      </c>
      <c r="G434" t="s">
        <v>40</v>
      </c>
      <c r="H434" s="1">
        <v>2</v>
      </c>
      <c r="I434" t="s">
        <v>60</v>
      </c>
      <c r="J434" t="s">
        <v>34</v>
      </c>
      <c r="K434" t="s">
        <v>62</v>
      </c>
      <c r="L434" t="s">
        <v>41</v>
      </c>
      <c r="M434" s="3">
        <v>62</v>
      </c>
      <c r="N434" t="s">
        <v>61</v>
      </c>
      <c r="O434" t="s">
        <v>59</v>
      </c>
      <c r="P434" t="s">
        <v>42</v>
      </c>
      <c r="Q434" t="s">
        <v>60</v>
      </c>
      <c r="R434" t="s">
        <v>47</v>
      </c>
      <c r="S434" s="3">
        <v>2768</v>
      </c>
      <c r="T434" s="3">
        <v>8416</v>
      </c>
      <c r="U434" s="3" t="str">
        <f t="shared" si="27"/>
        <v>Low</v>
      </c>
      <c r="V434">
        <v>3</v>
      </c>
      <c r="W434" t="s">
        <v>38</v>
      </c>
      <c r="X434" s="2">
        <v>12</v>
      </c>
      <c r="Y434" t="s">
        <v>60</v>
      </c>
      <c r="Z434" t="s">
        <v>60</v>
      </c>
      <c r="AA434">
        <v>1</v>
      </c>
      <c r="AB434">
        <v>14</v>
      </c>
      <c r="AC434">
        <v>3</v>
      </c>
      <c r="AD434">
        <v>3</v>
      </c>
      <c r="AE434">
        <v>7</v>
      </c>
      <c r="AF434">
        <v>3</v>
      </c>
      <c r="AG434">
        <v>5</v>
      </c>
      <c r="AH434">
        <v>7</v>
      </c>
      <c r="AI434" t="str">
        <f t="shared" si="24"/>
        <v>6-10 Years</v>
      </c>
      <c r="AJ434" t="str">
        <f t="shared" si="25"/>
        <v>3-5</v>
      </c>
    </row>
    <row r="435" spans="1:36" x14ac:dyDescent="0.35">
      <c r="A435">
        <v>434</v>
      </c>
      <c r="B435">
        <v>46</v>
      </c>
      <c r="C435" t="str">
        <f t="shared" si="26"/>
        <v>46-55</v>
      </c>
      <c r="D435" t="s">
        <v>38</v>
      </c>
      <c r="E435" t="s">
        <v>32</v>
      </c>
      <c r="F435" s="3">
        <v>1389</v>
      </c>
      <c r="G435" t="s">
        <v>33</v>
      </c>
      <c r="H435" s="1">
        <v>10</v>
      </c>
      <c r="I435" t="s">
        <v>61</v>
      </c>
      <c r="J435" t="s">
        <v>54</v>
      </c>
      <c r="K435" t="s">
        <v>60</v>
      </c>
      <c r="L435" t="s">
        <v>35</v>
      </c>
      <c r="M435" s="3">
        <v>94</v>
      </c>
      <c r="N435" t="s">
        <v>61</v>
      </c>
      <c r="O435" t="s">
        <v>60</v>
      </c>
      <c r="P435" t="s">
        <v>36</v>
      </c>
      <c r="Q435" t="s">
        <v>62</v>
      </c>
      <c r="R435" t="s">
        <v>43</v>
      </c>
      <c r="S435" s="3">
        <v>9071</v>
      </c>
      <c r="T435" s="3">
        <v>11563</v>
      </c>
      <c r="U435" s="3" t="str">
        <f t="shared" si="27"/>
        <v>Medium</v>
      </c>
      <c r="V435">
        <v>2</v>
      </c>
      <c r="W435" t="s">
        <v>31</v>
      </c>
      <c r="X435" s="2">
        <v>19</v>
      </c>
      <c r="Y435" t="s">
        <v>60</v>
      </c>
      <c r="Z435" t="s">
        <v>60</v>
      </c>
      <c r="AA435">
        <v>1</v>
      </c>
      <c r="AB435">
        <v>15</v>
      </c>
      <c r="AC435">
        <v>3</v>
      </c>
      <c r="AD435">
        <v>3</v>
      </c>
      <c r="AE435">
        <v>3</v>
      </c>
      <c r="AF435">
        <v>2</v>
      </c>
      <c r="AG435">
        <v>1</v>
      </c>
      <c r="AH435">
        <v>2</v>
      </c>
      <c r="AI435" t="str">
        <f t="shared" si="24"/>
        <v>3-5 Years</v>
      </c>
      <c r="AJ435" t="str">
        <f t="shared" si="25"/>
        <v>0-2</v>
      </c>
    </row>
    <row r="436" spans="1:36" x14ac:dyDescent="0.35">
      <c r="A436">
        <v>435</v>
      </c>
      <c r="B436">
        <v>31</v>
      </c>
      <c r="C436" t="str">
        <f t="shared" si="26"/>
        <v>26-35</v>
      </c>
      <c r="D436" t="s">
        <v>38</v>
      </c>
      <c r="E436" t="s">
        <v>32</v>
      </c>
      <c r="F436" s="3">
        <v>1389</v>
      </c>
      <c r="G436" t="s">
        <v>40</v>
      </c>
      <c r="H436" s="1">
        <v>9</v>
      </c>
      <c r="I436" t="s">
        <v>59</v>
      </c>
      <c r="J436" t="s">
        <v>34</v>
      </c>
      <c r="K436" t="s">
        <v>60</v>
      </c>
      <c r="L436" t="s">
        <v>41</v>
      </c>
      <c r="M436" s="3">
        <v>33</v>
      </c>
      <c r="N436" t="s">
        <v>60</v>
      </c>
      <c r="O436" t="s">
        <v>60</v>
      </c>
      <c r="P436" t="s">
        <v>48</v>
      </c>
      <c r="Q436" t="s">
        <v>61</v>
      </c>
      <c r="R436" t="s">
        <v>47</v>
      </c>
      <c r="S436" s="3">
        <v>10648</v>
      </c>
      <c r="T436" s="3">
        <v>14394</v>
      </c>
      <c r="U436" s="3" t="str">
        <f t="shared" si="27"/>
        <v>High</v>
      </c>
      <c r="V436">
        <v>1</v>
      </c>
      <c r="W436" t="s">
        <v>38</v>
      </c>
      <c r="X436" s="2">
        <v>25</v>
      </c>
      <c r="Y436" t="s">
        <v>62</v>
      </c>
      <c r="Z436" t="s">
        <v>62</v>
      </c>
      <c r="AA436">
        <v>1</v>
      </c>
      <c r="AB436">
        <v>13</v>
      </c>
      <c r="AC436">
        <v>6</v>
      </c>
      <c r="AD436">
        <v>4</v>
      </c>
      <c r="AE436">
        <v>13</v>
      </c>
      <c r="AF436">
        <v>8</v>
      </c>
      <c r="AG436">
        <v>0</v>
      </c>
      <c r="AH436">
        <v>8</v>
      </c>
      <c r="AI436" t="str">
        <f t="shared" si="24"/>
        <v>10+ Years</v>
      </c>
      <c r="AJ436" t="str">
        <f t="shared" si="25"/>
        <v>0-2</v>
      </c>
    </row>
    <row r="437" spans="1:36" x14ac:dyDescent="0.35">
      <c r="A437">
        <v>436</v>
      </c>
      <c r="B437">
        <v>33</v>
      </c>
      <c r="C437" t="str">
        <f t="shared" si="26"/>
        <v>26-35</v>
      </c>
      <c r="D437" t="s">
        <v>31</v>
      </c>
      <c r="E437" t="s">
        <v>32</v>
      </c>
      <c r="F437" s="3">
        <v>1389</v>
      </c>
      <c r="G437" t="s">
        <v>40</v>
      </c>
      <c r="H437" s="1">
        <v>15</v>
      </c>
      <c r="I437" t="s">
        <v>59</v>
      </c>
      <c r="J437" t="s">
        <v>46</v>
      </c>
      <c r="K437" t="s">
        <v>61</v>
      </c>
      <c r="L437" t="s">
        <v>41</v>
      </c>
      <c r="M437" s="3">
        <v>56</v>
      </c>
      <c r="N437" t="s">
        <v>60</v>
      </c>
      <c r="O437" t="s">
        <v>60</v>
      </c>
      <c r="P437" t="s">
        <v>51</v>
      </c>
      <c r="Q437" t="s">
        <v>60</v>
      </c>
      <c r="R437" t="s">
        <v>43</v>
      </c>
      <c r="S437" s="3">
        <v>13610</v>
      </c>
      <c r="T437" s="3">
        <v>24619</v>
      </c>
      <c r="U437" s="3" t="str">
        <f t="shared" si="27"/>
        <v>High</v>
      </c>
      <c r="V437">
        <v>7</v>
      </c>
      <c r="W437" t="s">
        <v>31</v>
      </c>
      <c r="X437" s="2">
        <v>12</v>
      </c>
      <c r="Y437" t="s">
        <v>60</v>
      </c>
      <c r="Z437" t="s">
        <v>62</v>
      </c>
      <c r="AA437">
        <v>0</v>
      </c>
      <c r="AB437">
        <v>15</v>
      </c>
      <c r="AC437">
        <v>2</v>
      </c>
      <c r="AD437">
        <v>4</v>
      </c>
      <c r="AE437">
        <v>7</v>
      </c>
      <c r="AF437">
        <v>6</v>
      </c>
      <c r="AG437">
        <v>7</v>
      </c>
      <c r="AH437">
        <v>7</v>
      </c>
      <c r="AI437" t="str">
        <f t="shared" si="24"/>
        <v>6-10 Years</v>
      </c>
      <c r="AJ437" t="str">
        <f t="shared" si="25"/>
        <v>6+</v>
      </c>
    </row>
    <row r="438" spans="1:36" x14ac:dyDescent="0.35">
      <c r="A438">
        <v>437</v>
      </c>
      <c r="B438">
        <v>33</v>
      </c>
      <c r="C438" t="str">
        <f t="shared" si="26"/>
        <v>26-35</v>
      </c>
      <c r="D438" t="s">
        <v>31</v>
      </c>
      <c r="E438" t="s">
        <v>32</v>
      </c>
      <c r="F438" s="3">
        <v>1389</v>
      </c>
      <c r="G438" t="s">
        <v>40</v>
      </c>
      <c r="H438" s="1">
        <v>10</v>
      </c>
      <c r="I438" t="s">
        <v>59</v>
      </c>
      <c r="J438" t="s">
        <v>46</v>
      </c>
      <c r="K438" t="s">
        <v>59</v>
      </c>
      <c r="L438" t="s">
        <v>41</v>
      </c>
      <c r="M438" s="3">
        <v>38</v>
      </c>
      <c r="N438" t="s">
        <v>59</v>
      </c>
      <c r="O438" t="s">
        <v>59</v>
      </c>
      <c r="P438" t="s">
        <v>45</v>
      </c>
      <c r="Q438" t="s">
        <v>62</v>
      </c>
      <c r="R438" t="s">
        <v>47</v>
      </c>
      <c r="S438" s="3">
        <v>3408</v>
      </c>
      <c r="T438" s="3">
        <v>6705</v>
      </c>
      <c r="U438" s="3" t="str">
        <f t="shared" si="27"/>
        <v>Low</v>
      </c>
      <c r="V438">
        <v>7</v>
      </c>
      <c r="W438" t="s">
        <v>38</v>
      </c>
      <c r="X438" s="2">
        <v>13</v>
      </c>
      <c r="Y438" t="s">
        <v>60</v>
      </c>
      <c r="Z438" t="s">
        <v>59</v>
      </c>
      <c r="AA438">
        <v>3</v>
      </c>
      <c r="AB438">
        <v>8</v>
      </c>
      <c r="AC438">
        <v>2</v>
      </c>
      <c r="AD438">
        <v>3</v>
      </c>
      <c r="AE438">
        <v>4</v>
      </c>
      <c r="AF438">
        <v>3</v>
      </c>
      <c r="AG438">
        <v>1</v>
      </c>
      <c r="AH438">
        <v>3</v>
      </c>
      <c r="AI438" t="str">
        <f t="shared" si="24"/>
        <v>3-5 Years</v>
      </c>
      <c r="AJ438" t="str">
        <f t="shared" si="25"/>
        <v>0-2</v>
      </c>
    </row>
    <row r="439" spans="1:36" x14ac:dyDescent="0.35">
      <c r="A439">
        <v>438</v>
      </c>
      <c r="B439">
        <v>30</v>
      </c>
      <c r="C439" t="str">
        <f t="shared" si="26"/>
        <v>26-35</v>
      </c>
      <c r="D439" t="s">
        <v>38</v>
      </c>
      <c r="E439" t="s">
        <v>32</v>
      </c>
      <c r="F439" s="3">
        <v>1389</v>
      </c>
      <c r="G439" t="s">
        <v>33</v>
      </c>
      <c r="H439" s="1">
        <v>7</v>
      </c>
      <c r="I439" t="s">
        <v>59</v>
      </c>
      <c r="J439" t="s">
        <v>54</v>
      </c>
      <c r="K439" t="s">
        <v>62</v>
      </c>
      <c r="L439" t="s">
        <v>41</v>
      </c>
      <c r="M439" s="3">
        <v>57</v>
      </c>
      <c r="N439" t="s">
        <v>60</v>
      </c>
      <c r="O439" t="s">
        <v>59</v>
      </c>
      <c r="P439" t="s">
        <v>52</v>
      </c>
      <c r="Q439" t="s">
        <v>61</v>
      </c>
      <c r="R439" t="s">
        <v>37</v>
      </c>
      <c r="S439" s="3">
        <v>2983</v>
      </c>
      <c r="T439" s="3">
        <v>18398</v>
      </c>
      <c r="U439" s="3" t="str">
        <f t="shared" si="27"/>
        <v>Low</v>
      </c>
      <c r="V439">
        <v>0</v>
      </c>
      <c r="W439" t="s">
        <v>38</v>
      </c>
      <c r="X439" s="2">
        <v>14</v>
      </c>
      <c r="Y439" t="s">
        <v>60</v>
      </c>
      <c r="Z439" t="s">
        <v>59</v>
      </c>
      <c r="AA439">
        <v>0</v>
      </c>
      <c r="AB439">
        <v>4</v>
      </c>
      <c r="AC439">
        <v>3</v>
      </c>
      <c r="AD439">
        <v>3</v>
      </c>
      <c r="AE439">
        <v>3</v>
      </c>
      <c r="AF439">
        <v>2</v>
      </c>
      <c r="AG439">
        <v>1</v>
      </c>
      <c r="AH439">
        <v>2</v>
      </c>
      <c r="AI439" t="str">
        <f t="shared" si="24"/>
        <v>3-5 Years</v>
      </c>
      <c r="AJ439" t="str">
        <f t="shared" si="25"/>
        <v>0-2</v>
      </c>
    </row>
    <row r="440" spans="1:36" x14ac:dyDescent="0.35">
      <c r="A440">
        <v>439</v>
      </c>
      <c r="B440">
        <v>35</v>
      </c>
      <c r="C440" t="str">
        <f t="shared" si="26"/>
        <v>26-35</v>
      </c>
      <c r="D440" t="s">
        <v>38</v>
      </c>
      <c r="E440" t="s">
        <v>32</v>
      </c>
      <c r="F440" s="3">
        <v>1389</v>
      </c>
      <c r="G440" t="s">
        <v>40</v>
      </c>
      <c r="H440" s="1">
        <v>16</v>
      </c>
      <c r="I440" t="s">
        <v>61</v>
      </c>
      <c r="J440" t="s">
        <v>34</v>
      </c>
      <c r="K440" t="s">
        <v>62</v>
      </c>
      <c r="L440" t="s">
        <v>41</v>
      </c>
      <c r="M440" s="3">
        <v>72</v>
      </c>
      <c r="N440" t="s">
        <v>60</v>
      </c>
      <c r="O440" t="s">
        <v>60</v>
      </c>
      <c r="P440" t="s">
        <v>49</v>
      </c>
      <c r="Q440" t="s">
        <v>60</v>
      </c>
      <c r="R440" t="s">
        <v>43</v>
      </c>
      <c r="S440" s="3">
        <v>7632</v>
      </c>
      <c r="T440" s="3">
        <v>14295</v>
      </c>
      <c r="U440" s="3" t="str">
        <f t="shared" si="27"/>
        <v>Medium</v>
      </c>
      <c r="V440">
        <v>4</v>
      </c>
      <c r="W440" t="s">
        <v>31</v>
      </c>
      <c r="X440" s="2">
        <v>12</v>
      </c>
      <c r="Y440" t="s">
        <v>60</v>
      </c>
      <c r="Z440" t="s">
        <v>60</v>
      </c>
      <c r="AA440">
        <v>0</v>
      </c>
      <c r="AB440">
        <v>10</v>
      </c>
      <c r="AC440">
        <v>2</v>
      </c>
      <c r="AD440">
        <v>3</v>
      </c>
      <c r="AE440">
        <v>8</v>
      </c>
      <c r="AF440">
        <v>7</v>
      </c>
      <c r="AG440">
        <v>0</v>
      </c>
      <c r="AH440">
        <v>0</v>
      </c>
      <c r="AI440" t="str">
        <f t="shared" si="24"/>
        <v>6-10 Years</v>
      </c>
      <c r="AJ440" t="str">
        <f t="shared" si="25"/>
        <v>0-2</v>
      </c>
    </row>
    <row r="441" spans="1:36" x14ac:dyDescent="0.35">
      <c r="A441">
        <v>440</v>
      </c>
      <c r="B441">
        <v>31</v>
      </c>
      <c r="C441" t="str">
        <f t="shared" si="26"/>
        <v>26-35</v>
      </c>
      <c r="D441" t="s">
        <v>31</v>
      </c>
      <c r="E441" t="s">
        <v>39</v>
      </c>
      <c r="F441" s="3">
        <v>1389</v>
      </c>
      <c r="G441" t="s">
        <v>40</v>
      </c>
      <c r="H441" s="1">
        <v>20</v>
      </c>
      <c r="I441" t="s">
        <v>61</v>
      </c>
      <c r="J441" t="s">
        <v>34</v>
      </c>
      <c r="K441" t="s">
        <v>59</v>
      </c>
      <c r="L441" t="s">
        <v>41</v>
      </c>
      <c r="M441" s="3">
        <v>66</v>
      </c>
      <c r="N441" t="s">
        <v>60</v>
      </c>
      <c r="O441" t="s">
        <v>60</v>
      </c>
      <c r="P441" t="s">
        <v>49</v>
      </c>
      <c r="Q441" t="s">
        <v>60</v>
      </c>
      <c r="R441" t="s">
        <v>43</v>
      </c>
      <c r="S441" s="3">
        <v>9824</v>
      </c>
      <c r="T441" s="3">
        <v>22908</v>
      </c>
      <c r="U441" s="3" t="str">
        <f t="shared" si="27"/>
        <v>Medium</v>
      </c>
      <c r="V441">
        <v>3</v>
      </c>
      <c r="W441" t="s">
        <v>38</v>
      </c>
      <c r="X441" s="2">
        <v>12</v>
      </c>
      <c r="Y441" t="s">
        <v>60</v>
      </c>
      <c r="Z441" t="s">
        <v>59</v>
      </c>
      <c r="AA441">
        <v>0</v>
      </c>
      <c r="AB441">
        <v>12</v>
      </c>
      <c r="AC441">
        <v>2</v>
      </c>
      <c r="AD441">
        <v>3</v>
      </c>
      <c r="AE441">
        <v>1</v>
      </c>
      <c r="AF441">
        <v>0</v>
      </c>
      <c r="AG441">
        <v>0</v>
      </c>
      <c r="AH441">
        <v>0</v>
      </c>
      <c r="AI441" t="str">
        <f t="shared" si="24"/>
        <v>0-2 Years</v>
      </c>
      <c r="AJ441" t="str">
        <f t="shared" si="25"/>
        <v>0-2</v>
      </c>
    </row>
    <row r="442" spans="1:36" x14ac:dyDescent="0.35">
      <c r="A442">
        <v>441</v>
      </c>
      <c r="B442">
        <v>34</v>
      </c>
      <c r="C442" t="str">
        <f t="shared" si="26"/>
        <v>26-35</v>
      </c>
      <c r="D442" t="s">
        <v>31</v>
      </c>
      <c r="E442" t="s">
        <v>39</v>
      </c>
      <c r="F442" s="3">
        <v>1389</v>
      </c>
      <c r="G442" t="s">
        <v>56</v>
      </c>
      <c r="H442" s="1">
        <v>23</v>
      </c>
      <c r="I442" t="s">
        <v>61</v>
      </c>
      <c r="J442" t="s">
        <v>56</v>
      </c>
      <c r="K442" t="s">
        <v>61</v>
      </c>
      <c r="L442" t="s">
        <v>35</v>
      </c>
      <c r="M442" s="3">
        <v>43</v>
      </c>
      <c r="N442" t="s">
        <v>60</v>
      </c>
      <c r="O442" t="s">
        <v>60</v>
      </c>
      <c r="P442" t="s">
        <v>56</v>
      </c>
      <c r="Q442" t="s">
        <v>59</v>
      </c>
      <c r="R442" t="s">
        <v>47</v>
      </c>
      <c r="S442" s="3">
        <v>9950</v>
      </c>
      <c r="T442" s="3">
        <v>11533</v>
      </c>
      <c r="U442" s="3" t="str">
        <f t="shared" si="27"/>
        <v>Medium</v>
      </c>
      <c r="V442">
        <v>9</v>
      </c>
      <c r="W442" t="s">
        <v>31</v>
      </c>
      <c r="X442" s="2">
        <v>15</v>
      </c>
      <c r="Y442" t="s">
        <v>60</v>
      </c>
      <c r="Z442" t="s">
        <v>60</v>
      </c>
      <c r="AA442">
        <v>3</v>
      </c>
      <c r="AB442">
        <v>11</v>
      </c>
      <c r="AC442">
        <v>2</v>
      </c>
      <c r="AD442">
        <v>3</v>
      </c>
      <c r="AE442">
        <v>3</v>
      </c>
      <c r="AF442">
        <v>2</v>
      </c>
      <c r="AG442">
        <v>0</v>
      </c>
      <c r="AH442">
        <v>2</v>
      </c>
      <c r="AI442" t="str">
        <f t="shared" si="24"/>
        <v>3-5 Years</v>
      </c>
      <c r="AJ442" t="str">
        <f t="shared" si="25"/>
        <v>0-2</v>
      </c>
    </row>
    <row r="443" spans="1:36" x14ac:dyDescent="0.35">
      <c r="A443">
        <v>442</v>
      </c>
      <c r="B443">
        <v>42</v>
      </c>
      <c r="C443" t="str">
        <f t="shared" si="26"/>
        <v>36-45</v>
      </c>
      <c r="D443" t="s">
        <v>38</v>
      </c>
      <c r="E443" t="s">
        <v>39</v>
      </c>
      <c r="F443" s="3">
        <v>1389</v>
      </c>
      <c r="G443" t="s">
        <v>40</v>
      </c>
      <c r="H443" s="1">
        <v>5</v>
      </c>
      <c r="I443" t="s">
        <v>58</v>
      </c>
      <c r="J443" t="s">
        <v>44</v>
      </c>
      <c r="K443" t="s">
        <v>61</v>
      </c>
      <c r="L443" t="s">
        <v>41</v>
      </c>
      <c r="M443" s="3">
        <v>97</v>
      </c>
      <c r="N443" t="s">
        <v>60</v>
      </c>
      <c r="O443" t="s">
        <v>59</v>
      </c>
      <c r="P443" t="s">
        <v>45</v>
      </c>
      <c r="Q443" t="s">
        <v>60</v>
      </c>
      <c r="R443" t="s">
        <v>43</v>
      </c>
      <c r="S443" s="3">
        <v>2093</v>
      </c>
      <c r="T443" s="3">
        <v>9260</v>
      </c>
      <c r="U443" s="3" t="str">
        <f t="shared" si="27"/>
        <v>Low</v>
      </c>
      <c r="V443">
        <v>4</v>
      </c>
      <c r="W443" t="s">
        <v>38</v>
      </c>
      <c r="X443" s="2">
        <v>17</v>
      </c>
      <c r="Y443" t="s">
        <v>60</v>
      </c>
      <c r="Z443" t="s">
        <v>62</v>
      </c>
      <c r="AA443">
        <v>1</v>
      </c>
      <c r="AB443">
        <v>8</v>
      </c>
      <c r="AC443">
        <v>4</v>
      </c>
      <c r="AD443">
        <v>3</v>
      </c>
      <c r="AE443">
        <v>2</v>
      </c>
      <c r="AF443">
        <v>2</v>
      </c>
      <c r="AG443">
        <v>2</v>
      </c>
      <c r="AH443">
        <v>0</v>
      </c>
      <c r="AI443" t="str">
        <f t="shared" si="24"/>
        <v>0-2 Years</v>
      </c>
      <c r="AJ443" t="str">
        <f t="shared" si="25"/>
        <v>0-2</v>
      </c>
    </row>
    <row r="444" spans="1:36" x14ac:dyDescent="0.35">
      <c r="A444">
        <v>443</v>
      </c>
      <c r="B444">
        <v>36</v>
      </c>
      <c r="C444" t="str">
        <f t="shared" si="26"/>
        <v>36-45</v>
      </c>
      <c r="D444" t="s">
        <v>38</v>
      </c>
      <c r="E444" t="s">
        <v>50</v>
      </c>
      <c r="F444" s="3">
        <v>1389</v>
      </c>
      <c r="G444" t="s">
        <v>33</v>
      </c>
      <c r="H444" s="1">
        <v>10</v>
      </c>
      <c r="I444" t="s">
        <v>60</v>
      </c>
      <c r="J444" t="s">
        <v>46</v>
      </c>
      <c r="K444" t="s">
        <v>61</v>
      </c>
      <c r="L444" t="s">
        <v>41</v>
      </c>
      <c r="M444" s="3">
        <v>32</v>
      </c>
      <c r="N444" t="s">
        <v>60</v>
      </c>
      <c r="O444" t="s">
        <v>60</v>
      </c>
      <c r="P444" t="s">
        <v>36</v>
      </c>
      <c r="Q444" t="s">
        <v>62</v>
      </c>
      <c r="R444" t="s">
        <v>37</v>
      </c>
      <c r="S444" s="3">
        <v>9980</v>
      </c>
      <c r="T444" s="3">
        <v>15318</v>
      </c>
      <c r="U444" s="3" t="str">
        <f t="shared" si="27"/>
        <v>Medium</v>
      </c>
      <c r="V444">
        <v>1</v>
      </c>
      <c r="W444" t="s">
        <v>38</v>
      </c>
      <c r="X444" s="2">
        <v>14</v>
      </c>
      <c r="Y444" t="s">
        <v>60</v>
      </c>
      <c r="Z444" t="s">
        <v>62</v>
      </c>
      <c r="AA444">
        <v>0</v>
      </c>
      <c r="AB444">
        <v>10</v>
      </c>
      <c r="AC444">
        <v>3</v>
      </c>
      <c r="AD444">
        <v>2</v>
      </c>
      <c r="AE444">
        <v>10</v>
      </c>
      <c r="AF444">
        <v>3</v>
      </c>
      <c r="AG444">
        <v>9</v>
      </c>
      <c r="AH444">
        <v>7</v>
      </c>
      <c r="AI444" t="str">
        <f t="shared" si="24"/>
        <v>6-10 Years</v>
      </c>
      <c r="AJ444" t="str">
        <f t="shared" si="25"/>
        <v>6+</v>
      </c>
    </row>
    <row r="445" spans="1:36" x14ac:dyDescent="0.35">
      <c r="A445">
        <v>444</v>
      </c>
      <c r="B445">
        <v>22</v>
      </c>
      <c r="C445" t="str">
        <f t="shared" si="26"/>
        <v>18-25</v>
      </c>
      <c r="D445" t="s">
        <v>31</v>
      </c>
      <c r="E445" t="s">
        <v>39</v>
      </c>
      <c r="F445" s="3">
        <v>1389</v>
      </c>
      <c r="G445" t="s">
        <v>40</v>
      </c>
      <c r="H445" s="1">
        <v>4</v>
      </c>
      <c r="I445" t="s">
        <v>59</v>
      </c>
      <c r="J445" t="s">
        <v>55</v>
      </c>
      <c r="K445" t="s">
        <v>60</v>
      </c>
      <c r="L445" t="s">
        <v>41</v>
      </c>
      <c r="M445" s="3">
        <v>99</v>
      </c>
      <c r="N445" t="s">
        <v>61</v>
      </c>
      <c r="O445" t="s">
        <v>59</v>
      </c>
      <c r="P445" t="s">
        <v>45</v>
      </c>
      <c r="Q445" t="s">
        <v>60</v>
      </c>
      <c r="R445" t="s">
        <v>37</v>
      </c>
      <c r="S445" s="3">
        <v>3894</v>
      </c>
      <c r="T445" s="3">
        <v>9129</v>
      </c>
      <c r="U445" s="3" t="str">
        <f t="shared" si="27"/>
        <v>Low</v>
      </c>
      <c r="V445">
        <v>5</v>
      </c>
      <c r="W445" t="s">
        <v>38</v>
      </c>
      <c r="X445" s="2">
        <v>16</v>
      </c>
      <c r="Y445" t="s">
        <v>60</v>
      </c>
      <c r="Z445" t="s">
        <v>60</v>
      </c>
      <c r="AA445">
        <v>0</v>
      </c>
      <c r="AB445">
        <v>4</v>
      </c>
      <c r="AC445">
        <v>3</v>
      </c>
      <c r="AD445">
        <v>3</v>
      </c>
      <c r="AE445">
        <v>2</v>
      </c>
      <c r="AF445">
        <v>2</v>
      </c>
      <c r="AG445">
        <v>1</v>
      </c>
      <c r="AH445">
        <v>2</v>
      </c>
      <c r="AI445" t="str">
        <f t="shared" si="24"/>
        <v>0-2 Years</v>
      </c>
      <c r="AJ445" t="str">
        <f t="shared" si="25"/>
        <v>0-2</v>
      </c>
    </row>
    <row r="446" spans="1:36" x14ac:dyDescent="0.35">
      <c r="A446">
        <v>445</v>
      </c>
      <c r="B446">
        <v>48</v>
      </c>
      <c r="C446" t="str">
        <f t="shared" si="26"/>
        <v>46-55</v>
      </c>
      <c r="D446" t="s">
        <v>38</v>
      </c>
      <c r="E446" t="s">
        <v>32</v>
      </c>
      <c r="F446" s="3">
        <v>1389</v>
      </c>
      <c r="G446" t="s">
        <v>33</v>
      </c>
      <c r="H446" s="1">
        <v>2</v>
      </c>
      <c r="I446" t="s">
        <v>62</v>
      </c>
      <c r="J446" t="s">
        <v>54</v>
      </c>
      <c r="K446" t="s">
        <v>61</v>
      </c>
      <c r="L446" t="s">
        <v>35</v>
      </c>
      <c r="M446" s="3">
        <v>37</v>
      </c>
      <c r="N446" t="s">
        <v>60</v>
      </c>
      <c r="O446" t="s">
        <v>61</v>
      </c>
      <c r="P446" t="s">
        <v>36</v>
      </c>
      <c r="Q446" t="s">
        <v>62</v>
      </c>
      <c r="R446" t="s">
        <v>43</v>
      </c>
      <c r="S446" s="3">
        <v>4051</v>
      </c>
      <c r="T446" s="3">
        <v>19658</v>
      </c>
      <c r="U446" s="3" t="str">
        <f t="shared" si="27"/>
        <v>Low</v>
      </c>
      <c r="V446">
        <v>2</v>
      </c>
      <c r="W446" t="s">
        <v>38</v>
      </c>
      <c r="X446" s="2">
        <v>14</v>
      </c>
      <c r="Y446" t="s">
        <v>60</v>
      </c>
      <c r="Z446" t="s">
        <v>59</v>
      </c>
      <c r="AA446">
        <v>1</v>
      </c>
      <c r="AB446">
        <v>14</v>
      </c>
      <c r="AC446">
        <v>2</v>
      </c>
      <c r="AD446">
        <v>3</v>
      </c>
      <c r="AE446">
        <v>9</v>
      </c>
      <c r="AF446">
        <v>7</v>
      </c>
      <c r="AG446">
        <v>6</v>
      </c>
      <c r="AH446">
        <v>7</v>
      </c>
      <c r="AI446" t="str">
        <f t="shared" si="24"/>
        <v>6-10 Years</v>
      </c>
      <c r="AJ446" t="str">
        <f t="shared" si="25"/>
        <v>6+</v>
      </c>
    </row>
    <row r="447" spans="1:36" x14ac:dyDescent="0.35">
      <c r="A447">
        <v>446</v>
      </c>
      <c r="B447">
        <v>55</v>
      </c>
      <c r="C447" t="str">
        <f t="shared" si="26"/>
        <v>46-55</v>
      </c>
      <c r="D447" t="s">
        <v>38</v>
      </c>
      <c r="E447" t="s">
        <v>32</v>
      </c>
      <c r="F447" s="3">
        <v>1389</v>
      </c>
      <c r="G447" t="s">
        <v>33</v>
      </c>
      <c r="H447" s="1">
        <v>18</v>
      </c>
      <c r="I447" t="s">
        <v>62</v>
      </c>
      <c r="J447" t="s">
        <v>34</v>
      </c>
      <c r="K447" t="s">
        <v>59</v>
      </c>
      <c r="L447" t="s">
        <v>35</v>
      </c>
      <c r="M447" s="3">
        <v>83</v>
      </c>
      <c r="N447" t="s">
        <v>60</v>
      </c>
      <c r="O447" t="s">
        <v>62</v>
      </c>
      <c r="P447" t="s">
        <v>51</v>
      </c>
      <c r="Q447" t="s">
        <v>61</v>
      </c>
      <c r="R447" t="s">
        <v>37</v>
      </c>
      <c r="S447" s="3">
        <v>16835</v>
      </c>
      <c r="T447" s="3">
        <v>9873</v>
      </c>
      <c r="U447" s="3" t="str">
        <f t="shared" si="27"/>
        <v>High</v>
      </c>
      <c r="V447">
        <v>3</v>
      </c>
      <c r="W447" t="s">
        <v>38</v>
      </c>
      <c r="X447" s="2">
        <v>23</v>
      </c>
      <c r="Y447" t="s">
        <v>62</v>
      </c>
      <c r="Z447" t="s">
        <v>62</v>
      </c>
      <c r="AA447">
        <v>0</v>
      </c>
      <c r="AB447">
        <v>37</v>
      </c>
      <c r="AC447">
        <v>2</v>
      </c>
      <c r="AD447">
        <v>3</v>
      </c>
      <c r="AE447">
        <v>10</v>
      </c>
      <c r="AF447">
        <v>9</v>
      </c>
      <c r="AG447">
        <v>7</v>
      </c>
      <c r="AH447">
        <v>7</v>
      </c>
      <c r="AI447" t="str">
        <f t="shared" si="24"/>
        <v>6-10 Years</v>
      </c>
      <c r="AJ447" t="str">
        <f t="shared" si="25"/>
        <v>6+</v>
      </c>
    </row>
    <row r="448" spans="1:36" x14ac:dyDescent="0.35">
      <c r="A448">
        <v>447</v>
      </c>
      <c r="B448">
        <v>41</v>
      </c>
      <c r="C448" t="str">
        <f t="shared" si="26"/>
        <v>36-45</v>
      </c>
      <c r="D448" t="s">
        <v>38</v>
      </c>
      <c r="E448" t="s">
        <v>50</v>
      </c>
      <c r="F448" s="3">
        <v>1389</v>
      </c>
      <c r="G448" t="s">
        <v>33</v>
      </c>
      <c r="H448" s="1">
        <v>10</v>
      </c>
      <c r="I448" t="s">
        <v>58</v>
      </c>
      <c r="J448" t="s">
        <v>34</v>
      </c>
      <c r="K448" t="s">
        <v>62</v>
      </c>
      <c r="L448" t="s">
        <v>41</v>
      </c>
      <c r="M448" s="3">
        <v>56</v>
      </c>
      <c r="N448" t="s">
        <v>60</v>
      </c>
      <c r="O448" t="s">
        <v>61</v>
      </c>
      <c r="P448" t="s">
        <v>36</v>
      </c>
      <c r="Q448" t="s">
        <v>62</v>
      </c>
      <c r="R448" t="s">
        <v>37</v>
      </c>
      <c r="S448" s="3">
        <v>6230</v>
      </c>
      <c r="T448" s="3">
        <v>13430</v>
      </c>
      <c r="U448" s="3" t="str">
        <f t="shared" si="27"/>
        <v>Medium</v>
      </c>
      <c r="V448">
        <v>7</v>
      </c>
      <c r="W448" t="s">
        <v>38</v>
      </c>
      <c r="X448" s="2">
        <v>14</v>
      </c>
      <c r="Y448" t="s">
        <v>60</v>
      </c>
      <c r="Z448" t="s">
        <v>62</v>
      </c>
      <c r="AA448">
        <v>0</v>
      </c>
      <c r="AB448">
        <v>16</v>
      </c>
      <c r="AC448">
        <v>3</v>
      </c>
      <c r="AD448">
        <v>3</v>
      </c>
      <c r="AE448">
        <v>14</v>
      </c>
      <c r="AF448">
        <v>3</v>
      </c>
      <c r="AG448">
        <v>1</v>
      </c>
      <c r="AH448">
        <v>10</v>
      </c>
      <c r="AI448" t="str">
        <f t="shared" si="24"/>
        <v>10+ Years</v>
      </c>
      <c r="AJ448" t="str">
        <f t="shared" si="25"/>
        <v>0-2</v>
      </c>
    </row>
    <row r="449" spans="1:36" x14ac:dyDescent="0.35">
      <c r="A449">
        <v>448</v>
      </c>
      <c r="B449">
        <v>35</v>
      </c>
      <c r="C449" t="str">
        <f t="shared" si="26"/>
        <v>26-35</v>
      </c>
      <c r="D449" t="s">
        <v>38</v>
      </c>
      <c r="E449" t="s">
        <v>32</v>
      </c>
      <c r="F449" s="3">
        <v>1389</v>
      </c>
      <c r="G449" t="s">
        <v>33</v>
      </c>
      <c r="H449" s="1">
        <v>1</v>
      </c>
      <c r="I449" t="s">
        <v>61</v>
      </c>
      <c r="J449" t="s">
        <v>54</v>
      </c>
      <c r="K449" t="s">
        <v>61</v>
      </c>
      <c r="L449" t="s">
        <v>41</v>
      </c>
      <c r="M449" s="3">
        <v>85</v>
      </c>
      <c r="N449" t="s">
        <v>60</v>
      </c>
      <c r="O449" t="s">
        <v>61</v>
      </c>
      <c r="P449" t="s">
        <v>36</v>
      </c>
      <c r="Q449" t="s">
        <v>60</v>
      </c>
      <c r="R449" t="s">
        <v>43</v>
      </c>
      <c r="S449" s="3">
        <v>4717</v>
      </c>
      <c r="T449" s="3">
        <v>18659</v>
      </c>
      <c r="U449" s="3" t="str">
        <f t="shared" si="27"/>
        <v>Low</v>
      </c>
      <c r="V449">
        <v>9</v>
      </c>
      <c r="W449" t="s">
        <v>38</v>
      </c>
      <c r="X449" s="2">
        <v>11</v>
      </c>
      <c r="Y449" t="s">
        <v>60</v>
      </c>
      <c r="Z449" t="s">
        <v>60</v>
      </c>
      <c r="AA449">
        <v>0</v>
      </c>
      <c r="AB449">
        <v>15</v>
      </c>
      <c r="AC449">
        <v>2</v>
      </c>
      <c r="AD449">
        <v>3</v>
      </c>
      <c r="AE449">
        <v>11</v>
      </c>
      <c r="AF449">
        <v>9</v>
      </c>
      <c r="AG449">
        <v>6</v>
      </c>
      <c r="AH449">
        <v>9</v>
      </c>
      <c r="AI449" t="str">
        <f t="shared" si="24"/>
        <v>10+ Years</v>
      </c>
      <c r="AJ449" t="str">
        <f t="shared" si="25"/>
        <v>6+</v>
      </c>
    </row>
    <row r="450" spans="1:36" x14ac:dyDescent="0.35">
      <c r="A450">
        <v>449</v>
      </c>
      <c r="B450">
        <v>40</v>
      </c>
      <c r="C450" t="str">
        <f t="shared" si="26"/>
        <v>36-45</v>
      </c>
      <c r="D450" t="s">
        <v>38</v>
      </c>
      <c r="E450" t="s">
        <v>32</v>
      </c>
      <c r="F450" s="3">
        <v>1389</v>
      </c>
      <c r="G450" t="s">
        <v>40</v>
      </c>
      <c r="H450" s="1">
        <v>6</v>
      </c>
      <c r="I450" t="s">
        <v>61</v>
      </c>
      <c r="J450" t="s">
        <v>34</v>
      </c>
      <c r="K450" t="s">
        <v>61</v>
      </c>
      <c r="L450" t="s">
        <v>35</v>
      </c>
      <c r="M450" s="3">
        <v>75</v>
      </c>
      <c r="N450" t="s">
        <v>60</v>
      </c>
      <c r="O450" t="s">
        <v>62</v>
      </c>
      <c r="P450" t="s">
        <v>48</v>
      </c>
      <c r="Q450" t="s">
        <v>60</v>
      </c>
      <c r="R450" t="s">
        <v>37</v>
      </c>
      <c r="S450" s="3">
        <v>13237</v>
      </c>
      <c r="T450" s="3">
        <v>20364</v>
      </c>
      <c r="U450" s="3" t="str">
        <f t="shared" si="27"/>
        <v>High</v>
      </c>
      <c r="V450">
        <v>7</v>
      </c>
      <c r="W450" t="s">
        <v>38</v>
      </c>
      <c r="X450" s="2">
        <v>15</v>
      </c>
      <c r="Y450" t="s">
        <v>60</v>
      </c>
      <c r="Z450" t="s">
        <v>60</v>
      </c>
      <c r="AA450">
        <v>0</v>
      </c>
      <c r="AB450">
        <v>22</v>
      </c>
      <c r="AC450">
        <v>3</v>
      </c>
      <c r="AD450">
        <v>3</v>
      </c>
      <c r="AE450">
        <v>20</v>
      </c>
      <c r="AF450">
        <v>6</v>
      </c>
      <c r="AG450">
        <v>5</v>
      </c>
      <c r="AH450">
        <v>13</v>
      </c>
      <c r="AI450" t="str">
        <f t="shared" ref="AI450:AI513" si="28">IF(AE450&lt;=2,"0-2 Years",
IF(AE450&lt;=5,"3-5 Years",
IF(AE450&lt;=10,"6-10 Years","10+ Years")))</f>
        <v>10+ Years</v>
      </c>
      <c r="AJ450" t="str">
        <f t="shared" ref="AJ450:AJ513" si="29">IF(AG450&lt;=2,"0-2",
IF(AG450&lt;=5,"3-5","6+"))</f>
        <v>3-5</v>
      </c>
    </row>
    <row r="451" spans="1:36" x14ac:dyDescent="0.35">
      <c r="A451">
        <v>450</v>
      </c>
      <c r="B451">
        <v>39</v>
      </c>
      <c r="C451" t="str">
        <f t="shared" ref="C451:C514" si="30">IF(B451&lt;=25,"18-25",
IF(B451&lt;=35,"26-35",
IF(B451&lt;=45,"36-45",
IF(B451&lt;=55,"46-55","55+"))))</f>
        <v>36-45</v>
      </c>
      <c r="D451" t="s">
        <v>38</v>
      </c>
      <c r="E451" t="s">
        <v>39</v>
      </c>
      <c r="F451" s="3">
        <v>1389</v>
      </c>
      <c r="G451" t="s">
        <v>40</v>
      </c>
      <c r="H451" s="1">
        <v>8</v>
      </c>
      <c r="I451" t="s">
        <v>59</v>
      </c>
      <c r="J451" t="s">
        <v>34</v>
      </c>
      <c r="K451" t="s">
        <v>60</v>
      </c>
      <c r="L451" t="s">
        <v>35</v>
      </c>
      <c r="M451" s="3">
        <v>48</v>
      </c>
      <c r="N451" t="s">
        <v>60</v>
      </c>
      <c r="O451" t="s">
        <v>59</v>
      </c>
      <c r="P451" t="s">
        <v>45</v>
      </c>
      <c r="Q451" t="s">
        <v>60</v>
      </c>
      <c r="R451" t="s">
        <v>43</v>
      </c>
      <c r="S451" s="3">
        <v>3755</v>
      </c>
      <c r="T451" s="3">
        <v>17872</v>
      </c>
      <c r="U451" s="3" t="str">
        <f t="shared" ref="U451:U514" si="31">_xlfn.IFS(S451&lt;5000,"Low",S451&lt;10000,"Medium",S451&gt;10000,"High")</f>
        <v>Low</v>
      </c>
      <c r="V451">
        <v>1</v>
      </c>
      <c r="W451" t="s">
        <v>38</v>
      </c>
      <c r="X451" s="2">
        <v>11</v>
      </c>
      <c r="Y451" t="s">
        <v>60</v>
      </c>
      <c r="Z451" t="s">
        <v>59</v>
      </c>
      <c r="AA451">
        <v>1</v>
      </c>
      <c r="AB451">
        <v>8</v>
      </c>
      <c r="AC451">
        <v>3</v>
      </c>
      <c r="AD451">
        <v>3</v>
      </c>
      <c r="AE451">
        <v>8</v>
      </c>
      <c r="AF451">
        <v>3</v>
      </c>
      <c r="AG451">
        <v>0</v>
      </c>
      <c r="AH451">
        <v>7</v>
      </c>
      <c r="AI451" t="str">
        <f t="shared" si="28"/>
        <v>6-10 Years</v>
      </c>
      <c r="AJ451" t="str">
        <f t="shared" si="29"/>
        <v>0-2</v>
      </c>
    </row>
    <row r="452" spans="1:36" x14ac:dyDescent="0.35">
      <c r="A452">
        <v>451</v>
      </c>
      <c r="B452">
        <v>31</v>
      </c>
      <c r="C452" t="str">
        <f t="shared" si="30"/>
        <v>26-35</v>
      </c>
      <c r="D452" t="s">
        <v>38</v>
      </c>
      <c r="E452" t="s">
        <v>32</v>
      </c>
      <c r="F452" s="3">
        <v>1389</v>
      </c>
      <c r="G452" t="s">
        <v>33</v>
      </c>
      <c r="H452" s="1">
        <v>2</v>
      </c>
      <c r="I452" t="s">
        <v>59</v>
      </c>
      <c r="J452" t="s">
        <v>34</v>
      </c>
      <c r="K452" t="s">
        <v>61</v>
      </c>
      <c r="L452" t="s">
        <v>41</v>
      </c>
      <c r="M452" s="3">
        <v>77</v>
      </c>
      <c r="N452" t="s">
        <v>60</v>
      </c>
      <c r="O452" t="s">
        <v>61</v>
      </c>
      <c r="P452" t="s">
        <v>36</v>
      </c>
      <c r="Q452" t="s">
        <v>62</v>
      </c>
      <c r="R452" t="s">
        <v>37</v>
      </c>
      <c r="S452" s="3">
        <v>6582</v>
      </c>
      <c r="T452" s="3">
        <v>8346</v>
      </c>
      <c r="U452" s="3" t="str">
        <f t="shared" si="31"/>
        <v>Medium</v>
      </c>
      <c r="V452">
        <v>4</v>
      </c>
      <c r="W452" t="s">
        <v>31</v>
      </c>
      <c r="X452" s="2">
        <v>13</v>
      </c>
      <c r="Y452" t="s">
        <v>60</v>
      </c>
      <c r="Z452" t="s">
        <v>60</v>
      </c>
      <c r="AA452">
        <v>0</v>
      </c>
      <c r="AB452">
        <v>10</v>
      </c>
      <c r="AC452">
        <v>2</v>
      </c>
      <c r="AD452">
        <v>4</v>
      </c>
      <c r="AE452">
        <v>6</v>
      </c>
      <c r="AF452">
        <v>5</v>
      </c>
      <c r="AG452">
        <v>0</v>
      </c>
      <c r="AH452">
        <v>5</v>
      </c>
      <c r="AI452" t="str">
        <f t="shared" si="28"/>
        <v>6-10 Years</v>
      </c>
      <c r="AJ452" t="str">
        <f t="shared" si="29"/>
        <v>0-2</v>
      </c>
    </row>
    <row r="453" spans="1:36" x14ac:dyDescent="0.35">
      <c r="A453">
        <v>452</v>
      </c>
      <c r="B453">
        <v>42</v>
      </c>
      <c r="C453" t="str">
        <f t="shared" si="30"/>
        <v>36-45</v>
      </c>
      <c r="D453" t="s">
        <v>38</v>
      </c>
      <c r="E453" t="s">
        <v>32</v>
      </c>
      <c r="F453" s="3">
        <v>1389</v>
      </c>
      <c r="G453" t="s">
        <v>40</v>
      </c>
      <c r="H453" s="1">
        <v>24</v>
      </c>
      <c r="I453" t="s">
        <v>61</v>
      </c>
      <c r="J453" t="s">
        <v>46</v>
      </c>
      <c r="K453" t="s">
        <v>62</v>
      </c>
      <c r="L453" t="s">
        <v>41</v>
      </c>
      <c r="M453" s="3">
        <v>56</v>
      </c>
      <c r="N453" t="s">
        <v>60</v>
      </c>
      <c r="O453" t="s">
        <v>60</v>
      </c>
      <c r="P453" t="s">
        <v>48</v>
      </c>
      <c r="Q453" t="s">
        <v>59</v>
      </c>
      <c r="R453" t="s">
        <v>43</v>
      </c>
      <c r="S453" s="3">
        <v>7406</v>
      </c>
      <c r="T453" s="3">
        <v>6950</v>
      </c>
      <c r="U453" s="3" t="str">
        <f t="shared" si="31"/>
        <v>Medium</v>
      </c>
      <c r="V453">
        <v>1</v>
      </c>
      <c r="W453" t="s">
        <v>31</v>
      </c>
      <c r="X453" s="2">
        <v>21</v>
      </c>
      <c r="Y453" t="s">
        <v>62</v>
      </c>
      <c r="Z453" t="s">
        <v>62</v>
      </c>
      <c r="AA453">
        <v>1</v>
      </c>
      <c r="AB453">
        <v>10</v>
      </c>
      <c r="AC453">
        <v>5</v>
      </c>
      <c r="AD453">
        <v>2</v>
      </c>
      <c r="AE453">
        <v>10</v>
      </c>
      <c r="AF453">
        <v>9</v>
      </c>
      <c r="AG453">
        <v>5</v>
      </c>
      <c r="AH453">
        <v>8</v>
      </c>
      <c r="AI453" t="str">
        <f t="shared" si="28"/>
        <v>6-10 Years</v>
      </c>
      <c r="AJ453" t="str">
        <f t="shared" si="29"/>
        <v>3-5</v>
      </c>
    </row>
    <row r="454" spans="1:36" x14ac:dyDescent="0.35">
      <c r="A454">
        <v>453</v>
      </c>
      <c r="B454">
        <v>45</v>
      </c>
      <c r="C454" t="str">
        <f t="shared" si="30"/>
        <v>36-45</v>
      </c>
      <c r="D454" t="s">
        <v>38</v>
      </c>
      <c r="E454" t="s">
        <v>32</v>
      </c>
      <c r="F454" s="3">
        <v>1389</v>
      </c>
      <c r="G454" t="s">
        <v>33</v>
      </c>
      <c r="H454" s="1">
        <v>2</v>
      </c>
      <c r="I454" t="s">
        <v>61</v>
      </c>
      <c r="J454" t="s">
        <v>44</v>
      </c>
      <c r="K454" t="s">
        <v>62</v>
      </c>
      <c r="L454" t="s">
        <v>41</v>
      </c>
      <c r="M454" s="3">
        <v>61</v>
      </c>
      <c r="N454" t="s">
        <v>60</v>
      </c>
      <c r="O454" t="s">
        <v>61</v>
      </c>
      <c r="P454" t="s">
        <v>36</v>
      </c>
      <c r="Q454" t="s">
        <v>61</v>
      </c>
      <c r="R454" t="s">
        <v>43</v>
      </c>
      <c r="S454" s="3">
        <v>4805</v>
      </c>
      <c r="T454" s="3">
        <v>16177</v>
      </c>
      <c r="U454" s="3" t="str">
        <f t="shared" si="31"/>
        <v>Low</v>
      </c>
      <c r="V454">
        <v>0</v>
      </c>
      <c r="W454" t="s">
        <v>38</v>
      </c>
      <c r="X454" s="2">
        <v>19</v>
      </c>
      <c r="Y454" t="s">
        <v>60</v>
      </c>
      <c r="Z454" t="s">
        <v>61</v>
      </c>
      <c r="AA454">
        <v>1</v>
      </c>
      <c r="AB454">
        <v>9</v>
      </c>
      <c r="AC454">
        <v>3</v>
      </c>
      <c r="AD454">
        <v>4</v>
      </c>
      <c r="AE454">
        <v>8</v>
      </c>
      <c r="AF454">
        <v>7</v>
      </c>
      <c r="AG454">
        <v>3</v>
      </c>
      <c r="AH454">
        <v>7</v>
      </c>
      <c r="AI454" t="str">
        <f t="shared" si="28"/>
        <v>6-10 Years</v>
      </c>
      <c r="AJ454" t="str">
        <f t="shared" si="29"/>
        <v>3-5</v>
      </c>
    </row>
    <row r="455" spans="1:36" x14ac:dyDescent="0.35">
      <c r="A455">
        <v>454</v>
      </c>
      <c r="B455">
        <v>26</v>
      </c>
      <c r="C455" t="str">
        <f t="shared" si="30"/>
        <v>26-35</v>
      </c>
      <c r="D455" t="s">
        <v>31</v>
      </c>
      <c r="E455" t="s">
        <v>39</v>
      </c>
      <c r="F455" s="3">
        <v>1389</v>
      </c>
      <c r="G455" t="s">
        <v>56</v>
      </c>
      <c r="H455" s="1">
        <v>17</v>
      </c>
      <c r="I455" t="s">
        <v>60</v>
      </c>
      <c r="J455" t="s">
        <v>34</v>
      </c>
      <c r="K455" t="s">
        <v>61</v>
      </c>
      <c r="L455" t="s">
        <v>35</v>
      </c>
      <c r="M455" s="3">
        <v>58</v>
      </c>
      <c r="N455" t="s">
        <v>60</v>
      </c>
      <c r="O455" t="s">
        <v>59</v>
      </c>
      <c r="P455" t="s">
        <v>56</v>
      </c>
      <c r="Q455" t="s">
        <v>60</v>
      </c>
      <c r="R455" t="s">
        <v>47</v>
      </c>
      <c r="S455" s="3">
        <v>2741</v>
      </c>
      <c r="T455" s="3">
        <v>22808</v>
      </c>
      <c r="U455" s="3" t="str">
        <f t="shared" si="31"/>
        <v>Low</v>
      </c>
      <c r="V455">
        <v>0</v>
      </c>
      <c r="W455" t="s">
        <v>31</v>
      </c>
      <c r="X455" s="2">
        <v>11</v>
      </c>
      <c r="Y455" t="s">
        <v>60</v>
      </c>
      <c r="Z455" t="s">
        <v>61</v>
      </c>
      <c r="AA455">
        <v>1</v>
      </c>
      <c r="AB455">
        <v>8</v>
      </c>
      <c r="AC455">
        <v>2</v>
      </c>
      <c r="AD455">
        <v>2</v>
      </c>
      <c r="AE455">
        <v>7</v>
      </c>
      <c r="AF455">
        <v>7</v>
      </c>
      <c r="AG455">
        <v>1</v>
      </c>
      <c r="AH455">
        <v>0</v>
      </c>
      <c r="AI455" t="str">
        <f t="shared" si="28"/>
        <v>6-10 Years</v>
      </c>
      <c r="AJ455" t="str">
        <f t="shared" si="29"/>
        <v>0-2</v>
      </c>
    </row>
    <row r="456" spans="1:36" x14ac:dyDescent="0.35">
      <c r="A456">
        <v>455</v>
      </c>
      <c r="B456">
        <v>29</v>
      </c>
      <c r="C456" t="str">
        <f t="shared" si="30"/>
        <v>26-35</v>
      </c>
      <c r="D456" t="s">
        <v>38</v>
      </c>
      <c r="E456" t="s">
        <v>32</v>
      </c>
      <c r="F456" s="3">
        <v>1389</v>
      </c>
      <c r="G456" t="s">
        <v>40</v>
      </c>
      <c r="H456" s="1">
        <v>19</v>
      </c>
      <c r="I456" t="s">
        <v>61</v>
      </c>
      <c r="J456" t="s">
        <v>55</v>
      </c>
      <c r="K456" t="s">
        <v>62</v>
      </c>
      <c r="L456" t="s">
        <v>41</v>
      </c>
      <c r="M456" s="3">
        <v>34</v>
      </c>
      <c r="N456" t="s">
        <v>60</v>
      </c>
      <c r="O456" t="s">
        <v>61</v>
      </c>
      <c r="P456" t="s">
        <v>48</v>
      </c>
      <c r="Q456" t="s">
        <v>62</v>
      </c>
      <c r="R456" t="s">
        <v>47</v>
      </c>
      <c r="S456" s="3">
        <v>4262</v>
      </c>
      <c r="T456" s="3">
        <v>22645</v>
      </c>
      <c r="U456" s="3" t="str">
        <f t="shared" si="31"/>
        <v>Low</v>
      </c>
      <c r="V456">
        <v>4</v>
      </c>
      <c r="W456" t="s">
        <v>38</v>
      </c>
      <c r="X456" s="2">
        <v>12</v>
      </c>
      <c r="Y456" t="s">
        <v>60</v>
      </c>
      <c r="Z456" t="s">
        <v>61</v>
      </c>
      <c r="AA456">
        <v>2</v>
      </c>
      <c r="AB456">
        <v>8</v>
      </c>
      <c r="AC456">
        <v>2</v>
      </c>
      <c r="AD456">
        <v>4</v>
      </c>
      <c r="AE456">
        <v>3</v>
      </c>
      <c r="AF456">
        <v>2</v>
      </c>
      <c r="AG456">
        <v>1</v>
      </c>
      <c r="AH456">
        <v>2</v>
      </c>
      <c r="AI456" t="str">
        <f t="shared" si="28"/>
        <v>3-5 Years</v>
      </c>
      <c r="AJ456" t="str">
        <f t="shared" si="29"/>
        <v>0-2</v>
      </c>
    </row>
    <row r="457" spans="1:36" x14ac:dyDescent="0.35">
      <c r="A457">
        <v>456</v>
      </c>
      <c r="B457">
        <v>33</v>
      </c>
      <c r="C457" t="str">
        <f t="shared" si="30"/>
        <v>26-35</v>
      </c>
      <c r="D457" t="s">
        <v>38</v>
      </c>
      <c r="E457" t="s">
        <v>32</v>
      </c>
      <c r="F457" s="3">
        <v>1389</v>
      </c>
      <c r="G457" t="s">
        <v>40</v>
      </c>
      <c r="H457" s="1">
        <v>1</v>
      </c>
      <c r="I457" t="s">
        <v>62</v>
      </c>
      <c r="J457" t="s">
        <v>46</v>
      </c>
      <c r="K457" t="s">
        <v>59</v>
      </c>
      <c r="L457" t="s">
        <v>35</v>
      </c>
      <c r="M457" s="3">
        <v>95</v>
      </c>
      <c r="N457" t="s">
        <v>62</v>
      </c>
      <c r="O457" t="s">
        <v>62</v>
      </c>
      <c r="P457" t="s">
        <v>53</v>
      </c>
      <c r="Q457" t="s">
        <v>60</v>
      </c>
      <c r="R457" t="s">
        <v>47</v>
      </c>
      <c r="S457" s="3">
        <v>16184</v>
      </c>
      <c r="T457" s="3">
        <v>22578</v>
      </c>
      <c r="U457" s="3" t="str">
        <f t="shared" si="31"/>
        <v>High</v>
      </c>
      <c r="V457">
        <v>4</v>
      </c>
      <c r="W457" t="s">
        <v>38</v>
      </c>
      <c r="X457" s="2">
        <v>19</v>
      </c>
      <c r="Y457" t="s">
        <v>60</v>
      </c>
      <c r="Z457" t="s">
        <v>60</v>
      </c>
      <c r="AA457">
        <v>1</v>
      </c>
      <c r="AB457">
        <v>10</v>
      </c>
      <c r="AC457">
        <v>2</v>
      </c>
      <c r="AD457">
        <v>3</v>
      </c>
      <c r="AE457">
        <v>6</v>
      </c>
      <c r="AF457">
        <v>1</v>
      </c>
      <c r="AG457">
        <v>0</v>
      </c>
      <c r="AH457">
        <v>5</v>
      </c>
      <c r="AI457" t="str">
        <f t="shared" si="28"/>
        <v>6-10 Years</v>
      </c>
      <c r="AJ457" t="str">
        <f t="shared" si="29"/>
        <v>0-2</v>
      </c>
    </row>
    <row r="458" spans="1:36" x14ac:dyDescent="0.35">
      <c r="A458">
        <v>457</v>
      </c>
      <c r="B458">
        <v>31</v>
      </c>
      <c r="C458" t="str">
        <f t="shared" si="30"/>
        <v>26-35</v>
      </c>
      <c r="D458" t="s">
        <v>38</v>
      </c>
      <c r="E458" t="s">
        <v>32</v>
      </c>
      <c r="F458" s="3">
        <v>1389</v>
      </c>
      <c r="G458" t="s">
        <v>33</v>
      </c>
      <c r="H458" s="1">
        <v>7</v>
      </c>
      <c r="I458" t="s">
        <v>61</v>
      </c>
      <c r="J458" t="s">
        <v>34</v>
      </c>
      <c r="K458" t="s">
        <v>60</v>
      </c>
      <c r="L458" t="s">
        <v>41</v>
      </c>
      <c r="M458" s="3">
        <v>44</v>
      </c>
      <c r="N458" t="s">
        <v>61</v>
      </c>
      <c r="O458" t="s">
        <v>60</v>
      </c>
      <c r="P458" t="s">
        <v>51</v>
      </c>
      <c r="Q458" t="s">
        <v>62</v>
      </c>
      <c r="R458" t="s">
        <v>47</v>
      </c>
      <c r="S458" s="3">
        <v>11557</v>
      </c>
      <c r="T458" s="3">
        <v>25291</v>
      </c>
      <c r="U458" s="3" t="str">
        <f t="shared" si="31"/>
        <v>High</v>
      </c>
      <c r="V458">
        <v>9</v>
      </c>
      <c r="W458" t="s">
        <v>38</v>
      </c>
      <c r="X458" s="2">
        <v>21</v>
      </c>
      <c r="Y458" t="s">
        <v>62</v>
      </c>
      <c r="Z458" t="s">
        <v>60</v>
      </c>
      <c r="AA458">
        <v>1</v>
      </c>
      <c r="AB458">
        <v>10</v>
      </c>
      <c r="AC458">
        <v>3</v>
      </c>
      <c r="AD458">
        <v>2</v>
      </c>
      <c r="AE458">
        <v>5</v>
      </c>
      <c r="AF458">
        <v>4</v>
      </c>
      <c r="AG458">
        <v>0</v>
      </c>
      <c r="AH458">
        <v>1</v>
      </c>
      <c r="AI458" t="str">
        <f t="shared" si="28"/>
        <v>3-5 Years</v>
      </c>
      <c r="AJ458" t="str">
        <f t="shared" si="29"/>
        <v>0-2</v>
      </c>
    </row>
    <row r="459" spans="1:36" x14ac:dyDescent="0.35">
      <c r="A459">
        <v>458</v>
      </c>
      <c r="B459">
        <v>18</v>
      </c>
      <c r="C459" t="str">
        <f t="shared" si="30"/>
        <v>18-25</v>
      </c>
      <c r="D459" t="s">
        <v>31</v>
      </c>
      <c r="E459" t="s">
        <v>39</v>
      </c>
      <c r="F459" s="3">
        <v>1389</v>
      </c>
      <c r="G459" t="s">
        <v>33</v>
      </c>
      <c r="H459" s="1">
        <v>5</v>
      </c>
      <c r="I459" t="s">
        <v>61</v>
      </c>
      <c r="J459" t="s">
        <v>54</v>
      </c>
      <c r="K459" t="s">
        <v>61</v>
      </c>
      <c r="L459" t="s">
        <v>41</v>
      </c>
      <c r="M459" s="3">
        <v>69</v>
      </c>
      <c r="N459" t="s">
        <v>60</v>
      </c>
      <c r="O459" t="s">
        <v>59</v>
      </c>
      <c r="P459" t="s">
        <v>52</v>
      </c>
      <c r="Q459" t="s">
        <v>61</v>
      </c>
      <c r="R459" t="s">
        <v>37</v>
      </c>
      <c r="S459" s="3">
        <v>1878</v>
      </c>
      <c r="T459" s="3">
        <v>8059</v>
      </c>
      <c r="U459" s="3" t="str">
        <f t="shared" si="31"/>
        <v>Low</v>
      </c>
      <c r="V459">
        <v>1</v>
      </c>
      <c r="W459" t="s">
        <v>31</v>
      </c>
      <c r="X459" s="2">
        <v>14</v>
      </c>
      <c r="Y459" t="s">
        <v>60</v>
      </c>
      <c r="Z459" t="s">
        <v>62</v>
      </c>
      <c r="AA459">
        <v>0</v>
      </c>
      <c r="AB459">
        <v>0</v>
      </c>
      <c r="AC459">
        <v>3</v>
      </c>
      <c r="AD459">
        <v>3</v>
      </c>
      <c r="AE459">
        <v>0</v>
      </c>
      <c r="AF459">
        <v>0</v>
      </c>
      <c r="AG459">
        <v>0</v>
      </c>
      <c r="AH459">
        <v>0</v>
      </c>
      <c r="AI459" t="str">
        <f t="shared" si="28"/>
        <v>0-2 Years</v>
      </c>
      <c r="AJ459" t="str">
        <f t="shared" si="29"/>
        <v>0-2</v>
      </c>
    </row>
    <row r="460" spans="1:36" x14ac:dyDescent="0.35">
      <c r="A460">
        <v>459</v>
      </c>
      <c r="B460">
        <v>40</v>
      </c>
      <c r="C460" t="str">
        <f t="shared" si="30"/>
        <v>36-45</v>
      </c>
      <c r="D460" t="s">
        <v>38</v>
      </c>
      <c r="E460" t="s">
        <v>50</v>
      </c>
      <c r="F460" s="3">
        <v>1389</v>
      </c>
      <c r="G460" t="s">
        <v>33</v>
      </c>
      <c r="H460" s="1">
        <v>28</v>
      </c>
      <c r="I460" t="s">
        <v>61</v>
      </c>
      <c r="J460" t="s">
        <v>44</v>
      </c>
      <c r="K460" t="s">
        <v>60</v>
      </c>
      <c r="L460" t="s">
        <v>41</v>
      </c>
      <c r="M460" s="3">
        <v>58</v>
      </c>
      <c r="N460" t="s">
        <v>59</v>
      </c>
      <c r="O460" t="s">
        <v>60</v>
      </c>
      <c r="P460" t="s">
        <v>36</v>
      </c>
      <c r="Q460" t="s">
        <v>59</v>
      </c>
      <c r="R460" t="s">
        <v>47</v>
      </c>
      <c r="S460" s="3">
        <v>10932</v>
      </c>
      <c r="T460" s="3">
        <v>11373</v>
      </c>
      <c r="U460" s="3" t="str">
        <f t="shared" si="31"/>
        <v>High</v>
      </c>
      <c r="V460">
        <v>3</v>
      </c>
      <c r="W460" t="s">
        <v>38</v>
      </c>
      <c r="X460" s="2">
        <v>15</v>
      </c>
      <c r="Y460" t="s">
        <v>60</v>
      </c>
      <c r="Z460" t="s">
        <v>60</v>
      </c>
      <c r="AA460">
        <v>1</v>
      </c>
      <c r="AB460">
        <v>20</v>
      </c>
      <c r="AC460">
        <v>2</v>
      </c>
      <c r="AD460">
        <v>3</v>
      </c>
      <c r="AE460">
        <v>1</v>
      </c>
      <c r="AF460">
        <v>0</v>
      </c>
      <c r="AG460">
        <v>0</v>
      </c>
      <c r="AH460">
        <v>1</v>
      </c>
      <c r="AI460" t="str">
        <f t="shared" si="28"/>
        <v>0-2 Years</v>
      </c>
      <c r="AJ460" t="str">
        <f t="shared" si="29"/>
        <v>0-2</v>
      </c>
    </row>
    <row r="461" spans="1:36" x14ac:dyDescent="0.35">
      <c r="A461">
        <v>460</v>
      </c>
      <c r="B461">
        <v>41</v>
      </c>
      <c r="C461" t="str">
        <f t="shared" si="30"/>
        <v>36-45</v>
      </c>
      <c r="D461" t="s">
        <v>38</v>
      </c>
      <c r="E461" t="s">
        <v>50</v>
      </c>
      <c r="F461" s="3">
        <v>1389</v>
      </c>
      <c r="G461" t="s">
        <v>40</v>
      </c>
      <c r="H461" s="1">
        <v>2</v>
      </c>
      <c r="I461" t="s">
        <v>60</v>
      </c>
      <c r="J461" t="s">
        <v>44</v>
      </c>
      <c r="K461" t="s">
        <v>59</v>
      </c>
      <c r="L461" t="s">
        <v>35</v>
      </c>
      <c r="M461" s="3">
        <v>62</v>
      </c>
      <c r="N461" t="s">
        <v>61</v>
      </c>
      <c r="O461" t="s">
        <v>61</v>
      </c>
      <c r="P461" t="s">
        <v>49</v>
      </c>
      <c r="Q461" t="s">
        <v>60</v>
      </c>
      <c r="R461" t="s">
        <v>37</v>
      </c>
      <c r="S461" s="3">
        <v>6811</v>
      </c>
      <c r="T461" s="3">
        <v>2112</v>
      </c>
      <c r="U461" s="3" t="str">
        <f t="shared" si="31"/>
        <v>Medium</v>
      </c>
      <c r="V461">
        <v>2</v>
      </c>
      <c r="W461" t="s">
        <v>31</v>
      </c>
      <c r="X461" s="2">
        <v>17</v>
      </c>
      <c r="Y461" t="s">
        <v>60</v>
      </c>
      <c r="Z461" t="s">
        <v>59</v>
      </c>
      <c r="AA461">
        <v>0</v>
      </c>
      <c r="AB461">
        <v>10</v>
      </c>
      <c r="AC461">
        <v>3</v>
      </c>
      <c r="AD461">
        <v>3</v>
      </c>
      <c r="AE461">
        <v>8</v>
      </c>
      <c r="AF461">
        <v>7</v>
      </c>
      <c r="AG461">
        <v>0</v>
      </c>
      <c r="AH461">
        <v>7</v>
      </c>
      <c r="AI461" t="str">
        <f t="shared" si="28"/>
        <v>6-10 Years</v>
      </c>
      <c r="AJ461" t="str">
        <f t="shared" si="29"/>
        <v>0-2</v>
      </c>
    </row>
    <row r="462" spans="1:36" x14ac:dyDescent="0.35">
      <c r="A462">
        <v>461</v>
      </c>
      <c r="B462">
        <v>26</v>
      </c>
      <c r="C462" t="str">
        <f t="shared" si="30"/>
        <v>26-35</v>
      </c>
      <c r="D462" t="s">
        <v>38</v>
      </c>
      <c r="E462" t="s">
        <v>32</v>
      </c>
      <c r="F462" s="3">
        <v>1389</v>
      </c>
      <c r="G462" t="s">
        <v>33</v>
      </c>
      <c r="H462" s="1">
        <v>29</v>
      </c>
      <c r="I462" t="s">
        <v>58</v>
      </c>
      <c r="J462" t="s">
        <v>46</v>
      </c>
      <c r="K462" t="s">
        <v>59</v>
      </c>
      <c r="L462" t="s">
        <v>41</v>
      </c>
      <c r="M462" s="3">
        <v>45</v>
      </c>
      <c r="N462" t="s">
        <v>60</v>
      </c>
      <c r="O462" t="s">
        <v>61</v>
      </c>
      <c r="P462" t="s">
        <v>36</v>
      </c>
      <c r="Q462" t="s">
        <v>60</v>
      </c>
      <c r="R462" t="s">
        <v>47</v>
      </c>
      <c r="S462" s="3">
        <v>4306</v>
      </c>
      <c r="T462" s="3">
        <v>4267</v>
      </c>
      <c r="U462" s="3" t="str">
        <f t="shared" si="31"/>
        <v>Low</v>
      </c>
      <c r="V462">
        <v>5</v>
      </c>
      <c r="W462" t="s">
        <v>38</v>
      </c>
      <c r="X462" s="2">
        <v>12</v>
      </c>
      <c r="Y462" t="s">
        <v>60</v>
      </c>
      <c r="Z462" t="s">
        <v>59</v>
      </c>
      <c r="AA462">
        <v>2</v>
      </c>
      <c r="AB462">
        <v>8</v>
      </c>
      <c r="AC462">
        <v>5</v>
      </c>
      <c r="AD462">
        <v>3</v>
      </c>
      <c r="AE462">
        <v>0</v>
      </c>
      <c r="AF462">
        <v>0</v>
      </c>
      <c r="AG462">
        <v>0</v>
      </c>
      <c r="AH462">
        <v>0</v>
      </c>
      <c r="AI462" t="str">
        <f t="shared" si="28"/>
        <v>0-2 Years</v>
      </c>
      <c r="AJ462" t="str">
        <f t="shared" si="29"/>
        <v>0-2</v>
      </c>
    </row>
    <row r="463" spans="1:36" x14ac:dyDescent="0.35">
      <c r="A463">
        <v>462</v>
      </c>
      <c r="B463">
        <v>35</v>
      </c>
      <c r="C463" t="str">
        <f t="shared" si="30"/>
        <v>26-35</v>
      </c>
      <c r="D463" t="s">
        <v>38</v>
      </c>
      <c r="E463" t="s">
        <v>32</v>
      </c>
      <c r="F463" s="3">
        <v>1389</v>
      </c>
      <c r="G463" t="s">
        <v>33</v>
      </c>
      <c r="H463" s="1">
        <v>1</v>
      </c>
      <c r="I463" t="s">
        <v>61</v>
      </c>
      <c r="J463" t="s">
        <v>46</v>
      </c>
      <c r="K463" t="s">
        <v>59</v>
      </c>
      <c r="L463" t="s">
        <v>35</v>
      </c>
      <c r="M463" s="3">
        <v>80</v>
      </c>
      <c r="N463" t="s">
        <v>60</v>
      </c>
      <c r="O463" t="s">
        <v>61</v>
      </c>
      <c r="P463" t="s">
        <v>36</v>
      </c>
      <c r="Q463" t="s">
        <v>60</v>
      </c>
      <c r="R463" t="s">
        <v>37</v>
      </c>
      <c r="S463" s="3">
        <v>4859</v>
      </c>
      <c r="T463" s="3">
        <v>6698</v>
      </c>
      <c r="U463" s="3" t="str">
        <f t="shared" si="31"/>
        <v>Low</v>
      </c>
      <c r="V463">
        <v>1</v>
      </c>
      <c r="W463" t="s">
        <v>38</v>
      </c>
      <c r="X463" s="2">
        <v>16</v>
      </c>
      <c r="Y463" t="s">
        <v>60</v>
      </c>
      <c r="Z463" t="s">
        <v>62</v>
      </c>
      <c r="AA463">
        <v>0</v>
      </c>
      <c r="AB463">
        <v>5</v>
      </c>
      <c r="AC463">
        <v>3</v>
      </c>
      <c r="AD463">
        <v>3</v>
      </c>
      <c r="AE463">
        <v>5</v>
      </c>
      <c r="AF463">
        <v>4</v>
      </c>
      <c r="AG463">
        <v>0</v>
      </c>
      <c r="AH463">
        <v>3</v>
      </c>
      <c r="AI463" t="str">
        <f t="shared" si="28"/>
        <v>3-5 Years</v>
      </c>
      <c r="AJ463" t="str">
        <f t="shared" si="29"/>
        <v>0-2</v>
      </c>
    </row>
    <row r="464" spans="1:36" x14ac:dyDescent="0.35">
      <c r="A464">
        <v>463</v>
      </c>
      <c r="B464">
        <v>34</v>
      </c>
      <c r="C464" t="str">
        <f t="shared" si="30"/>
        <v>26-35</v>
      </c>
      <c r="D464" t="s">
        <v>38</v>
      </c>
      <c r="E464" t="s">
        <v>32</v>
      </c>
      <c r="F464" s="3">
        <v>1389</v>
      </c>
      <c r="G464" t="s">
        <v>33</v>
      </c>
      <c r="H464" s="1">
        <v>21</v>
      </c>
      <c r="I464" t="s">
        <v>60</v>
      </c>
      <c r="J464" t="s">
        <v>34</v>
      </c>
      <c r="K464" t="s">
        <v>62</v>
      </c>
      <c r="L464" t="s">
        <v>41</v>
      </c>
      <c r="M464" s="3">
        <v>74</v>
      </c>
      <c r="N464" t="s">
        <v>62</v>
      </c>
      <c r="O464" t="s">
        <v>61</v>
      </c>
      <c r="P464" t="s">
        <v>36</v>
      </c>
      <c r="Q464" t="s">
        <v>62</v>
      </c>
      <c r="R464" t="s">
        <v>37</v>
      </c>
      <c r="S464" s="3">
        <v>5337</v>
      </c>
      <c r="T464" s="3">
        <v>19921</v>
      </c>
      <c r="U464" s="3" t="str">
        <f t="shared" si="31"/>
        <v>Medium</v>
      </c>
      <c r="V464">
        <v>1</v>
      </c>
      <c r="W464" t="s">
        <v>38</v>
      </c>
      <c r="X464" s="2">
        <v>12</v>
      </c>
      <c r="Y464" t="s">
        <v>60</v>
      </c>
      <c r="Z464" t="s">
        <v>62</v>
      </c>
      <c r="AA464">
        <v>0</v>
      </c>
      <c r="AB464">
        <v>10</v>
      </c>
      <c r="AC464">
        <v>3</v>
      </c>
      <c r="AD464">
        <v>3</v>
      </c>
      <c r="AE464">
        <v>10</v>
      </c>
      <c r="AF464">
        <v>7</v>
      </c>
      <c r="AG464">
        <v>5</v>
      </c>
      <c r="AH464">
        <v>7</v>
      </c>
      <c r="AI464" t="str">
        <f t="shared" si="28"/>
        <v>6-10 Years</v>
      </c>
      <c r="AJ464" t="str">
        <f t="shared" si="29"/>
        <v>3-5</v>
      </c>
    </row>
    <row r="465" spans="1:36" x14ac:dyDescent="0.35">
      <c r="A465">
        <v>464</v>
      </c>
      <c r="B465">
        <v>26</v>
      </c>
      <c r="C465" t="str">
        <f t="shared" si="30"/>
        <v>26-35</v>
      </c>
      <c r="D465" t="s">
        <v>31</v>
      </c>
      <c r="E465" t="s">
        <v>32</v>
      </c>
      <c r="F465" s="3">
        <v>1389</v>
      </c>
      <c r="G465" t="s">
        <v>40</v>
      </c>
      <c r="H465" s="1">
        <v>24</v>
      </c>
      <c r="I465" t="s">
        <v>61</v>
      </c>
      <c r="J465" t="s">
        <v>55</v>
      </c>
      <c r="K465" t="s">
        <v>60</v>
      </c>
      <c r="L465" t="s">
        <v>41</v>
      </c>
      <c r="M465" s="3">
        <v>66</v>
      </c>
      <c r="N465" t="s">
        <v>59</v>
      </c>
      <c r="O465" t="s">
        <v>59</v>
      </c>
      <c r="P465" t="s">
        <v>45</v>
      </c>
      <c r="Q465" t="s">
        <v>62</v>
      </c>
      <c r="R465" t="s">
        <v>37</v>
      </c>
      <c r="S465" s="3">
        <v>2340</v>
      </c>
      <c r="T465" s="3">
        <v>23213</v>
      </c>
      <c r="U465" s="3" t="str">
        <f t="shared" si="31"/>
        <v>Low</v>
      </c>
      <c r="V465">
        <v>1</v>
      </c>
      <c r="W465" t="s">
        <v>31</v>
      </c>
      <c r="X465" s="2">
        <v>18</v>
      </c>
      <c r="Y465" t="s">
        <v>60</v>
      </c>
      <c r="Z465" t="s">
        <v>61</v>
      </c>
      <c r="AA465">
        <v>0</v>
      </c>
      <c r="AB465">
        <v>1</v>
      </c>
      <c r="AC465">
        <v>3</v>
      </c>
      <c r="AD465">
        <v>1</v>
      </c>
      <c r="AE465">
        <v>1</v>
      </c>
      <c r="AF465">
        <v>0</v>
      </c>
      <c r="AG465">
        <v>0</v>
      </c>
      <c r="AH465">
        <v>0</v>
      </c>
      <c r="AI465" t="str">
        <f t="shared" si="28"/>
        <v>0-2 Years</v>
      </c>
      <c r="AJ465" t="str">
        <f t="shared" si="29"/>
        <v>0-2</v>
      </c>
    </row>
    <row r="466" spans="1:36" x14ac:dyDescent="0.35">
      <c r="A466">
        <v>465</v>
      </c>
      <c r="B466">
        <v>37</v>
      </c>
      <c r="C466" t="str">
        <f t="shared" si="30"/>
        <v>36-45</v>
      </c>
      <c r="D466" t="s">
        <v>38</v>
      </c>
      <c r="E466" t="s">
        <v>32</v>
      </c>
      <c r="F466" s="3">
        <v>1389</v>
      </c>
      <c r="G466" t="s">
        <v>40</v>
      </c>
      <c r="H466" s="1">
        <v>1</v>
      </c>
      <c r="I466" t="s">
        <v>61</v>
      </c>
      <c r="J466" t="s">
        <v>55</v>
      </c>
      <c r="K466" t="s">
        <v>61</v>
      </c>
      <c r="L466" t="s">
        <v>35</v>
      </c>
      <c r="M466" s="3">
        <v>59</v>
      </c>
      <c r="N466" t="s">
        <v>60</v>
      </c>
      <c r="O466" t="s">
        <v>60</v>
      </c>
      <c r="P466" t="s">
        <v>48</v>
      </c>
      <c r="Q466" t="s">
        <v>62</v>
      </c>
      <c r="R466" t="s">
        <v>37</v>
      </c>
      <c r="S466" s="3">
        <v>7491</v>
      </c>
      <c r="T466" s="3">
        <v>23848</v>
      </c>
      <c r="U466" s="3" t="str">
        <f t="shared" si="31"/>
        <v>Medium</v>
      </c>
      <c r="V466">
        <v>4</v>
      </c>
      <c r="W466" t="s">
        <v>38</v>
      </c>
      <c r="X466" s="2">
        <v>17</v>
      </c>
      <c r="Y466" t="s">
        <v>60</v>
      </c>
      <c r="Z466" t="s">
        <v>62</v>
      </c>
      <c r="AA466">
        <v>0</v>
      </c>
      <c r="AB466">
        <v>12</v>
      </c>
      <c r="AC466">
        <v>3</v>
      </c>
      <c r="AD466">
        <v>4</v>
      </c>
      <c r="AE466">
        <v>6</v>
      </c>
      <c r="AF466">
        <v>5</v>
      </c>
      <c r="AG466">
        <v>1</v>
      </c>
      <c r="AH466">
        <v>2</v>
      </c>
      <c r="AI466" t="str">
        <f t="shared" si="28"/>
        <v>6-10 Years</v>
      </c>
      <c r="AJ466" t="str">
        <f t="shared" si="29"/>
        <v>0-2</v>
      </c>
    </row>
    <row r="467" spans="1:36" x14ac:dyDescent="0.35">
      <c r="A467">
        <v>466</v>
      </c>
      <c r="B467">
        <v>46</v>
      </c>
      <c r="C467" t="str">
        <f t="shared" si="30"/>
        <v>46-55</v>
      </c>
      <c r="D467" t="s">
        <v>38</v>
      </c>
      <c r="E467" t="s">
        <v>39</v>
      </c>
      <c r="F467" s="3">
        <v>1389</v>
      </c>
      <c r="G467" t="s">
        <v>40</v>
      </c>
      <c r="H467" s="1">
        <v>18</v>
      </c>
      <c r="I467" t="s">
        <v>59</v>
      </c>
      <c r="J467" t="s">
        <v>46</v>
      </c>
      <c r="K467" t="s">
        <v>59</v>
      </c>
      <c r="L467" t="s">
        <v>35</v>
      </c>
      <c r="M467" s="3">
        <v>86</v>
      </c>
      <c r="N467" t="s">
        <v>60</v>
      </c>
      <c r="O467" t="s">
        <v>60</v>
      </c>
      <c r="P467" t="s">
        <v>49</v>
      </c>
      <c r="Q467" t="s">
        <v>60</v>
      </c>
      <c r="R467" t="s">
        <v>43</v>
      </c>
      <c r="S467" s="3">
        <v>10527</v>
      </c>
      <c r="T467" s="3">
        <v>8984</v>
      </c>
      <c r="U467" s="3" t="str">
        <f t="shared" si="31"/>
        <v>High</v>
      </c>
      <c r="V467">
        <v>5</v>
      </c>
      <c r="W467" t="s">
        <v>38</v>
      </c>
      <c r="X467" s="2">
        <v>11</v>
      </c>
      <c r="Y467" t="s">
        <v>60</v>
      </c>
      <c r="Z467" t="s">
        <v>62</v>
      </c>
      <c r="AA467">
        <v>0</v>
      </c>
      <c r="AB467">
        <v>28</v>
      </c>
      <c r="AC467">
        <v>3</v>
      </c>
      <c r="AD467">
        <v>2</v>
      </c>
      <c r="AE467">
        <v>2</v>
      </c>
      <c r="AF467">
        <v>2</v>
      </c>
      <c r="AG467">
        <v>1</v>
      </c>
      <c r="AH467">
        <v>2</v>
      </c>
      <c r="AI467" t="str">
        <f t="shared" si="28"/>
        <v>0-2 Years</v>
      </c>
      <c r="AJ467" t="str">
        <f t="shared" si="29"/>
        <v>0-2</v>
      </c>
    </row>
    <row r="468" spans="1:36" x14ac:dyDescent="0.35">
      <c r="A468">
        <v>467</v>
      </c>
      <c r="B468">
        <v>41</v>
      </c>
      <c r="C468" t="str">
        <f t="shared" si="30"/>
        <v>36-45</v>
      </c>
      <c r="D468" t="s">
        <v>38</v>
      </c>
      <c r="E468" t="s">
        <v>32</v>
      </c>
      <c r="F468" s="3">
        <v>1389</v>
      </c>
      <c r="G468" t="s">
        <v>33</v>
      </c>
      <c r="H468" s="1">
        <v>2</v>
      </c>
      <c r="I468" t="s">
        <v>62</v>
      </c>
      <c r="J468" t="s">
        <v>34</v>
      </c>
      <c r="K468" t="s">
        <v>61</v>
      </c>
      <c r="L468" t="s">
        <v>35</v>
      </c>
      <c r="M468" s="3">
        <v>91</v>
      </c>
      <c r="N468" t="s">
        <v>60</v>
      </c>
      <c r="O468" t="s">
        <v>62</v>
      </c>
      <c r="P468" t="s">
        <v>51</v>
      </c>
      <c r="Q468" t="s">
        <v>59</v>
      </c>
      <c r="R468" t="s">
        <v>43</v>
      </c>
      <c r="S468" s="3">
        <v>16595</v>
      </c>
      <c r="T468" s="3">
        <v>5626</v>
      </c>
      <c r="U468" s="3" t="str">
        <f t="shared" si="31"/>
        <v>High</v>
      </c>
      <c r="V468">
        <v>7</v>
      </c>
      <c r="W468" t="s">
        <v>38</v>
      </c>
      <c r="X468" s="2">
        <v>16</v>
      </c>
      <c r="Y468" t="s">
        <v>60</v>
      </c>
      <c r="Z468" t="s">
        <v>61</v>
      </c>
      <c r="AA468">
        <v>1</v>
      </c>
      <c r="AB468">
        <v>22</v>
      </c>
      <c r="AC468">
        <v>2</v>
      </c>
      <c r="AD468">
        <v>3</v>
      </c>
      <c r="AE468">
        <v>18</v>
      </c>
      <c r="AF468">
        <v>16</v>
      </c>
      <c r="AG468">
        <v>11</v>
      </c>
      <c r="AH468">
        <v>8</v>
      </c>
      <c r="AI468" t="str">
        <f t="shared" si="28"/>
        <v>10+ Years</v>
      </c>
      <c r="AJ468" t="str">
        <f t="shared" si="29"/>
        <v>6+</v>
      </c>
    </row>
    <row r="469" spans="1:36" x14ac:dyDescent="0.35">
      <c r="A469">
        <v>468</v>
      </c>
      <c r="B469">
        <v>37</v>
      </c>
      <c r="C469" t="str">
        <f t="shared" si="30"/>
        <v>36-45</v>
      </c>
      <c r="D469" t="s">
        <v>38</v>
      </c>
      <c r="E469" t="s">
        <v>50</v>
      </c>
      <c r="F469" s="3">
        <v>1389</v>
      </c>
      <c r="G469" t="s">
        <v>33</v>
      </c>
      <c r="H469" s="1">
        <v>9</v>
      </c>
      <c r="I469" t="s">
        <v>60</v>
      </c>
      <c r="J469" t="s">
        <v>46</v>
      </c>
      <c r="K469" t="s">
        <v>59</v>
      </c>
      <c r="L469" t="s">
        <v>41</v>
      </c>
      <c r="M469" s="3">
        <v>69</v>
      </c>
      <c r="N469" t="s">
        <v>60</v>
      </c>
      <c r="O469" t="s">
        <v>60</v>
      </c>
      <c r="P469" t="s">
        <v>36</v>
      </c>
      <c r="Q469" t="s">
        <v>61</v>
      </c>
      <c r="R469" t="s">
        <v>47</v>
      </c>
      <c r="S469" s="3">
        <v>8834</v>
      </c>
      <c r="T469" s="3">
        <v>24666</v>
      </c>
      <c r="U469" s="3" t="str">
        <f t="shared" si="31"/>
        <v>Medium</v>
      </c>
      <c r="V469">
        <v>1</v>
      </c>
      <c r="W469" t="s">
        <v>38</v>
      </c>
      <c r="X469" s="2">
        <v>13</v>
      </c>
      <c r="Y469" t="s">
        <v>60</v>
      </c>
      <c r="Z469" t="s">
        <v>62</v>
      </c>
      <c r="AA469">
        <v>1</v>
      </c>
      <c r="AB469">
        <v>9</v>
      </c>
      <c r="AC469">
        <v>6</v>
      </c>
      <c r="AD469">
        <v>3</v>
      </c>
      <c r="AE469">
        <v>9</v>
      </c>
      <c r="AF469">
        <v>5</v>
      </c>
      <c r="AG469">
        <v>7</v>
      </c>
      <c r="AH469">
        <v>7</v>
      </c>
      <c r="AI469" t="str">
        <f t="shared" si="28"/>
        <v>6-10 Years</v>
      </c>
      <c r="AJ469" t="str">
        <f t="shared" si="29"/>
        <v>6+</v>
      </c>
    </row>
    <row r="470" spans="1:36" x14ac:dyDescent="0.35">
      <c r="A470">
        <v>469</v>
      </c>
      <c r="B470">
        <v>52</v>
      </c>
      <c r="C470" t="str">
        <f t="shared" si="30"/>
        <v>46-55</v>
      </c>
      <c r="D470" t="s">
        <v>38</v>
      </c>
      <c r="E470" t="s">
        <v>32</v>
      </c>
      <c r="F470" s="3">
        <v>1389</v>
      </c>
      <c r="G470" t="s">
        <v>40</v>
      </c>
      <c r="H470" s="1">
        <v>6</v>
      </c>
      <c r="I470" t="s">
        <v>58</v>
      </c>
      <c r="J470" t="s">
        <v>55</v>
      </c>
      <c r="K470" t="s">
        <v>62</v>
      </c>
      <c r="L470" t="s">
        <v>41</v>
      </c>
      <c r="M470" s="3">
        <v>78</v>
      </c>
      <c r="N470" t="s">
        <v>60</v>
      </c>
      <c r="O470" t="s">
        <v>61</v>
      </c>
      <c r="P470" t="s">
        <v>42</v>
      </c>
      <c r="Q470" t="s">
        <v>59</v>
      </c>
      <c r="R470" t="s">
        <v>47</v>
      </c>
      <c r="S470" s="3">
        <v>5577</v>
      </c>
      <c r="T470" s="3">
        <v>22087</v>
      </c>
      <c r="U470" s="3" t="str">
        <f t="shared" si="31"/>
        <v>Medium</v>
      </c>
      <c r="V470">
        <v>3</v>
      </c>
      <c r="W470" t="s">
        <v>31</v>
      </c>
      <c r="X470" s="2">
        <v>12</v>
      </c>
      <c r="Y470" t="s">
        <v>60</v>
      </c>
      <c r="Z470" t="s">
        <v>61</v>
      </c>
      <c r="AA470">
        <v>2</v>
      </c>
      <c r="AB470">
        <v>18</v>
      </c>
      <c r="AC470">
        <v>3</v>
      </c>
      <c r="AD470">
        <v>3</v>
      </c>
      <c r="AE470">
        <v>10</v>
      </c>
      <c r="AF470">
        <v>9</v>
      </c>
      <c r="AG470">
        <v>6</v>
      </c>
      <c r="AH470">
        <v>9</v>
      </c>
      <c r="AI470" t="str">
        <f t="shared" si="28"/>
        <v>6-10 Years</v>
      </c>
      <c r="AJ470" t="str">
        <f t="shared" si="29"/>
        <v>6+</v>
      </c>
    </row>
    <row r="471" spans="1:36" x14ac:dyDescent="0.35">
      <c r="A471">
        <v>470</v>
      </c>
      <c r="B471">
        <v>32</v>
      </c>
      <c r="C471" t="str">
        <f t="shared" si="30"/>
        <v>26-35</v>
      </c>
      <c r="D471" t="s">
        <v>31</v>
      </c>
      <c r="E471" t="s">
        <v>50</v>
      </c>
      <c r="F471" s="3">
        <v>1389</v>
      </c>
      <c r="G471" t="s">
        <v>33</v>
      </c>
      <c r="H471" s="1">
        <v>11</v>
      </c>
      <c r="I471" t="s">
        <v>60</v>
      </c>
      <c r="J471" t="s">
        <v>44</v>
      </c>
      <c r="K471" t="s">
        <v>62</v>
      </c>
      <c r="L471" t="s">
        <v>41</v>
      </c>
      <c r="M471" s="3">
        <v>60</v>
      </c>
      <c r="N471" t="s">
        <v>62</v>
      </c>
      <c r="O471" t="s">
        <v>61</v>
      </c>
      <c r="P471" t="s">
        <v>36</v>
      </c>
      <c r="Q471" t="s">
        <v>60</v>
      </c>
      <c r="R471" t="s">
        <v>43</v>
      </c>
      <c r="S471" s="3">
        <v>4707</v>
      </c>
      <c r="T471" s="3">
        <v>23914</v>
      </c>
      <c r="U471" s="3" t="str">
        <f t="shared" si="31"/>
        <v>Low</v>
      </c>
      <c r="V471">
        <v>8</v>
      </c>
      <c r="W471" t="s">
        <v>38</v>
      </c>
      <c r="X471" s="2">
        <v>12</v>
      </c>
      <c r="Y471" t="s">
        <v>60</v>
      </c>
      <c r="Z471" t="s">
        <v>62</v>
      </c>
      <c r="AA471">
        <v>0</v>
      </c>
      <c r="AB471">
        <v>6</v>
      </c>
      <c r="AC471">
        <v>2</v>
      </c>
      <c r="AD471">
        <v>3</v>
      </c>
      <c r="AE471">
        <v>4</v>
      </c>
      <c r="AF471">
        <v>2</v>
      </c>
      <c r="AG471">
        <v>1</v>
      </c>
      <c r="AH471">
        <v>2</v>
      </c>
      <c r="AI471" t="str">
        <f t="shared" si="28"/>
        <v>3-5 Years</v>
      </c>
      <c r="AJ471" t="str">
        <f t="shared" si="29"/>
        <v>0-2</v>
      </c>
    </row>
    <row r="472" spans="1:36" x14ac:dyDescent="0.35">
      <c r="A472">
        <v>471</v>
      </c>
      <c r="B472">
        <v>24</v>
      </c>
      <c r="C472" t="str">
        <f t="shared" si="30"/>
        <v>18-25</v>
      </c>
      <c r="D472" t="s">
        <v>38</v>
      </c>
      <c r="E472" t="s">
        <v>39</v>
      </c>
      <c r="F472" s="3">
        <v>1389</v>
      </c>
      <c r="G472" t="s">
        <v>33</v>
      </c>
      <c r="H472" s="1">
        <v>24</v>
      </c>
      <c r="I472" t="s">
        <v>61</v>
      </c>
      <c r="J472" t="s">
        <v>46</v>
      </c>
      <c r="K472" t="s">
        <v>62</v>
      </c>
      <c r="L472" t="s">
        <v>41</v>
      </c>
      <c r="M472" s="3">
        <v>38</v>
      </c>
      <c r="N472" t="s">
        <v>60</v>
      </c>
      <c r="O472" t="s">
        <v>59</v>
      </c>
      <c r="P472" t="s">
        <v>52</v>
      </c>
      <c r="Q472" t="s">
        <v>62</v>
      </c>
      <c r="R472" t="s">
        <v>43</v>
      </c>
      <c r="S472" s="3">
        <v>2400</v>
      </c>
      <c r="T472" s="3">
        <v>5530</v>
      </c>
      <c r="U472" s="3" t="str">
        <f t="shared" si="31"/>
        <v>Low</v>
      </c>
      <c r="V472">
        <v>0</v>
      </c>
      <c r="W472" t="s">
        <v>38</v>
      </c>
      <c r="X472" s="2">
        <v>13</v>
      </c>
      <c r="Y472" t="s">
        <v>60</v>
      </c>
      <c r="Z472" t="s">
        <v>60</v>
      </c>
      <c r="AA472">
        <v>2</v>
      </c>
      <c r="AB472">
        <v>3</v>
      </c>
      <c r="AC472">
        <v>3</v>
      </c>
      <c r="AD472">
        <v>3</v>
      </c>
      <c r="AE472">
        <v>2</v>
      </c>
      <c r="AF472">
        <v>2</v>
      </c>
      <c r="AG472">
        <v>2</v>
      </c>
      <c r="AH472">
        <v>1</v>
      </c>
      <c r="AI472" t="str">
        <f t="shared" si="28"/>
        <v>0-2 Years</v>
      </c>
      <c r="AJ472" t="str">
        <f t="shared" si="29"/>
        <v>0-2</v>
      </c>
    </row>
    <row r="473" spans="1:36" x14ac:dyDescent="0.35">
      <c r="A473">
        <v>472</v>
      </c>
      <c r="B473">
        <v>38</v>
      </c>
      <c r="C473" t="str">
        <f t="shared" si="30"/>
        <v>36-45</v>
      </c>
      <c r="D473" t="s">
        <v>38</v>
      </c>
      <c r="E473" t="s">
        <v>32</v>
      </c>
      <c r="F473" s="3">
        <v>1389</v>
      </c>
      <c r="G473" t="s">
        <v>40</v>
      </c>
      <c r="H473" s="1">
        <v>10</v>
      </c>
      <c r="I473" t="s">
        <v>61</v>
      </c>
      <c r="J473" t="s">
        <v>46</v>
      </c>
      <c r="K473" t="s">
        <v>60</v>
      </c>
      <c r="L473" t="s">
        <v>35</v>
      </c>
      <c r="M473" s="3">
        <v>76</v>
      </c>
      <c r="N473" t="s">
        <v>60</v>
      </c>
      <c r="O473" t="s">
        <v>61</v>
      </c>
      <c r="P473" t="s">
        <v>49</v>
      </c>
      <c r="Q473" t="s">
        <v>60</v>
      </c>
      <c r="R473" t="s">
        <v>43</v>
      </c>
      <c r="S473" s="3">
        <v>9824</v>
      </c>
      <c r="T473" s="3">
        <v>22174</v>
      </c>
      <c r="U473" s="3" t="str">
        <f t="shared" si="31"/>
        <v>Medium</v>
      </c>
      <c r="V473">
        <v>3</v>
      </c>
      <c r="W473" t="s">
        <v>38</v>
      </c>
      <c r="X473" s="2">
        <v>19</v>
      </c>
      <c r="Y473" t="s">
        <v>60</v>
      </c>
      <c r="Z473" t="s">
        <v>60</v>
      </c>
      <c r="AA473">
        <v>1</v>
      </c>
      <c r="AB473">
        <v>18</v>
      </c>
      <c r="AC473">
        <v>4</v>
      </c>
      <c r="AD473">
        <v>3</v>
      </c>
      <c r="AE473">
        <v>1</v>
      </c>
      <c r="AF473">
        <v>0</v>
      </c>
      <c r="AG473">
        <v>0</v>
      </c>
      <c r="AH473">
        <v>0</v>
      </c>
      <c r="AI473" t="str">
        <f t="shared" si="28"/>
        <v>0-2 Years</v>
      </c>
      <c r="AJ473" t="str">
        <f t="shared" si="29"/>
        <v>0-2</v>
      </c>
    </row>
    <row r="474" spans="1:36" x14ac:dyDescent="0.35">
      <c r="A474">
        <v>473</v>
      </c>
      <c r="B474">
        <v>37</v>
      </c>
      <c r="C474" t="str">
        <f t="shared" si="30"/>
        <v>36-45</v>
      </c>
      <c r="D474" t="s">
        <v>38</v>
      </c>
      <c r="E474" t="s">
        <v>32</v>
      </c>
      <c r="F474" s="3">
        <v>1389</v>
      </c>
      <c r="G474" t="s">
        <v>40</v>
      </c>
      <c r="H474" s="1">
        <v>1</v>
      </c>
      <c r="I474" t="s">
        <v>60</v>
      </c>
      <c r="J474" t="s">
        <v>34</v>
      </c>
      <c r="K474" t="s">
        <v>61</v>
      </c>
      <c r="L474" t="s">
        <v>35</v>
      </c>
      <c r="M474" s="3">
        <v>65</v>
      </c>
      <c r="N474" t="s">
        <v>60</v>
      </c>
      <c r="O474" t="s">
        <v>61</v>
      </c>
      <c r="P474" t="s">
        <v>48</v>
      </c>
      <c r="Q474" t="s">
        <v>61</v>
      </c>
      <c r="R474" t="s">
        <v>43</v>
      </c>
      <c r="S474" s="3">
        <v>6447</v>
      </c>
      <c r="T474" s="3">
        <v>15701</v>
      </c>
      <c r="U474" s="3" t="str">
        <f t="shared" si="31"/>
        <v>Medium</v>
      </c>
      <c r="V474">
        <v>6</v>
      </c>
      <c r="W474" t="s">
        <v>38</v>
      </c>
      <c r="X474" s="2">
        <v>12</v>
      </c>
      <c r="Y474" t="s">
        <v>60</v>
      </c>
      <c r="Z474" t="s">
        <v>61</v>
      </c>
      <c r="AA474">
        <v>1</v>
      </c>
      <c r="AB474">
        <v>8</v>
      </c>
      <c r="AC474">
        <v>2</v>
      </c>
      <c r="AD474">
        <v>2</v>
      </c>
      <c r="AE474">
        <v>6</v>
      </c>
      <c r="AF474">
        <v>5</v>
      </c>
      <c r="AG474">
        <v>4</v>
      </c>
      <c r="AH474">
        <v>3</v>
      </c>
      <c r="AI474" t="str">
        <f t="shared" si="28"/>
        <v>6-10 Years</v>
      </c>
      <c r="AJ474" t="str">
        <f t="shared" si="29"/>
        <v>3-5</v>
      </c>
    </row>
    <row r="475" spans="1:36" x14ac:dyDescent="0.35">
      <c r="A475">
        <v>474</v>
      </c>
      <c r="B475">
        <v>49</v>
      </c>
      <c r="C475" t="str">
        <f t="shared" si="30"/>
        <v>46-55</v>
      </c>
      <c r="D475" t="s">
        <v>38</v>
      </c>
      <c r="E475" t="s">
        <v>32</v>
      </c>
      <c r="F475" s="3">
        <v>1389</v>
      </c>
      <c r="G475" t="s">
        <v>40</v>
      </c>
      <c r="H475" s="1">
        <v>18</v>
      </c>
      <c r="I475" t="s">
        <v>60</v>
      </c>
      <c r="J475" t="s">
        <v>34</v>
      </c>
      <c r="K475" t="s">
        <v>62</v>
      </c>
      <c r="L475" t="s">
        <v>41</v>
      </c>
      <c r="M475" s="3">
        <v>58</v>
      </c>
      <c r="N475" t="s">
        <v>61</v>
      </c>
      <c r="O475" t="e">
        <v>#N/A</v>
      </c>
      <c r="P475" t="s">
        <v>53</v>
      </c>
      <c r="Q475" t="s">
        <v>60</v>
      </c>
      <c r="R475" t="s">
        <v>47</v>
      </c>
      <c r="S475" s="3">
        <v>19502</v>
      </c>
      <c r="T475" s="3">
        <v>2125</v>
      </c>
      <c r="U475" s="3" t="str">
        <f t="shared" si="31"/>
        <v>High</v>
      </c>
      <c r="V475">
        <v>1</v>
      </c>
      <c r="W475" t="s">
        <v>31</v>
      </c>
      <c r="X475" s="2">
        <v>17</v>
      </c>
      <c r="Y475" t="s">
        <v>60</v>
      </c>
      <c r="Z475" t="s">
        <v>60</v>
      </c>
      <c r="AA475">
        <v>1</v>
      </c>
      <c r="AB475">
        <v>31</v>
      </c>
      <c r="AC475">
        <v>5</v>
      </c>
      <c r="AD475">
        <v>3</v>
      </c>
      <c r="AE475">
        <v>31</v>
      </c>
      <c r="AF475">
        <v>9</v>
      </c>
      <c r="AG475">
        <v>0</v>
      </c>
      <c r="AH475">
        <v>9</v>
      </c>
      <c r="AI475" t="str">
        <f t="shared" si="28"/>
        <v>10+ Years</v>
      </c>
      <c r="AJ475" t="str">
        <f t="shared" si="29"/>
        <v>0-2</v>
      </c>
    </row>
    <row r="476" spans="1:36" x14ac:dyDescent="0.35">
      <c r="A476">
        <v>475</v>
      </c>
      <c r="B476">
        <v>24</v>
      </c>
      <c r="C476" t="str">
        <f t="shared" si="30"/>
        <v>18-25</v>
      </c>
      <c r="D476" t="s">
        <v>38</v>
      </c>
      <c r="E476" t="s">
        <v>32</v>
      </c>
      <c r="F476" s="3">
        <v>1389</v>
      </c>
      <c r="G476" t="s">
        <v>40</v>
      </c>
      <c r="H476" s="1">
        <v>23</v>
      </c>
      <c r="I476" t="s">
        <v>61</v>
      </c>
      <c r="J476" t="s">
        <v>46</v>
      </c>
      <c r="K476" t="s">
        <v>61</v>
      </c>
      <c r="L476" t="s">
        <v>41</v>
      </c>
      <c r="M476" s="3">
        <v>89</v>
      </c>
      <c r="N476" t="s">
        <v>62</v>
      </c>
      <c r="O476" t="s">
        <v>59</v>
      </c>
      <c r="P476" t="s">
        <v>42</v>
      </c>
      <c r="Q476" t="s">
        <v>62</v>
      </c>
      <c r="R476" t="s">
        <v>43</v>
      </c>
      <c r="S476" s="3">
        <v>2725</v>
      </c>
      <c r="T476" s="3">
        <v>21630</v>
      </c>
      <c r="U476" s="3" t="str">
        <f t="shared" si="31"/>
        <v>Low</v>
      </c>
      <c r="V476">
        <v>1</v>
      </c>
      <c r="W476" t="s">
        <v>31</v>
      </c>
      <c r="X476" s="2">
        <v>11</v>
      </c>
      <c r="Y476" t="s">
        <v>60</v>
      </c>
      <c r="Z476" t="s">
        <v>61</v>
      </c>
      <c r="AA476">
        <v>2</v>
      </c>
      <c r="AB476">
        <v>6</v>
      </c>
      <c r="AC476">
        <v>3</v>
      </c>
      <c r="AD476">
        <v>3</v>
      </c>
      <c r="AE476">
        <v>6</v>
      </c>
      <c r="AF476">
        <v>5</v>
      </c>
      <c r="AG476">
        <v>1</v>
      </c>
      <c r="AH476">
        <v>4</v>
      </c>
      <c r="AI476" t="str">
        <f t="shared" si="28"/>
        <v>6-10 Years</v>
      </c>
      <c r="AJ476" t="str">
        <f t="shared" si="29"/>
        <v>0-2</v>
      </c>
    </row>
    <row r="477" spans="1:36" x14ac:dyDescent="0.35">
      <c r="A477">
        <v>476</v>
      </c>
      <c r="B477">
        <v>26</v>
      </c>
      <c r="C477" t="str">
        <f t="shared" si="30"/>
        <v>26-35</v>
      </c>
      <c r="D477" t="s">
        <v>38</v>
      </c>
      <c r="E477" t="s">
        <v>32</v>
      </c>
      <c r="F477" s="3">
        <v>1389</v>
      </c>
      <c r="G477" t="s">
        <v>33</v>
      </c>
      <c r="H477" s="1">
        <v>28</v>
      </c>
      <c r="I477" t="s">
        <v>58</v>
      </c>
      <c r="J477" t="s">
        <v>54</v>
      </c>
      <c r="K477" t="s">
        <v>59</v>
      </c>
      <c r="L477" t="s">
        <v>41</v>
      </c>
      <c r="M477" s="3">
        <v>66</v>
      </c>
      <c r="N477" t="s">
        <v>60</v>
      </c>
      <c r="O477" t="s">
        <v>61</v>
      </c>
      <c r="P477" t="s">
        <v>36</v>
      </c>
      <c r="Q477" t="s">
        <v>61</v>
      </c>
      <c r="R477" t="s">
        <v>43</v>
      </c>
      <c r="S477" s="3">
        <v>6272</v>
      </c>
      <c r="T477" s="3">
        <v>7428</v>
      </c>
      <c r="U477" s="3" t="str">
        <f t="shared" si="31"/>
        <v>Medium</v>
      </c>
      <c r="V477">
        <v>1</v>
      </c>
      <c r="W477" t="s">
        <v>38</v>
      </c>
      <c r="X477" s="2">
        <v>20</v>
      </c>
      <c r="Y477" t="s">
        <v>62</v>
      </c>
      <c r="Z477" t="s">
        <v>62</v>
      </c>
      <c r="AA477">
        <v>2</v>
      </c>
      <c r="AB477">
        <v>6</v>
      </c>
      <c r="AC477">
        <v>5</v>
      </c>
      <c r="AD477">
        <v>4</v>
      </c>
      <c r="AE477">
        <v>5</v>
      </c>
      <c r="AF477">
        <v>3</v>
      </c>
      <c r="AG477">
        <v>1</v>
      </c>
      <c r="AH477">
        <v>4</v>
      </c>
      <c r="AI477" t="str">
        <f t="shared" si="28"/>
        <v>3-5 Years</v>
      </c>
      <c r="AJ477" t="str">
        <f t="shared" si="29"/>
        <v>0-2</v>
      </c>
    </row>
    <row r="478" spans="1:36" x14ac:dyDescent="0.35">
      <c r="A478">
        <v>477</v>
      </c>
      <c r="B478">
        <v>24</v>
      </c>
      <c r="C478" t="str">
        <f t="shared" si="30"/>
        <v>18-25</v>
      </c>
      <c r="D478" t="s">
        <v>38</v>
      </c>
      <c r="E478" t="s">
        <v>32</v>
      </c>
      <c r="F478" s="3">
        <v>1389</v>
      </c>
      <c r="G478" t="s">
        <v>40</v>
      </c>
      <c r="H478" s="1">
        <v>17</v>
      </c>
      <c r="I478" t="s">
        <v>58</v>
      </c>
      <c r="J478" t="s">
        <v>44</v>
      </c>
      <c r="K478" t="s">
        <v>62</v>
      </c>
      <c r="L478" t="s">
        <v>41</v>
      </c>
      <c r="M478" s="3">
        <v>94</v>
      </c>
      <c r="N478" t="s">
        <v>61</v>
      </c>
      <c r="O478" t="s">
        <v>59</v>
      </c>
      <c r="P478" t="s">
        <v>45</v>
      </c>
      <c r="Q478" t="s">
        <v>61</v>
      </c>
      <c r="R478" t="s">
        <v>43</v>
      </c>
      <c r="S478" s="3">
        <v>2127</v>
      </c>
      <c r="T478" s="3">
        <v>9100</v>
      </c>
      <c r="U478" s="3" t="str">
        <f t="shared" si="31"/>
        <v>Low</v>
      </c>
      <c r="V478">
        <v>1</v>
      </c>
      <c r="W478" t="s">
        <v>38</v>
      </c>
      <c r="X478" s="2">
        <v>21</v>
      </c>
      <c r="Y478" t="s">
        <v>62</v>
      </c>
      <c r="Z478" t="s">
        <v>62</v>
      </c>
      <c r="AA478">
        <v>1</v>
      </c>
      <c r="AB478">
        <v>1</v>
      </c>
      <c r="AC478">
        <v>2</v>
      </c>
      <c r="AD478">
        <v>3</v>
      </c>
      <c r="AE478">
        <v>1</v>
      </c>
      <c r="AF478">
        <v>0</v>
      </c>
      <c r="AG478">
        <v>0</v>
      </c>
      <c r="AH478">
        <v>0</v>
      </c>
      <c r="AI478" t="str">
        <f t="shared" si="28"/>
        <v>0-2 Years</v>
      </c>
      <c r="AJ478" t="str">
        <f t="shared" si="29"/>
        <v>0-2</v>
      </c>
    </row>
    <row r="479" spans="1:36" x14ac:dyDescent="0.35">
      <c r="A479">
        <v>478</v>
      </c>
      <c r="B479">
        <v>50</v>
      </c>
      <c r="C479" t="str">
        <f t="shared" si="30"/>
        <v>46-55</v>
      </c>
      <c r="D479" t="s">
        <v>38</v>
      </c>
      <c r="E479" t="s">
        <v>39</v>
      </c>
      <c r="F479" s="3">
        <v>1389</v>
      </c>
      <c r="G479" t="s">
        <v>56</v>
      </c>
      <c r="H479" s="1">
        <v>3</v>
      </c>
      <c r="I479" t="s">
        <v>61</v>
      </c>
      <c r="J479" t="s">
        <v>46</v>
      </c>
      <c r="K479" t="s">
        <v>59</v>
      </c>
      <c r="L479" t="s">
        <v>41</v>
      </c>
      <c r="M479" s="3">
        <v>99</v>
      </c>
      <c r="N479" t="s">
        <v>60</v>
      </c>
      <c r="O479" t="e">
        <v>#N/A</v>
      </c>
      <c r="P479" t="s">
        <v>51</v>
      </c>
      <c r="Q479" t="s">
        <v>61</v>
      </c>
      <c r="R479" t="s">
        <v>43</v>
      </c>
      <c r="S479" s="3">
        <v>18200</v>
      </c>
      <c r="T479" s="3">
        <v>7999</v>
      </c>
      <c r="U479" s="3" t="str">
        <f t="shared" si="31"/>
        <v>High</v>
      </c>
      <c r="V479">
        <v>1</v>
      </c>
      <c r="W479" t="s">
        <v>38</v>
      </c>
      <c r="X479" s="2">
        <v>11</v>
      </c>
      <c r="Y479" t="s">
        <v>60</v>
      </c>
      <c r="Z479" t="s">
        <v>60</v>
      </c>
      <c r="AA479">
        <v>1</v>
      </c>
      <c r="AB479">
        <v>32</v>
      </c>
      <c r="AC479">
        <v>2</v>
      </c>
      <c r="AD479">
        <v>3</v>
      </c>
      <c r="AE479">
        <v>32</v>
      </c>
      <c r="AF479">
        <v>5</v>
      </c>
      <c r="AG479">
        <v>10</v>
      </c>
      <c r="AH479">
        <v>7</v>
      </c>
      <c r="AI479" t="str">
        <f t="shared" si="28"/>
        <v>10+ Years</v>
      </c>
      <c r="AJ479" t="str">
        <f t="shared" si="29"/>
        <v>6+</v>
      </c>
    </row>
    <row r="480" spans="1:36" x14ac:dyDescent="0.35">
      <c r="A480">
        <v>479</v>
      </c>
      <c r="B480">
        <v>25</v>
      </c>
      <c r="C480" t="str">
        <f t="shared" si="30"/>
        <v>18-25</v>
      </c>
      <c r="D480" t="s">
        <v>38</v>
      </c>
      <c r="E480" t="s">
        <v>32</v>
      </c>
      <c r="F480" s="3">
        <v>1389</v>
      </c>
      <c r="G480" t="s">
        <v>33</v>
      </c>
      <c r="H480" s="1">
        <v>13</v>
      </c>
      <c r="I480" t="s">
        <v>59</v>
      </c>
      <c r="J480" t="s">
        <v>46</v>
      </c>
      <c r="K480" t="s">
        <v>61</v>
      </c>
      <c r="L480" t="s">
        <v>41</v>
      </c>
      <c r="M480" s="3">
        <v>40</v>
      </c>
      <c r="N480" t="s">
        <v>60</v>
      </c>
      <c r="O480" t="s">
        <v>59</v>
      </c>
      <c r="P480" t="s">
        <v>52</v>
      </c>
      <c r="Q480" t="s">
        <v>60</v>
      </c>
      <c r="R480" t="s">
        <v>43</v>
      </c>
      <c r="S480" s="3">
        <v>2096</v>
      </c>
      <c r="T480" s="3">
        <v>26376</v>
      </c>
      <c r="U480" s="3" t="str">
        <f t="shared" si="31"/>
        <v>Low</v>
      </c>
      <c r="V480">
        <v>1</v>
      </c>
      <c r="W480" t="s">
        <v>38</v>
      </c>
      <c r="X480" s="2">
        <v>11</v>
      </c>
      <c r="Y480" t="s">
        <v>60</v>
      </c>
      <c r="Z480" t="s">
        <v>60</v>
      </c>
      <c r="AA480">
        <v>0</v>
      </c>
      <c r="AB480">
        <v>7</v>
      </c>
      <c r="AC480">
        <v>1</v>
      </c>
      <c r="AD480">
        <v>3</v>
      </c>
      <c r="AE480">
        <v>7</v>
      </c>
      <c r="AF480">
        <v>4</v>
      </c>
      <c r="AG480">
        <v>0</v>
      </c>
      <c r="AH480">
        <v>6</v>
      </c>
      <c r="AI480" t="str">
        <f t="shared" si="28"/>
        <v>6-10 Years</v>
      </c>
      <c r="AJ480" t="str">
        <f t="shared" si="29"/>
        <v>0-2</v>
      </c>
    </row>
    <row r="481" spans="1:36" x14ac:dyDescent="0.35">
      <c r="A481">
        <v>480</v>
      </c>
      <c r="B481">
        <v>24</v>
      </c>
      <c r="C481" t="str">
        <f t="shared" si="30"/>
        <v>18-25</v>
      </c>
      <c r="D481" t="s">
        <v>31</v>
      </c>
      <c r="E481" t="s">
        <v>39</v>
      </c>
      <c r="F481" s="3">
        <v>1389</v>
      </c>
      <c r="G481" t="s">
        <v>40</v>
      </c>
      <c r="H481" s="1">
        <v>7</v>
      </c>
      <c r="I481" t="s">
        <v>61</v>
      </c>
      <c r="J481" t="s">
        <v>34</v>
      </c>
      <c r="K481" t="s">
        <v>59</v>
      </c>
      <c r="L481" t="s">
        <v>35</v>
      </c>
      <c r="M481" s="3">
        <v>55</v>
      </c>
      <c r="N481" t="s">
        <v>60</v>
      </c>
      <c r="O481" t="s">
        <v>59</v>
      </c>
      <c r="P481" t="s">
        <v>45</v>
      </c>
      <c r="Q481" t="s">
        <v>60</v>
      </c>
      <c r="R481" t="s">
        <v>43</v>
      </c>
      <c r="S481" s="3">
        <v>2886</v>
      </c>
      <c r="T481" s="3">
        <v>14168</v>
      </c>
      <c r="U481" s="3" t="str">
        <f t="shared" si="31"/>
        <v>Low</v>
      </c>
      <c r="V481">
        <v>1</v>
      </c>
      <c r="W481" t="s">
        <v>31</v>
      </c>
      <c r="X481" s="2">
        <v>16</v>
      </c>
      <c r="Y481" t="s">
        <v>60</v>
      </c>
      <c r="Z481" t="s">
        <v>62</v>
      </c>
      <c r="AA481">
        <v>1</v>
      </c>
      <c r="AB481">
        <v>6</v>
      </c>
      <c r="AC481">
        <v>4</v>
      </c>
      <c r="AD481">
        <v>3</v>
      </c>
      <c r="AE481">
        <v>6</v>
      </c>
      <c r="AF481">
        <v>3</v>
      </c>
      <c r="AG481">
        <v>1</v>
      </c>
      <c r="AH481">
        <v>2</v>
      </c>
      <c r="AI481" t="str">
        <f t="shared" si="28"/>
        <v>6-10 Years</v>
      </c>
      <c r="AJ481" t="str">
        <f t="shared" si="29"/>
        <v>0-2</v>
      </c>
    </row>
    <row r="482" spans="1:36" x14ac:dyDescent="0.35">
      <c r="A482">
        <v>481</v>
      </c>
      <c r="B482">
        <v>30</v>
      </c>
      <c r="C482" t="str">
        <f t="shared" si="30"/>
        <v>26-35</v>
      </c>
      <c r="D482" t="s">
        <v>31</v>
      </c>
      <c r="E482" t="s">
        <v>39</v>
      </c>
      <c r="F482" s="3">
        <v>1389</v>
      </c>
      <c r="G482" t="s">
        <v>33</v>
      </c>
      <c r="H482" s="1">
        <v>12</v>
      </c>
      <c r="I482" t="s">
        <v>60</v>
      </c>
      <c r="J482" t="s">
        <v>34</v>
      </c>
      <c r="K482" t="s">
        <v>61</v>
      </c>
      <c r="L482" t="s">
        <v>41</v>
      </c>
      <c r="M482" s="3">
        <v>74</v>
      </c>
      <c r="N482" t="s">
        <v>61</v>
      </c>
      <c r="O482" t="s">
        <v>59</v>
      </c>
      <c r="P482" t="s">
        <v>52</v>
      </c>
      <c r="Q482" t="s">
        <v>59</v>
      </c>
      <c r="R482" t="s">
        <v>43</v>
      </c>
      <c r="S482" s="3">
        <v>2033</v>
      </c>
      <c r="T482" s="3">
        <v>14470</v>
      </c>
      <c r="U482" s="3" t="str">
        <f t="shared" si="31"/>
        <v>Low</v>
      </c>
      <c r="V482">
        <v>1</v>
      </c>
      <c r="W482" t="s">
        <v>38</v>
      </c>
      <c r="X482" s="2">
        <v>18</v>
      </c>
      <c r="Y482" t="s">
        <v>60</v>
      </c>
      <c r="Z482" t="s">
        <v>60</v>
      </c>
      <c r="AA482">
        <v>1</v>
      </c>
      <c r="AB482">
        <v>1</v>
      </c>
      <c r="AC482">
        <v>2</v>
      </c>
      <c r="AD482">
        <v>4</v>
      </c>
      <c r="AE482">
        <v>1</v>
      </c>
      <c r="AF482">
        <v>0</v>
      </c>
      <c r="AG482">
        <v>0</v>
      </c>
      <c r="AH482">
        <v>0</v>
      </c>
      <c r="AI482" t="str">
        <f t="shared" si="28"/>
        <v>0-2 Years</v>
      </c>
      <c r="AJ482" t="str">
        <f t="shared" si="29"/>
        <v>0-2</v>
      </c>
    </row>
    <row r="483" spans="1:36" x14ac:dyDescent="0.35">
      <c r="A483">
        <v>482</v>
      </c>
      <c r="B483">
        <v>34</v>
      </c>
      <c r="C483" t="str">
        <f t="shared" si="30"/>
        <v>26-35</v>
      </c>
      <c r="D483" t="s">
        <v>38</v>
      </c>
      <c r="E483" t="s">
        <v>32</v>
      </c>
      <c r="F483" s="3">
        <v>1389</v>
      </c>
      <c r="G483" t="s">
        <v>40</v>
      </c>
      <c r="H483" s="1">
        <v>1</v>
      </c>
      <c r="I483" t="s">
        <v>58</v>
      </c>
      <c r="J483" t="s">
        <v>34</v>
      </c>
      <c r="K483" t="s">
        <v>61</v>
      </c>
      <c r="L483" t="s">
        <v>41</v>
      </c>
      <c r="M483" s="3">
        <v>83</v>
      </c>
      <c r="N483" t="s">
        <v>61</v>
      </c>
      <c r="O483" t="s">
        <v>59</v>
      </c>
      <c r="P483" t="s">
        <v>42</v>
      </c>
      <c r="Q483" t="s">
        <v>62</v>
      </c>
      <c r="R483" t="s">
        <v>43</v>
      </c>
      <c r="S483" s="3">
        <v>3622</v>
      </c>
      <c r="T483" s="3">
        <v>22794</v>
      </c>
      <c r="U483" s="3" t="str">
        <f t="shared" si="31"/>
        <v>Low</v>
      </c>
      <c r="V483">
        <v>1</v>
      </c>
      <c r="W483" t="s">
        <v>31</v>
      </c>
      <c r="X483" s="2">
        <v>13</v>
      </c>
      <c r="Y483" t="s">
        <v>60</v>
      </c>
      <c r="Z483" t="s">
        <v>62</v>
      </c>
      <c r="AA483">
        <v>1</v>
      </c>
      <c r="AB483">
        <v>6</v>
      </c>
      <c r="AC483">
        <v>3</v>
      </c>
      <c r="AD483">
        <v>3</v>
      </c>
      <c r="AE483">
        <v>6</v>
      </c>
      <c r="AF483">
        <v>5</v>
      </c>
      <c r="AG483">
        <v>1</v>
      </c>
      <c r="AH483">
        <v>3</v>
      </c>
      <c r="AI483" t="str">
        <f t="shared" si="28"/>
        <v>6-10 Years</v>
      </c>
      <c r="AJ483" t="str">
        <f t="shared" si="29"/>
        <v>0-2</v>
      </c>
    </row>
    <row r="484" spans="1:36" x14ac:dyDescent="0.35">
      <c r="A484">
        <v>483</v>
      </c>
      <c r="B484">
        <v>31</v>
      </c>
      <c r="C484" t="str">
        <f t="shared" si="30"/>
        <v>26-35</v>
      </c>
      <c r="D484" t="s">
        <v>31</v>
      </c>
      <c r="E484" t="s">
        <v>32</v>
      </c>
      <c r="F484" s="3">
        <v>1389</v>
      </c>
      <c r="G484" t="s">
        <v>33</v>
      </c>
      <c r="H484" s="1">
        <v>13</v>
      </c>
      <c r="I484" t="s">
        <v>60</v>
      </c>
      <c r="J484" t="s">
        <v>46</v>
      </c>
      <c r="K484" t="s">
        <v>61</v>
      </c>
      <c r="L484" t="s">
        <v>41</v>
      </c>
      <c r="M484" s="3">
        <v>46</v>
      </c>
      <c r="N484" t="s">
        <v>60</v>
      </c>
      <c r="O484" t="s">
        <v>61</v>
      </c>
      <c r="P484" t="s">
        <v>36</v>
      </c>
      <c r="Q484" t="s">
        <v>59</v>
      </c>
      <c r="R484" t="s">
        <v>47</v>
      </c>
      <c r="S484" s="3">
        <v>4233</v>
      </c>
      <c r="T484" s="3">
        <v>11512</v>
      </c>
      <c r="U484" s="3" t="str">
        <f t="shared" si="31"/>
        <v>Low</v>
      </c>
      <c r="V484">
        <v>2</v>
      </c>
      <c r="W484" t="s">
        <v>38</v>
      </c>
      <c r="X484" s="2">
        <v>17</v>
      </c>
      <c r="Y484" t="s">
        <v>60</v>
      </c>
      <c r="Z484" t="s">
        <v>60</v>
      </c>
      <c r="AA484">
        <v>0</v>
      </c>
      <c r="AB484">
        <v>9</v>
      </c>
      <c r="AC484">
        <v>2</v>
      </c>
      <c r="AD484">
        <v>1</v>
      </c>
      <c r="AE484">
        <v>3</v>
      </c>
      <c r="AF484">
        <v>1</v>
      </c>
      <c r="AG484">
        <v>1</v>
      </c>
      <c r="AH484">
        <v>2</v>
      </c>
      <c r="AI484" t="str">
        <f t="shared" si="28"/>
        <v>3-5 Years</v>
      </c>
      <c r="AJ484" t="str">
        <f t="shared" si="29"/>
        <v>0-2</v>
      </c>
    </row>
    <row r="485" spans="1:36" x14ac:dyDescent="0.35">
      <c r="A485">
        <v>484</v>
      </c>
      <c r="B485">
        <v>35</v>
      </c>
      <c r="C485" t="str">
        <f t="shared" si="30"/>
        <v>26-35</v>
      </c>
      <c r="D485" t="s">
        <v>38</v>
      </c>
      <c r="E485" t="s">
        <v>32</v>
      </c>
      <c r="F485" s="3">
        <v>1389</v>
      </c>
      <c r="G485" t="s">
        <v>40</v>
      </c>
      <c r="H485" s="1">
        <v>25</v>
      </c>
      <c r="I485" t="s">
        <v>58</v>
      </c>
      <c r="J485" t="s">
        <v>44</v>
      </c>
      <c r="K485" t="s">
        <v>59</v>
      </c>
      <c r="L485" t="s">
        <v>41</v>
      </c>
      <c r="M485" s="3">
        <v>54</v>
      </c>
      <c r="N485" t="s">
        <v>61</v>
      </c>
      <c r="O485" t="s">
        <v>61</v>
      </c>
      <c r="P485" t="s">
        <v>45</v>
      </c>
      <c r="Q485" t="s">
        <v>62</v>
      </c>
      <c r="R485" t="s">
        <v>37</v>
      </c>
      <c r="S485" s="3">
        <v>3681</v>
      </c>
      <c r="T485" s="3">
        <v>14004</v>
      </c>
      <c r="U485" s="3" t="str">
        <f t="shared" si="31"/>
        <v>Low</v>
      </c>
      <c r="V485">
        <v>4</v>
      </c>
      <c r="W485" t="s">
        <v>38</v>
      </c>
      <c r="X485" s="2">
        <v>14</v>
      </c>
      <c r="Y485" t="s">
        <v>60</v>
      </c>
      <c r="Z485" t="s">
        <v>62</v>
      </c>
      <c r="AA485">
        <v>0</v>
      </c>
      <c r="AB485">
        <v>9</v>
      </c>
      <c r="AC485">
        <v>3</v>
      </c>
      <c r="AD485">
        <v>3</v>
      </c>
      <c r="AE485">
        <v>3</v>
      </c>
      <c r="AF485">
        <v>2</v>
      </c>
      <c r="AG485">
        <v>0</v>
      </c>
      <c r="AH485">
        <v>2</v>
      </c>
      <c r="AI485" t="str">
        <f t="shared" si="28"/>
        <v>3-5 Years</v>
      </c>
      <c r="AJ485" t="str">
        <f t="shared" si="29"/>
        <v>0-2</v>
      </c>
    </row>
    <row r="486" spans="1:36" x14ac:dyDescent="0.35">
      <c r="A486">
        <v>485</v>
      </c>
      <c r="B486">
        <v>31</v>
      </c>
      <c r="C486" t="str">
        <f t="shared" si="30"/>
        <v>26-35</v>
      </c>
      <c r="D486" t="s">
        <v>38</v>
      </c>
      <c r="E486" t="s">
        <v>32</v>
      </c>
      <c r="F486" s="3">
        <v>1389</v>
      </c>
      <c r="G486" t="s">
        <v>33</v>
      </c>
      <c r="H486" s="1">
        <v>6</v>
      </c>
      <c r="I486" t="s">
        <v>60</v>
      </c>
      <c r="J486" t="s">
        <v>46</v>
      </c>
      <c r="K486" t="s">
        <v>59</v>
      </c>
      <c r="L486" t="s">
        <v>41</v>
      </c>
      <c r="M486" s="3">
        <v>66</v>
      </c>
      <c r="N486" t="s">
        <v>62</v>
      </c>
      <c r="O486" t="s">
        <v>61</v>
      </c>
      <c r="P486" t="s">
        <v>36</v>
      </c>
      <c r="Q486" t="s">
        <v>62</v>
      </c>
      <c r="R486" t="s">
        <v>47</v>
      </c>
      <c r="S486" s="3">
        <v>5460</v>
      </c>
      <c r="T486" s="3">
        <v>6219</v>
      </c>
      <c r="U486" s="3" t="str">
        <f t="shared" si="31"/>
        <v>Medium</v>
      </c>
      <c r="V486">
        <v>4</v>
      </c>
      <c r="W486" t="s">
        <v>38</v>
      </c>
      <c r="X486" s="2">
        <v>22</v>
      </c>
      <c r="Y486" t="s">
        <v>62</v>
      </c>
      <c r="Z486" t="s">
        <v>62</v>
      </c>
      <c r="AA486">
        <v>2</v>
      </c>
      <c r="AB486">
        <v>13</v>
      </c>
      <c r="AC486">
        <v>4</v>
      </c>
      <c r="AD486">
        <v>4</v>
      </c>
      <c r="AE486">
        <v>7</v>
      </c>
      <c r="AF486">
        <v>7</v>
      </c>
      <c r="AG486">
        <v>5</v>
      </c>
      <c r="AH486">
        <v>7</v>
      </c>
      <c r="AI486" t="str">
        <f t="shared" si="28"/>
        <v>6-10 Years</v>
      </c>
      <c r="AJ486" t="str">
        <f t="shared" si="29"/>
        <v>3-5</v>
      </c>
    </row>
    <row r="487" spans="1:36" x14ac:dyDescent="0.35">
      <c r="A487">
        <v>486</v>
      </c>
      <c r="B487">
        <v>27</v>
      </c>
      <c r="C487" t="str">
        <f t="shared" si="30"/>
        <v>26-35</v>
      </c>
      <c r="D487" t="s">
        <v>38</v>
      </c>
      <c r="E487" t="s">
        <v>32</v>
      </c>
      <c r="F487" s="3">
        <v>1389</v>
      </c>
      <c r="G487" t="s">
        <v>40</v>
      </c>
      <c r="H487" s="1">
        <v>6</v>
      </c>
      <c r="I487" t="s">
        <v>60</v>
      </c>
      <c r="J487" t="s">
        <v>46</v>
      </c>
      <c r="K487" t="s">
        <v>59</v>
      </c>
      <c r="L487" t="s">
        <v>35</v>
      </c>
      <c r="M487" s="3">
        <v>66</v>
      </c>
      <c r="N487" t="s">
        <v>61</v>
      </c>
      <c r="O487" t="s">
        <v>59</v>
      </c>
      <c r="P487" t="s">
        <v>42</v>
      </c>
      <c r="Q487" t="s">
        <v>60</v>
      </c>
      <c r="R487" t="s">
        <v>47</v>
      </c>
      <c r="S487" s="3">
        <v>2187</v>
      </c>
      <c r="T487" s="3">
        <v>5013</v>
      </c>
      <c r="U487" s="3" t="str">
        <f t="shared" si="31"/>
        <v>Low</v>
      </c>
      <c r="V487">
        <v>0</v>
      </c>
      <c r="W487" t="s">
        <v>38</v>
      </c>
      <c r="X487" s="2">
        <v>12</v>
      </c>
      <c r="Y487" t="s">
        <v>60</v>
      </c>
      <c r="Z487" t="s">
        <v>60</v>
      </c>
      <c r="AA487">
        <v>2</v>
      </c>
      <c r="AB487">
        <v>6</v>
      </c>
      <c r="AC487">
        <v>5</v>
      </c>
      <c r="AD487">
        <v>2</v>
      </c>
      <c r="AE487">
        <v>5</v>
      </c>
      <c r="AF487">
        <v>3</v>
      </c>
      <c r="AG487">
        <v>0</v>
      </c>
      <c r="AH487">
        <v>3</v>
      </c>
      <c r="AI487" t="str">
        <f t="shared" si="28"/>
        <v>3-5 Years</v>
      </c>
      <c r="AJ487" t="str">
        <f t="shared" si="29"/>
        <v>0-2</v>
      </c>
    </row>
    <row r="488" spans="1:36" x14ac:dyDescent="0.35">
      <c r="A488">
        <v>487</v>
      </c>
      <c r="B488">
        <v>37</v>
      </c>
      <c r="C488" t="str">
        <f t="shared" si="30"/>
        <v>36-45</v>
      </c>
      <c r="D488" t="s">
        <v>38</v>
      </c>
      <c r="E488" t="s">
        <v>32</v>
      </c>
      <c r="F488" s="3">
        <v>1389</v>
      </c>
      <c r="G488" t="s">
        <v>33</v>
      </c>
      <c r="H488" s="1">
        <v>2</v>
      </c>
      <c r="I488" t="s">
        <v>61</v>
      </c>
      <c r="J488" t="s">
        <v>54</v>
      </c>
      <c r="K488" t="s">
        <v>62</v>
      </c>
      <c r="L488" t="s">
        <v>41</v>
      </c>
      <c r="M488" s="3">
        <v>75</v>
      </c>
      <c r="N488" t="s">
        <v>60</v>
      </c>
      <c r="O488" t="s">
        <v>61</v>
      </c>
      <c r="P488" t="s">
        <v>36</v>
      </c>
      <c r="Q488" t="s">
        <v>60</v>
      </c>
      <c r="R488" t="s">
        <v>43</v>
      </c>
      <c r="S488" s="3">
        <v>9602</v>
      </c>
      <c r="T488" s="3">
        <v>3010</v>
      </c>
      <c r="U488" s="3" t="str">
        <f t="shared" si="31"/>
        <v>Medium</v>
      </c>
      <c r="V488">
        <v>4</v>
      </c>
      <c r="W488" t="s">
        <v>31</v>
      </c>
      <c r="X488" s="2">
        <v>11</v>
      </c>
      <c r="Y488" t="s">
        <v>60</v>
      </c>
      <c r="Z488" t="s">
        <v>60</v>
      </c>
      <c r="AA488">
        <v>1</v>
      </c>
      <c r="AB488">
        <v>17</v>
      </c>
      <c r="AC488">
        <v>3</v>
      </c>
      <c r="AD488">
        <v>2</v>
      </c>
      <c r="AE488">
        <v>3</v>
      </c>
      <c r="AF488">
        <v>0</v>
      </c>
      <c r="AG488">
        <v>1</v>
      </c>
      <c r="AH488">
        <v>0</v>
      </c>
      <c r="AI488" t="str">
        <f t="shared" si="28"/>
        <v>3-5 Years</v>
      </c>
      <c r="AJ488" t="str">
        <f t="shared" si="29"/>
        <v>0-2</v>
      </c>
    </row>
    <row r="489" spans="1:36" x14ac:dyDescent="0.35">
      <c r="A489">
        <v>488</v>
      </c>
      <c r="B489">
        <v>20</v>
      </c>
      <c r="C489" t="str">
        <f t="shared" si="30"/>
        <v>18-25</v>
      </c>
      <c r="D489" t="s">
        <v>38</v>
      </c>
      <c r="E489" t="s">
        <v>32</v>
      </c>
      <c r="F489" s="3">
        <v>1389</v>
      </c>
      <c r="G489" t="s">
        <v>40</v>
      </c>
      <c r="H489" s="1">
        <v>1</v>
      </c>
      <c r="I489" t="s">
        <v>61</v>
      </c>
      <c r="J489" t="s">
        <v>34</v>
      </c>
      <c r="K489" t="s">
        <v>62</v>
      </c>
      <c r="L489" t="s">
        <v>35</v>
      </c>
      <c r="M489" s="3">
        <v>83</v>
      </c>
      <c r="N489" t="s">
        <v>61</v>
      </c>
      <c r="O489" t="s">
        <v>59</v>
      </c>
      <c r="P489" t="s">
        <v>42</v>
      </c>
      <c r="Q489" t="s">
        <v>61</v>
      </c>
      <c r="R489" t="s">
        <v>37</v>
      </c>
      <c r="S489" s="3">
        <v>2836</v>
      </c>
      <c r="T489" s="3">
        <v>11757</v>
      </c>
      <c r="U489" s="3" t="str">
        <f t="shared" si="31"/>
        <v>Low</v>
      </c>
      <c r="V489">
        <v>1</v>
      </c>
      <c r="W489" t="s">
        <v>38</v>
      </c>
      <c r="X489" s="2">
        <v>13</v>
      </c>
      <c r="Y489" t="s">
        <v>60</v>
      </c>
      <c r="Z489" t="s">
        <v>62</v>
      </c>
      <c r="AA489">
        <v>0</v>
      </c>
      <c r="AB489">
        <v>1</v>
      </c>
      <c r="AC489">
        <v>0</v>
      </c>
      <c r="AD489">
        <v>4</v>
      </c>
      <c r="AE489">
        <v>1</v>
      </c>
      <c r="AF489">
        <v>0</v>
      </c>
      <c r="AG489">
        <v>0</v>
      </c>
      <c r="AH489">
        <v>0</v>
      </c>
      <c r="AI489" t="str">
        <f t="shared" si="28"/>
        <v>0-2 Years</v>
      </c>
      <c r="AJ489" t="str">
        <f t="shared" si="29"/>
        <v>0-2</v>
      </c>
    </row>
    <row r="490" spans="1:36" x14ac:dyDescent="0.35">
      <c r="A490">
        <v>489</v>
      </c>
      <c r="B490">
        <v>42</v>
      </c>
      <c r="C490" t="str">
        <f t="shared" si="30"/>
        <v>36-45</v>
      </c>
      <c r="D490" t="s">
        <v>38</v>
      </c>
      <c r="E490" t="s">
        <v>32</v>
      </c>
      <c r="F490" s="3">
        <v>1389</v>
      </c>
      <c r="G490" t="s">
        <v>40</v>
      </c>
      <c r="H490" s="1">
        <v>2</v>
      </c>
      <c r="I490" t="s">
        <v>60</v>
      </c>
      <c r="J490" t="s">
        <v>34</v>
      </c>
      <c r="K490" t="s">
        <v>60</v>
      </c>
      <c r="L490" t="s">
        <v>35</v>
      </c>
      <c r="M490" s="3">
        <v>81</v>
      </c>
      <c r="N490" t="s">
        <v>60</v>
      </c>
      <c r="O490" t="s">
        <v>61</v>
      </c>
      <c r="P490" t="s">
        <v>49</v>
      </c>
      <c r="Q490" t="s">
        <v>62</v>
      </c>
      <c r="R490" t="s">
        <v>43</v>
      </c>
      <c r="S490" s="3">
        <v>4089</v>
      </c>
      <c r="T490" s="3">
        <v>5718</v>
      </c>
      <c r="U490" s="3" t="str">
        <f t="shared" si="31"/>
        <v>Low</v>
      </c>
      <c r="V490">
        <v>1</v>
      </c>
      <c r="W490" t="s">
        <v>38</v>
      </c>
      <c r="X490" s="2">
        <v>13</v>
      </c>
      <c r="Y490" t="s">
        <v>60</v>
      </c>
      <c r="Z490" t="s">
        <v>61</v>
      </c>
      <c r="AA490">
        <v>2</v>
      </c>
      <c r="AB490">
        <v>10</v>
      </c>
      <c r="AC490">
        <v>4</v>
      </c>
      <c r="AD490">
        <v>3</v>
      </c>
      <c r="AE490">
        <v>10</v>
      </c>
      <c r="AF490">
        <v>2</v>
      </c>
      <c r="AG490">
        <v>2</v>
      </c>
      <c r="AH490">
        <v>2</v>
      </c>
      <c r="AI490" t="str">
        <f t="shared" si="28"/>
        <v>6-10 Years</v>
      </c>
      <c r="AJ490" t="str">
        <f t="shared" si="29"/>
        <v>0-2</v>
      </c>
    </row>
    <row r="491" spans="1:36" x14ac:dyDescent="0.35">
      <c r="A491">
        <v>490</v>
      </c>
      <c r="B491">
        <v>43</v>
      </c>
      <c r="C491" t="str">
        <f t="shared" si="30"/>
        <v>36-45</v>
      </c>
      <c r="D491" t="s">
        <v>38</v>
      </c>
      <c r="E491" t="s">
        <v>32</v>
      </c>
      <c r="F491" s="3">
        <v>1389</v>
      </c>
      <c r="G491" t="s">
        <v>40</v>
      </c>
      <c r="H491" s="1">
        <v>6</v>
      </c>
      <c r="I491" t="s">
        <v>60</v>
      </c>
      <c r="J491" t="s">
        <v>44</v>
      </c>
      <c r="K491" t="s">
        <v>61</v>
      </c>
      <c r="L491" t="s">
        <v>41</v>
      </c>
      <c r="M491" s="3">
        <v>50</v>
      </c>
      <c r="N491" t="s">
        <v>61</v>
      </c>
      <c r="O491" t="s">
        <v>62</v>
      </c>
      <c r="P491" t="s">
        <v>53</v>
      </c>
      <c r="Q491" t="s">
        <v>62</v>
      </c>
      <c r="R491" t="s">
        <v>47</v>
      </c>
      <c r="S491" s="3">
        <v>16627</v>
      </c>
      <c r="T491" s="3">
        <v>2671</v>
      </c>
      <c r="U491" s="3" t="str">
        <f t="shared" si="31"/>
        <v>High</v>
      </c>
      <c r="V491">
        <v>4</v>
      </c>
      <c r="W491" t="s">
        <v>31</v>
      </c>
      <c r="X491" s="2">
        <v>14</v>
      </c>
      <c r="Y491" t="s">
        <v>60</v>
      </c>
      <c r="Z491" t="s">
        <v>60</v>
      </c>
      <c r="AA491">
        <v>1</v>
      </c>
      <c r="AB491">
        <v>21</v>
      </c>
      <c r="AC491">
        <v>3</v>
      </c>
      <c r="AD491">
        <v>2</v>
      </c>
      <c r="AE491">
        <v>1</v>
      </c>
      <c r="AF491">
        <v>0</v>
      </c>
      <c r="AG491">
        <v>0</v>
      </c>
      <c r="AH491">
        <v>0</v>
      </c>
      <c r="AI491" t="str">
        <f t="shared" si="28"/>
        <v>0-2 Years</v>
      </c>
      <c r="AJ491" t="str">
        <f t="shared" si="29"/>
        <v>0-2</v>
      </c>
    </row>
    <row r="492" spans="1:36" x14ac:dyDescent="0.35">
      <c r="A492">
        <v>491</v>
      </c>
      <c r="B492">
        <v>38</v>
      </c>
      <c r="C492" t="str">
        <f t="shared" si="30"/>
        <v>36-45</v>
      </c>
      <c r="D492" t="s">
        <v>38</v>
      </c>
      <c r="E492" t="s">
        <v>32</v>
      </c>
      <c r="F492" s="3">
        <v>1389</v>
      </c>
      <c r="G492" t="s">
        <v>40</v>
      </c>
      <c r="H492" s="1">
        <v>1</v>
      </c>
      <c r="I492" t="s">
        <v>59</v>
      </c>
      <c r="J492" t="s">
        <v>34</v>
      </c>
      <c r="K492" t="s">
        <v>60</v>
      </c>
      <c r="L492" t="s">
        <v>35</v>
      </c>
      <c r="M492" s="3">
        <v>43</v>
      </c>
      <c r="N492" t="s">
        <v>60</v>
      </c>
      <c r="O492" t="s">
        <v>59</v>
      </c>
      <c r="P492" t="s">
        <v>42</v>
      </c>
      <c r="Q492" t="s">
        <v>59</v>
      </c>
      <c r="R492" t="s">
        <v>37</v>
      </c>
      <c r="S492" s="3">
        <v>2619</v>
      </c>
      <c r="T492" s="3">
        <v>14561</v>
      </c>
      <c r="U492" s="3" t="str">
        <f t="shared" si="31"/>
        <v>Low</v>
      </c>
      <c r="V492">
        <v>3</v>
      </c>
      <c r="W492" t="s">
        <v>38</v>
      </c>
      <c r="X492" s="2">
        <v>17</v>
      </c>
      <c r="Y492" t="s">
        <v>60</v>
      </c>
      <c r="Z492" t="s">
        <v>62</v>
      </c>
      <c r="AA492">
        <v>0</v>
      </c>
      <c r="AB492">
        <v>8</v>
      </c>
      <c r="AC492">
        <v>3</v>
      </c>
      <c r="AD492">
        <v>2</v>
      </c>
      <c r="AE492">
        <v>0</v>
      </c>
      <c r="AF492">
        <v>0</v>
      </c>
      <c r="AG492">
        <v>0</v>
      </c>
      <c r="AH492">
        <v>0</v>
      </c>
      <c r="AI492" t="str">
        <f t="shared" si="28"/>
        <v>0-2 Years</v>
      </c>
      <c r="AJ492" t="str">
        <f t="shared" si="29"/>
        <v>0-2</v>
      </c>
    </row>
    <row r="493" spans="1:36" x14ac:dyDescent="0.35">
      <c r="A493">
        <v>492</v>
      </c>
      <c r="B493">
        <v>43</v>
      </c>
      <c r="C493" t="str">
        <f t="shared" si="30"/>
        <v>36-45</v>
      </c>
      <c r="D493" t="s">
        <v>38</v>
      </c>
      <c r="E493" t="s">
        <v>39</v>
      </c>
      <c r="F493" s="3">
        <v>1389</v>
      </c>
      <c r="G493" t="s">
        <v>40</v>
      </c>
      <c r="H493" s="1">
        <v>9</v>
      </c>
      <c r="I493" t="s">
        <v>62</v>
      </c>
      <c r="J493" t="s">
        <v>46</v>
      </c>
      <c r="K493" t="s">
        <v>62</v>
      </c>
      <c r="L493" t="s">
        <v>41</v>
      </c>
      <c r="M493" s="3">
        <v>72</v>
      </c>
      <c r="N493" t="s">
        <v>60</v>
      </c>
      <c r="O493" t="s">
        <v>61</v>
      </c>
      <c r="P493" t="s">
        <v>45</v>
      </c>
      <c r="Q493" t="s">
        <v>60</v>
      </c>
      <c r="R493" t="s">
        <v>47</v>
      </c>
      <c r="S493" s="3">
        <v>5679</v>
      </c>
      <c r="T493" s="3">
        <v>19627</v>
      </c>
      <c r="U493" s="3" t="str">
        <f t="shared" si="31"/>
        <v>Medium</v>
      </c>
      <c r="V493">
        <v>3</v>
      </c>
      <c r="W493" t="s">
        <v>31</v>
      </c>
      <c r="X493" s="2">
        <v>13</v>
      </c>
      <c r="Y493" t="s">
        <v>60</v>
      </c>
      <c r="Z493" t="s">
        <v>61</v>
      </c>
      <c r="AA493">
        <v>1</v>
      </c>
      <c r="AB493">
        <v>10</v>
      </c>
      <c r="AC493">
        <v>3</v>
      </c>
      <c r="AD493">
        <v>3</v>
      </c>
      <c r="AE493">
        <v>8</v>
      </c>
      <c r="AF493">
        <v>7</v>
      </c>
      <c r="AG493">
        <v>4</v>
      </c>
      <c r="AH493">
        <v>7</v>
      </c>
      <c r="AI493" t="str">
        <f t="shared" si="28"/>
        <v>6-10 Years</v>
      </c>
      <c r="AJ493" t="str">
        <f t="shared" si="29"/>
        <v>3-5</v>
      </c>
    </row>
    <row r="494" spans="1:36" x14ac:dyDescent="0.35">
      <c r="A494">
        <v>493</v>
      </c>
      <c r="B494">
        <v>48</v>
      </c>
      <c r="C494" t="str">
        <f t="shared" si="30"/>
        <v>46-55</v>
      </c>
      <c r="D494" t="s">
        <v>38</v>
      </c>
      <c r="E494" t="s">
        <v>32</v>
      </c>
      <c r="F494" s="3">
        <v>1389</v>
      </c>
      <c r="G494" t="s">
        <v>40</v>
      </c>
      <c r="H494" s="1">
        <v>1</v>
      </c>
      <c r="I494" t="s">
        <v>60</v>
      </c>
      <c r="J494" t="s">
        <v>34</v>
      </c>
      <c r="K494" t="s">
        <v>62</v>
      </c>
      <c r="L494" t="s">
        <v>35</v>
      </c>
      <c r="M494" s="3">
        <v>40</v>
      </c>
      <c r="N494" t="s">
        <v>61</v>
      </c>
      <c r="O494" t="s">
        <v>62</v>
      </c>
      <c r="P494" t="s">
        <v>51</v>
      </c>
      <c r="Q494" t="s">
        <v>59</v>
      </c>
      <c r="R494" t="s">
        <v>43</v>
      </c>
      <c r="S494" s="3">
        <v>15402</v>
      </c>
      <c r="T494" s="3">
        <v>17997</v>
      </c>
      <c r="U494" s="3" t="str">
        <f t="shared" si="31"/>
        <v>High</v>
      </c>
      <c r="V494">
        <v>7</v>
      </c>
      <c r="W494" t="s">
        <v>38</v>
      </c>
      <c r="X494" s="2">
        <v>11</v>
      </c>
      <c r="Y494" t="s">
        <v>60</v>
      </c>
      <c r="Z494" t="s">
        <v>59</v>
      </c>
      <c r="AA494">
        <v>1</v>
      </c>
      <c r="AB494">
        <v>21</v>
      </c>
      <c r="AC494">
        <v>3</v>
      </c>
      <c r="AD494">
        <v>1</v>
      </c>
      <c r="AE494">
        <v>3</v>
      </c>
      <c r="AF494">
        <v>2</v>
      </c>
      <c r="AG494">
        <v>0</v>
      </c>
      <c r="AH494">
        <v>2</v>
      </c>
      <c r="AI494" t="str">
        <f t="shared" si="28"/>
        <v>3-5 Years</v>
      </c>
      <c r="AJ494" t="str">
        <f t="shared" si="29"/>
        <v>0-2</v>
      </c>
    </row>
    <row r="495" spans="1:36" x14ac:dyDescent="0.35">
      <c r="A495">
        <v>494</v>
      </c>
      <c r="B495">
        <v>44</v>
      </c>
      <c r="C495" t="str">
        <f t="shared" si="30"/>
        <v>36-45</v>
      </c>
      <c r="D495" t="s">
        <v>38</v>
      </c>
      <c r="E495" t="s">
        <v>32</v>
      </c>
      <c r="F495" s="3">
        <v>1389</v>
      </c>
      <c r="G495" t="s">
        <v>56</v>
      </c>
      <c r="H495" s="1">
        <v>1</v>
      </c>
      <c r="I495" t="s">
        <v>60</v>
      </c>
      <c r="J495" t="s">
        <v>34</v>
      </c>
      <c r="K495" t="s">
        <v>59</v>
      </c>
      <c r="L495" t="s">
        <v>35</v>
      </c>
      <c r="M495" s="3">
        <v>50</v>
      </c>
      <c r="N495" t="s">
        <v>61</v>
      </c>
      <c r="O495" t="s">
        <v>61</v>
      </c>
      <c r="P495" t="s">
        <v>56</v>
      </c>
      <c r="Q495" t="s">
        <v>60</v>
      </c>
      <c r="R495" t="s">
        <v>37</v>
      </c>
      <c r="S495" s="3">
        <v>5985</v>
      </c>
      <c r="T495" s="3">
        <v>26894</v>
      </c>
      <c r="U495" s="3" t="str">
        <f t="shared" si="31"/>
        <v>Medium</v>
      </c>
      <c r="V495">
        <v>4</v>
      </c>
      <c r="W495" t="s">
        <v>38</v>
      </c>
      <c r="X495" s="2">
        <v>11</v>
      </c>
      <c r="Y495" t="s">
        <v>60</v>
      </c>
      <c r="Z495" t="s">
        <v>61</v>
      </c>
      <c r="AA495">
        <v>0</v>
      </c>
      <c r="AB495">
        <v>10</v>
      </c>
      <c r="AC495">
        <v>1</v>
      </c>
      <c r="AD495">
        <v>4</v>
      </c>
      <c r="AE495">
        <v>2</v>
      </c>
      <c r="AF495">
        <v>2</v>
      </c>
      <c r="AG495">
        <v>0</v>
      </c>
      <c r="AH495">
        <v>2</v>
      </c>
      <c r="AI495" t="str">
        <f t="shared" si="28"/>
        <v>0-2 Years</v>
      </c>
      <c r="AJ495" t="str">
        <f t="shared" si="29"/>
        <v>0-2</v>
      </c>
    </row>
    <row r="496" spans="1:36" x14ac:dyDescent="0.35">
      <c r="A496">
        <v>495</v>
      </c>
      <c r="B496">
        <v>34</v>
      </c>
      <c r="C496" t="str">
        <f t="shared" si="30"/>
        <v>26-35</v>
      </c>
      <c r="D496" t="s">
        <v>38</v>
      </c>
      <c r="E496" t="s">
        <v>32</v>
      </c>
      <c r="F496" s="3">
        <v>1389</v>
      </c>
      <c r="G496" t="s">
        <v>33</v>
      </c>
      <c r="H496" s="1">
        <v>14</v>
      </c>
      <c r="I496" t="s">
        <v>61</v>
      </c>
      <c r="J496" t="s">
        <v>55</v>
      </c>
      <c r="K496" t="s">
        <v>60</v>
      </c>
      <c r="L496" t="s">
        <v>35</v>
      </c>
      <c r="M496" s="3">
        <v>31</v>
      </c>
      <c r="N496" t="s">
        <v>60</v>
      </c>
      <c r="O496" t="s">
        <v>59</v>
      </c>
      <c r="P496" t="s">
        <v>52</v>
      </c>
      <c r="Q496" t="s">
        <v>60</v>
      </c>
      <c r="R496" t="s">
        <v>47</v>
      </c>
      <c r="S496" s="3">
        <v>2579</v>
      </c>
      <c r="T496" s="3">
        <v>2912</v>
      </c>
      <c r="U496" s="3" t="str">
        <f t="shared" si="31"/>
        <v>Low</v>
      </c>
      <c r="V496">
        <v>1</v>
      </c>
      <c r="W496" t="s">
        <v>31</v>
      </c>
      <c r="X496" s="2">
        <v>18</v>
      </c>
      <c r="Y496" t="s">
        <v>60</v>
      </c>
      <c r="Z496" t="s">
        <v>62</v>
      </c>
      <c r="AA496">
        <v>2</v>
      </c>
      <c r="AB496">
        <v>8</v>
      </c>
      <c r="AC496">
        <v>3</v>
      </c>
      <c r="AD496">
        <v>3</v>
      </c>
      <c r="AE496">
        <v>8</v>
      </c>
      <c r="AF496">
        <v>2</v>
      </c>
      <c r="AG496">
        <v>0</v>
      </c>
      <c r="AH496">
        <v>6</v>
      </c>
      <c r="AI496" t="str">
        <f t="shared" si="28"/>
        <v>6-10 Years</v>
      </c>
      <c r="AJ496" t="str">
        <f t="shared" si="29"/>
        <v>0-2</v>
      </c>
    </row>
    <row r="497" spans="1:36" x14ac:dyDescent="0.35">
      <c r="A497">
        <v>496</v>
      </c>
      <c r="B497">
        <v>27</v>
      </c>
      <c r="C497" t="str">
        <f t="shared" si="30"/>
        <v>26-35</v>
      </c>
      <c r="D497" t="s">
        <v>31</v>
      </c>
      <c r="E497" t="s">
        <v>32</v>
      </c>
      <c r="F497" s="3">
        <v>1389</v>
      </c>
      <c r="G497" t="s">
        <v>33</v>
      </c>
      <c r="H497" s="1">
        <v>2</v>
      </c>
      <c r="I497" t="s">
        <v>59</v>
      </c>
      <c r="J497" t="s">
        <v>54</v>
      </c>
      <c r="K497" t="s">
        <v>60</v>
      </c>
      <c r="L497" t="s">
        <v>41</v>
      </c>
      <c r="M497" s="3">
        <v>85</v>
      </c>
      <c r="N497" t="s">
        <v>60</v>
      </c>
      <c r="O497" t="s">
        <v>59</v>
      </c>
      <c r="P497" t="s">
        <v>52</v>
      </c>
      <c r="Q497" t="s">
        <v>59</v>
      </c>
      <c r="R497" t="s">
        <v>47</v>
      </c>
      <c r="S497" s="3">
        <v>3041</v>
      </c>
      <c r="T497" s="3">
        <v>16346</v>
      </c>
      <c r="U497" s="3" t="str">
        <f t="shared" si="31"/>
        <v>Low</v>
      </c>
      <c r="V497">
        <v>0</v>
      </c>
      <c r="W497" t="s">
        <v>38</v>
      </c>
      <c r="X497" s="2">
        <v>11</v>
      </c>
      <c r="Y497" t="s">
        <v>60</v>
      </c>
      <c r="Z497" t="s">
        <v>61</v>
      </c>
      <c r="AA497">
        <v>1</v>
      </c>
      <c r="AB497">
        <v>5</v>
      </c>
      <c r="AC497">
        <v>3</v>
      </c>
      <c r="AD497">
        <v>3</v>
      </c>
      <c r="AE497">
        <v>4</v>
      </c>
      <c r="AF497">
        <v>3</v>
      </c>
      <c r="AG497">
        <v>0</v>
      </c>
      <c r="AH497">
        <v>2</v>
      </c>
      <c r="AI497" t="str">
        <f t="shared" si="28"/>
        <v>3-5 Years</v>
      </c>
      <c r="AJ497" t="str">
        <f t="shared" si="29"/>
        <v>0-2</v>
      </c>
    </row>
    <row r="498" spans="1:36" x14ac:dyDescent="0.35">
      <c r="A498">
        <v>497</v>
      </c>
      <c r="B498">
        <v>21</v>
      </c>
      <c r="C498" t="str">
        <f t="shared" si="30"/>
        <v>18-25</v>
      </c>
      <c r="D498" t="s">
        <v>38</v>
      </c>
      <c r="E498" t="s">
        <v>32</v>
      </c>
      <c r="F498" s="3">
        <v>1389</v>
      </c>
      <c r="G498" t="s">
        <v>33</v>
      </c>
      <c r="H498" s="1">
        <v>22</v>
      </c>
      <c r="I498" t="s">
        <v>59</v>
      </c>
      <c r="J498" t="s">
        <v>55</v>
      </c>
      <c r="K498" t="s">
        <v>60</v>
      </c>
      <c r="L498" t="s">
        <v>41</v>
      </c>
      <c r="M498" s="3">
        <v>49</v>
      </c>
      <c r="N498" t="s">
        <v>60</v>
      </c>
      <c r="O498" t="s">
        <v>59</v>
      </c>
      <c r="P498" t="s">
        <v>52</v>
      </c>
      <c r="Q498" t="s">
        <v>60</v>
      </c>
      <c r="R498" t="s">
        <v>37</v>
      </c>
      <c r="S498" s="3">
        <v>3447</v>
      </c>
      <c r="T498" s="3">
        <v>24444</v>
      </c>
      <c r="U498" s="3" t="str">
        <f t="shared" si="31"/>
        <v>Low</v>
      </c>
      <c r="V498">
        <v>1</v>
      </c>
      <c r="W498" t="s">
        <v>38</v>
      </c>
      <c r="X498" s="2">
        <v>11</v>
      </c>
      <c r="Y498" t="s">
        <v>60</v>
      </c>
      <c r="Z498" t="s">
        <v>60</v>
      </c>
      <c r="AA498">
        <v>0</v>
      </c>
      <c r="AB498">
        <v>3</v>
      </c>
      <c r="AC498">
        <v>2</v>
      </c>
      <c r="AD498">
        <v>3</v>
      </c>
      <c r="AE498">
        <v>3</v>
      </c>
      <c r="AF498">
        <v>2</v>
      </c>
      <c r="AG498">
        <v>1</v>
      </c>
      <c r="AH498">
        <v>2</v>
      </c>
      <c r="AI498" t="str">
        <f t="shared" si="28"/>
        <v>3-5 Years</v>
      </c>
      <c r="AJ498" t="str">
        <f t="shared" si="29"/>
        <v>0-2</v>
      </c>
    </row>
    <row r="499" spans="1:36" x14ac:dyDescent="0.35">
      <c r="A499">
        <v>498</v>
      </c>
      <c r="B499">
        <v>44</v>
      </c>
      <c r="C499" t="str">
        <f t="shared" si="30"/>
        <v>36-45</v>
      </c>
      <c r="D499" t="s">
        <v>38</v>
      </c>
      <c r="E499" t="s">
        <v>32</v>
      </c>
      <c r="F499" s="3">
        <v>1389</v>
      </c>
      <c r="G499" t="s">
        <v>40</v>
      </c>
      <c r="H499" s="1">
        <v>3</v>
      </c>
      <c r="I499" t="s">
        <v>60</v>
      </c>
      <c r="J499" t="s">
        <v>44</v>
      </c>
      <c r="K499" t="s">
        <v>62</v>
      </c>
      <c r="L499" t="s">
        <v>41</v>
      </c>
      <c r="M499" s="3">
        <v>35</v>
      </c>
      <c r="N499" t="s">
        <v>60</v>
      </c>
      <c r="O499" t="e">
        <v>#N/A</v>
      </c>
      <c r="P499" t="s">
        <v>51</v>
      </c>
      <c r="Q499" t="s">
        <v>62</v>
      </c>
      <c r="R499" t="s">
        <v>43</v>
      </c>
      <c r="S499" s="3">
        <v>19513</v>
      </c>
      <c r="T499" s="3">
        <v>9358</v>
      </c>
      <c r="U499" s="3" t="str">
        <f t="shared" si="31"/>
        <v>High</v>
      </c>
      <c r="V499">
        <v>4</v>
      </c>
      <c r="W499" t="s">
        <v>31</v>
      </c>
      <c r="X499" s="2">
        <v>12</v>
      </c>
      <c r="Y499" t="s">
        <v>60</v>
      </c>
      <c r="Z499" t="s">
        <v>59</v>
      </c>
      <c r="AA499">
        <v>1</v>
      </c>
      <c r="AB499">
        <v>26</v>
      </c>
      <c r="AC499">
        <v>2</v>
      </c>
      <c r="AD499">
        <v>4</v>
      </c>
      <c r="AE499">
        <v>2</v>
      </c>
      <c r="AF499">
        <v>2</v>
      </c>
      <c r="AG499">
        <v>0</v>
      </c>
      <c r="AH499">
        <v>1</v>
      </c>
      <c r="AI499" t="str">
        <f t="shared" si="28"/>
        <v>0-2 Years</v>
      </c>
      <c r="AJ499" t="str">
        <f t="shared" si="29"/>
        <v>0-2</v>
      </c>
    </row>
    <row r="500" spans="1:36" x14ac:dyDescent="0.35">
      <c r="A500">
        <v>499</v>
      </c>
      <c r="B500">
        <v>22</v>
      </c>
      <c r="C500" t="str">
        <f t="shared" si="30"/>
        <v>18-25</v>
      </c>
      <c r="D500" t="s">
        <v>38</v>
      </c>
      <c r="E500" t="s">
        <v>32</v>
      </c>
      <c r="F500" s="3">
        <v>1389</v>
      </c>
      <c r="G500" t="s">
        <v>40</v>
      </c>
      <c r="H500" s="1">
        <v>6</v>
      </c>
      <c r="I500" t="s">
        <v>59</v>
      </c>
      <c r="J500" t="s">
        <v>46</v>
      </c>
      <c r="K500" t="s">
        <v>59</v>
      </c>
      <c r="L500" t="s">
        <v>41</v>
      </c>
      <c r="M500" s="3">
        <v>69</v>
      </c>
      <c r="N500" t="s">
        <v>60</v>
      </c>
      <c r="O500" t="s">
        <v>59</v>
      </c>
      <c r="P500" t="s">
        <v>42</v>
      </c>
      <c r="Q500" t="s">
        <v>60</v>
      </c>
      <c r="R500" t="s">
        <v>43</v>
      </c>
      <c r="S500" s="3">
        <v>2773</v>
      </c>
      <c r="T500" s="3">
        <v>12145</v>
      </c>
      <c r="U500" s="3" t="str">
        <f t="shared" si="31"/>
        <v>Low</v>
      </c>
      <c r="V500">
        <v>0</v>
      </c>
      <c r="W500" t="s">
        <v>38</v>
      </c>
      <c r="X500" s="2">
        <v>20</v>
      </c>
      <c r="Y500" t="s">
        <v>62</v>
      </c>
      <c r="Z500" t="s">
        <v>62</v>
      </c>
      <c r="AA500">
        <v>0</v>
      </c>
      <c r="AB500">
        <v>3</v>
      </c>
      <c r="AC500">
        <v>3</v>
      </c>
      <c r="AD500">
        <v>3</v>
      </c>
      <c r="AE500">
        <v>2</v>
      </c>
      <c r="AF500">
        <v>2</v>
      </c>
      <c r="AG500">
        <v>2</v>
      </c>
      <c r="AH500">
        <v>2</v>
      </c>
      <c r="AI500" t="str">
        <f t="shared" si="28"/>
        <v>0-2 Years</v>
      </c>
      <c r="AJ500" t="str">
        <f t="shared" si="29"/>
        <v>0-2</v>
      </c>
    </row>
    <row r="501" spans="1:36" x14ac:dyDescent="0.35">
      <c r="A501">
        <v>500</v>
      </c>
      <c r="B501">
        <v>33</v>
      </c>
      <c r="C501" t="str">
        <f t="shared" si="30"/>
        <v>26-35</v>
      </c>
      <c r="D501" t="s">
        <v>38</v>
      </c>
      <c r="E501" t="s">
        <v>32</v>
      </c>
      <c r="F501" s="3">
        <v>1389</v>
      </c>
      <c r="G501" t="s">
        <v>33</v>
      </c>
      <c r="H501" s="1">
        <v>8</v>
      </c>
      <c r="I501" t="s">
        <v>60</v>
      </c>
      <c r="J501" t="s">
        <v>54</v>
      </c>
      <c r="K501" t="s">
        <v>60</v>
      </c>
      <c r="L501" t="s">
        <v>41</v>
      </c>
      <c r="M501" s="3">
        <v>39</v>
      </c>
      <c r="N501" t="s">
        <v>60</v>
      </c>
      <c r="O501" t="s">
        <v>61</v>
      </c>
      <c r="P501" t="s">
        <v>36</v>
      </c>
      <c r="Q501" t="s">
        <v>60</v>
      </c>
      <c r="R501" t="s">
        <v>47</v>
      </c>
      <c r="S501" s="3">
        <v>7104</v>
      </c>
      <c r="T501" s="3">
        <v>20431</v>
      </c>
      <c r="U501" s="3" t="str">
        <f t="shared" si="31"/>
        <v>Medium</v>
      </c>
      <c r="V501">
        <v>0</v>
      </c>
      <c r="W501" t="s">
        <v>38</v>
      </c>
      <c r="X501" s="2">
        <v>12</v>
      </c>
      <c r="Y501" t="s">
        <v>60</v>
      </c>
      <c r="Z501" t="s">
        <v>62</v>
      </c>
      <c r="AA501">
        <v>0</v>
      </c>
      <c r="AB501">
        <v>6</v>
      </c>
      <c r="AC501">
        <v>3</v>
      </c>
      <c r="AD501">
        <v>3</v>
      </c>
      <c r="AE501">
        <v>5</v>
      </c>
      <c r="AF501">
        <v>0</v>
      </c>
      <c r="AG501">
        <v>1</v>
      </c>
      <c r="AH501">
        <v>2</v>
      </c>
      <c r="AI501" t="str">
        <f t="shared" si="28"/>
        <v>3-5 Years</v>
      </c>
      <c r="AJ501" t="str">
        <f t="shared" si="29"/>
        <v>0-2</v>
      </c>
    </row>
    <row r="502" spans="1:36" x14ac:dyDescent="0.35">
      <c r="A502">
        <v>501</v>
      </c>
      <c r="B502">
        <v>32</v>
      </c>
      <c r="C502" t="str">
        <f t="shared" si="30"/>
        <v>26-35</v>
      </c>
      <c r="D502" t="s">
        <v>38</v>
      </c>
      <c r="E502" t="s">
        <v>32</v>
      </c>
      <c r="F502" s="3">
        <v>1389</v>
      </c>
      <c r="G502" t="s">
        <v>40</v>
      </c>
      <c r="H502" s="1">
        <v>9</v>
      </c>
      <c r="I502" t="s">
        <v>60</v>
      </c>
      <c r="J502" t="s">
        <v>34</v>
      </c>
      <c r="K502" t="s">
        <v>59</v>
      </c>
      <c r="L502" t="s">
        <v>35</v>
      </c>
      <c r="M502" s="3">
        <v>92</v>
      </c>
      <c r="N502" t="s">
        <v>60</v>
      </c>
      <c r="O502" t="s">
        <v>61</v>
      </c>
      <c r="P502" t="s">
        <v>42</v>
      </c>
      <c r="Q502" t="s">
        <v>62</v>
      </c>
      <c r="R502" t="s">
        <v>43</v>
      </c>
      <c r="S502" s="3">
        <v>6322</v>
      </c>
      <c r="T502" s="3">
        <v>18089</v>
      </c>
      <c r="U502" s="3" t="str">
        <f t="shared" si="31"/>
        <v>Medium</v>
      </c>
      <c r="V502">
        <v>1</v>
      </c>
      <c r="W502" t="s">
        <v>31</v>
      </c>
      <c r="X502" s="2">
        <v>12</v>
      </c>
      <c r="Y502" t="s">
        <v>60</v>
      </c>
      <c r="Z502" t="s">
        <v>62</v>
      </c>
      <c r="AA502">
        <v>1</v>
      </c>
      <c r="AB502">
        <v>6</v>
      </c>
      <c r="AC502">
        <v>2</v>
      </c>
      <c r="AD502">
        <v>2</v>
      </c>
      <c r="AE502">
        <v>6</v>
      </c>
      <c r="AF502">
        <v>4</v>
      </c>
      <c r="AG502">
        <v>0</v>
      </c>
      <c r="AH502">
        <v>5</v>
      </c>
      <c r="AI502" t="str">
        <f t="shared" si="28"/>
        <v>6-10 Years</v>
      </c>
      <c r="AJ502" t="str">
        <f t="shared" si="29"/>
        <v>0-2</v>
      </c>
    </row>
    <row r="503" spans="1:36" x14ac:dyDescent="0.35">
      <c r="A503">
        <v>502</v>
      </c>
      <c r="B503">
        <v>30</v>
      </c>
      <c r="C503" t="str">
        <f t="shared" si="30"/>
        <v>26-35</v>
      </c>
      <c r="D503" t="s">
        <v>38</v>
      </c>
      <c r="E503" t="s">
        <v>39</v>
      </c>
      <c r="F503" s="3">
        <v>1389</v>
      </c>
      <c r="G503" t="s">
        <v>40</v>
      </c>
      <c r="H503" s="1">
        <v>3</v>
      </c>
      <c r="I503" t="s">
        <v>61</v>
      </c>
      <c r="J503" t="s">
        <v>46</v>
      </c>
      <c r="K503" t="s">
        <v>60</v>
      </c>
      <c r="L503" t="s">
        <v>35</v>
      </c>
      <c r="M503" s="3">
        <v>71</v>
      </c>
      <c r="N503" t="s">
        <v>60</v>
      </c>
      <c r="O503" t="s">
        <v>59</v>
      </c>
      <c r="P503" t="s">
        <v>42</v>
      </c>
      <c r="Q503" t="s">
        <v>60</v>
      </c>
      <c r="R503" t="s">
        <v>47</v>
      </c>
      <c r="S503" s="3">
        <v>2083</v>
      </c>
      <c r="T503" s="3">
        <v>22653</v>
      </c>
      <c r="U503" s="3" t="str">
        <f t="shared" si="31"/>
        <v>Low</v>
      </c>
      <c r="V503">
        <v>1</v>
      </c>
      <c r="W503" t="s">
        <v>38</v>
      </c>
      <c r="X503" s="2">
        <v>20</v>
      </c>
      <c r="Y503" t="s">
        <v>62</v>
      </c>
      <c r="Z503" t="s">
        <v>60</v>
      </c>
      <c r="AA503">
        <v>1</v>
      </c>
      <c r="AB503">
        <v>1</v>
      </c>
      <c r="AC503">
        <v>2</v>
      </c>
      <c r="AD503">
        <v>3</v>
      </c>
      <c r="AE503">
        <v>1</v>
      </c>
      <c r="AF503">
        <v>0</v>
      </c>
      <c r="AG503">
        <v>0</v>
      </c>
      <c r="AH503">
        <v>0</v>
      </c>
      <c r="AI503" t="str">
        <f t="shared" si="28"/>
        <v>0-2 Years</v>
      </c>
      <c r="AJ503" t="str">
        <f t="shared" si="29"/>
        <v>0-2</v>
      </c>
    </row>
    <row r="504" spans="1:36" x14ac:dyDescent="0.35">
      <c r="A504">
        <v>503</v>
      </c>
      <c r="B504">
        <v>53</v>
      </c>
      <c r="C504" t="str">
        <f t="shared" si="30"/>
        <v>46-55</v>
      </c>
      <c r="D504" t="s">
        <v>38</v>
      </c>
      <c r="E504" t="s">
        <v>32</v>
      </c>
      <c r="F504" s="3">
        <v>1389</v>
      </c>
      <c r="G504" t="s">
        <v>33</v>
      </c>
      <c r="H504" s="1">
        <v>1</v>
      </c>
      <c r="I504" t="s">
        <v>59</v>
      </c>
      <c r="J504" t="s">
        <v>46</v>
      </c>
      <c r="K504" t="s">
        <v>62</v>
      </c>
      <c r="L504" t="s">
        <v>35</v>
      </c>
      <c r="M504" s="3">
        <v>34</v>
      </c>
      <c r="N504" t="s">
        <v>60</v>
      </c>
      <c r="O504" t="s">
        <v>61</v>
      </c>
      <c r="P504" t="s">
        <v>36</v>
      </c>
      <c r="Q504" t="s">
        <v>59</v>
      </c>
      <c r="R504" t="s">
        <v>37</v>
      </c>
      <c r="S504" s="3">
        <v>8381</v>
      </c>
      <c r="T504" s="3">
        <v>7507</v>
      </c>
      <c r="U504" s="3" t="str">
        <f t="shared" si="31"/>
        <v>Medium</v>
      </c>
      <c r="V504">
        <v>7</v>
      </c>
      <c r="W504" t="s">
        <v>38</v>
      </c>
      <c r="X504" s="2">
        <v>20</v>
      </c>
      <c r="Y504" t="s">
        <v>62</v>
      </c>
      <c r="Z504" t="s">
        <v>62</v>
      </c>
      <c r="AA504">
        <v>0</v>
      </c>
      <c r="AB504">
        <v>18</v>
      </c>
      <c r="AC504">
        <v>2</v>
      </c>
      <c r="AD504">
        <v>4</v>
      </c>
      <c r="AE504">
        <v>14</v>
      </c>
      <c r="AF504">
        <v>7</v>
      </c>
      <c r="AG504">
        <v>8</v>
      </c>
      <c r="AH504">
        <v>10</v>
      </c>
      <c r="AI504" t="str">
        <f t="shared" si="28"/>
        <v>10+ Years</v>
      </c>
      <c r="AJ504" t="str">
        <f t="shared" si="29"/>
        <v>6+</v>
      </c>
    </row>
    <row r="505" spans="1:36" x14ac:dyDescent="0.35">
      <c r="A505">
        <v>504</v>
      </c>
      <c r="B505">
        <v>34</v>
      </c>
      <c r="C505" t="str">
        <f t="shared" si="30"/>
        <v>26-35</v>
      </c>
      <c r="D505" t="s">
        <v>38</v>
      </c>
      <c r="E505" t="s">
        <v>32</v>
      </c>
      <c r="F505" s="3">
        <v>1389</v>
      </c>
      <c r="G505" t="s">
        <v>40</v>
      </c>
      <c r="H505" s="1">
        <v>1</v>
      </c>
      <c r="I505" t="s">
        <v>62</v>
      </c>
      <c r="J505" t="s">
        <v>34</v>
      </c>
      <c r="K505" t="s">
        <v>61</v>
      </c>
      <c r="L505" t="s">
        <v>41</v>
      </c>
      <c r="M505" s="3">
        <v>42</v>
      </c>
      <c r="N505" t="s">
        <v>60</v>
      </c>
      <c r="O505" t="s">
        <v>59</v>
      </c>
      <c r="P505" t="s">
        <v>42</v>
      </c>
      <c r="Q505" t="s">
        <v>62</v>
      </c>
      <c r="R505" t="s">
        <v>43</v>
      </c>
      <c r="S505" s="3">
        <v>2691</v>
      </c>
      <c r="T505" s="3">
        <v>7660</v>
      </c>
      <c r="U505" s="3" t="str">
        <f t="shared" si="31"/>
        <v>Low</v>
      </c>
      <c r="V505">
        <v>1</v>
      </c>
      <c r="W505" t="s">
        <v>38</v>
      </c>
      <c r="X505" s="2">
        <v>12</v>
      </c>
      <c r="Y505" t="s">
        <v>60</v>
      </c>
      <c r="Z505" t="s">
        <v>62</v>
      </c>
      <c r="AA505">
        <v>1</v>
      </c>
      <c r="AB505">
        <v>10</v>
      </c>
      <c r="AC505">
        <v>4</v>
      </c>
      <c r="AD505">
        <v>2</v>
      </c>
      <c r="AE505">
        <v>10</v>
      </c>
      <c r="AF505">
        <v>9</v>
      </c>
      <c r="AG505">
        <v>8</v>
      </c>
      <c r="AH505">
        <v>8</v>
      </c>
      <c r="AI505" t="str">
        <f t="shared" si="28"/>
        <v>6-10 Years</v>
      </c>
      <c r="AJ505" t="str">
        <f t="shared" si="29"/>
        <v>6+</v>
      </c>
    </row>
    <row r="506" spans="1:36" x14ac:dyDescent="0.35">
      <c r="A506">
        <v>505</v>
      </c>
      <c r="B506">
        <v>45</v>
      </c>
      <c r="C506" t="str">
        <f t="shared" si="30"/>
        <v>36-45</v>
      </c>
      <c r="D506" t="s">
        <v>31</v>
      </c>
      <c r="E506" t="s">
        <v>39</v>
      </c>
      <c r="F506" s="3">
        <v>1389</v>
      </c>
      <c r="G506" t="s">
        <v>33</v>
      </c>
      <c r="H506" s="1">
        <v>26</v>
      </c>
      <c r="I506" t="s">
        <v>60</v>
      </c>
      <c r="J506" t="s">
        <v>34</v>
      </c>
      <c r="K506" t="s">
        <v>59</v>
      </c>
      <c r="L506" t="s">
        <v>35</v>
      </c>
      <c r="M506" s="3">
        <v>100</v>
      </c>
      <c r="N506" t="s">
        <v>60</v>
      </c>
      <c r="O506" t="s">
        <v>61</v>
      </c>
      <c r="P506" t="s">
        <v>36</v>
      </c>
      <c r="Q506" t="s">
        <v>59</v>
      </c>
      <c r="R506" t="s">
        <v>43</v>
      </c>
      <c r="S506" s="3">
        <v>4286</v>
      </c>
      <c r="T506" s="3">
        <v>5630</v>
      </c>
      <c r="U506" s="3" t="str">
        <f t="shared" si="31"/>
        <v>Low</v>
      </c>
      <c r="V506">
        <v>2</v>
      </c>
      <c r="W506" t="s">
        <v>38</v>
      </c>
      <c r="X506" s="2">
        <v>14</v>
      </c>
      <c r="Y506" t="s">
        <v>60</v>
      </c>
      <c r="Z506" t="s">
        <v>62</v>
      </c>
      <c r="AA506">
        <v>2</v>
      </c>
      <c r="AB506">
        <v>5</v>
      </c>
      <c r="AC506">
        <v>4</v>
      </c>
      <c r="AD506">
        <v>3</v>
      </c>
      <c r="AE506">
        <v>1</v>
      </c>
      <c r="AF506">
        <v>1</v>
      </c>
      <c r="AG506">
        <v>0</v>
      </c>
      <c r="AH506">
        <v>0</v>
      </c>
      <c r="AI506" t="str">
        <f t="shared" si="28"/>
        <v>0-2 Years</v>
      </c>
      <c r="AJ506" t="str">
        <f t="shared" si="29"/>
        <v>0-2</v>
      </c>
    </row>
    <row r="507" spans="1:36" x14ac:dyDescent="0.35">
      <c r="A507">
        <v>506</v>
      </c>
      <c r="B507">
        <v>26</v>
      </c>
      <c r="C507" t="str">
        <f t="shared" si="30"/>
        <v>26-35</v>
      </c>
      <c r="D507" t="s">
        <v>38</v>
      </c>
      <c r="E507" t="s">
        <v>32</v>
      </c>
      <c r="F507" s="3">
        <v>1389</v>
      </c>
      <c r="G507" t="s">
        <v>40</v>
      </c>
      <c r="H507" s="1">
        <v>6</v>
      </c>
      <c r="I507" t="s">
        <v>61</v>
      </c>
      <c r="J507" t="s">
        <v>34</v>
      </c>
      <c r="K507" t="s">
        <v>60</v>
      </c>
      <c r="L507" t="s">
        <v>35</v>
      </c>
      <c r="M507" s="3">
        <v>71</v>
      </c>
      <c r="N507" t="s">
        <v>60</v>
      </c>
      <c r="O507" t="s">
        <v>59</v>
      </c>
      <c r="P507" t="s">
        <v>45</v>
      </c>
      <c r="Q507" t="s">
        <v>62</v>
      </c>
      <c r="R507" t="s">
        <v>43</v>
      </c>
      <c r="S507" s="3">
        <v>2659</v>
      </c>
      <c r="T507" s="3">
        <v>17759</v>
      </c>
      <c r="U507" s="3" t="str">
        <f t="shared" si="31"/>
        <v>Low</v>
      </c>
      <c r="V507">
        <v>1</v>
      </c>
      <c r="W507" t="s">
        <v>31</v>
      </c>
      <c r="X507" s="2">
        <v>13</v>
      </c>
      <c r="Y507" t="s">
        <v>60</v>
      </c>
      <c r="Z507" t="s">
        <v>60</v>
      </c>
      <c r="AA507">
        <v>1</v>
      </c>
      <c r="AB507">
        <v>3</v>
      </c>
      <c r="AC507">
        <v>2</v>
      </c>
      <c r="AD507">
        <v>3</v>
      </c>
      <c r="AE507">
        <v>3</v>
      </c>
      <c r="AF507">
        <v>2</v>
      </c>
      <c r="AG507">
        <v>0</v>
      </c>
      <c r="AH507">
        <v>2</v>
      </c>
      <c r="AI507" t="str">
        <f t="shared" si="28"/>
        <v>3-5 Years</v>
      </c>
      <c r="AJ507" t="str">
        <f t="shared" si="29"/>
        <v>0-2</v>
      </c>
    </row>
    <row r="508" spans="1:36" x14ac:dyDescent="0.35">
      <c r="A508">
        <v>507</v>
      </c>
      <c r="B508">
        <v>37</v>
      </c>
      <c r="C508" t="str">
        <f t="shared" si="30"/>
        <v>36-45</v>
      </c>
      <c r="D508" t="s">
        <v>38</v>
      </c>
      <c r="E508" t="s">
        <v>32</v>
      </c>
      <c r="F508" s="3">
        <v>1389</v>
      </c>
      <c r="G508" t="s">
        <v>40</v>
      </c>
      <c r="H508" s="1">
        <v>3</v>
      </c>
      <c r="I508" t="s">
        <v>61</v>
      </c>
      <c r="J508" t="s">
        <v>44</v>
      </c>
      <c r="K508" t="s">
        <v>60</v>
      </c>
      <c r="L508" t="s">
        <v>41</v>
      </c>
      <c r="M508" s="3">
        <v>36</v>
      </c>
      <c r="N508" t="s">
        <v>60</v>
      </c>
      <c r="O508" t="s">
        <v>60</v>
      </c>
      <c r="P508" t="s">
        <v>48</v>
      </c>
      <c r="Q508" t="s">
        <v>60</v>
      </c>
      <c r="R508" t="s">
        <v>43</v>
      </c>
      <c r="S508" s="3">
        <v>9434</v>
      </c>
      <c r="T508" s="3">
        <v>9606</v>
      </c>
      <c r="U508" s="3" t="str">
        <f t="shared" si="31"/>
        <v>Medium</v>
      </c>
      <c r="V508">
        <v>1</v>
      </c>
      <c r="W508" t="s">
        <v>38</v>
      </c>
      <c r="X508" s="2">
        <v>15</v>
      </c>
      <c r="Y508" t="s">
        <v>60</v>
      </c>
      <c r="Z508" t="s">
        <v>60</v>
      </c>
      <c r="AA508">
        <v>1</v>
      </c>
      <c r="AB508">
        <v>10</v>
      </c>
      <c r="AC508">
        <v>2</v>
      </c>
      <c r="AD508">
        <v>3</v>
      </c>
      <c r="AE508">
        <v>10</v>
      </c>
      <c r="AF508">
        <v>7</v>
      </c>
      <c r="AG508">
        <v>7</v>
      </c>
      <c r="AH508">
        <v>8</v>
      </c>
      <c r="AI508" t="str">
        <f t="shared" si="28"/>
        <v>6-10 Years</v>
      </c>
      <c r="AJ508" t="str">
        <f t="shared" si="29"/>
        <v>6+</v>
      </c>
    </row>
    <row r="509" spans="1:36" x14ac:dyDescent="0.35">
      <c r="A509">
        <v>508</v>
      </c>
      <c r="B509">
        <v>29</v>
      </c>
      <c r="C509" t="str">
        <f t="shared" si="30"/>
        <v>26-35</v>
      </c>
      <c r="D509" t="s">
        <v>38</v>
      </c>
      <c r="E509" t="s">
        <v>32</v>
      </c>
      <c r="F509" s="3">
        <v>1389</v>
      </c>
      <c r="G509" t="s">
        <v>33</v>
      </c>
      <c r="H509" s="1">
        <v>3</v>
      </c>
      <c r="I509" t="s">
        <v>58</v>
      </c>
      <c r="J509" t="s">
        <v>46</v>
      </c>
      <c r="K509" t="s">
        <v>61</v>
      </c>
      <c r="L509" t="s">
        <v>35</v>
      </c>
      <c r="M509" s="3">
        <v>62</v>
      </c>
      <c r="N509" t="s">
        <v>60</v>
      </c>
      <c r="O509" t="s">
        <v>61</v>
      </c>
      <c r="P509" t="s">
        <v>36</v>
      </c>
      <c r="Q509" t="s">
        <v>60</v>
      </c>
      <c r="R509" t="s">
        <v>43</v>
      </c>
      <c r="S509" s="3">
        <v>5561</v>
      </c>
      <c r="T509" s="3">
        <v>3487</v>
      </c>
      <c r="U509" s="3" t="str">
        <f t="shared" si="31"/>
        <v>Medium</v>
      </c>
      <c r="V509">
        <v>1</v>
      </c>
      <c r="W509" t="s">
        <v>38</v>
      </c>
      <c r="X509" s="2">
        <v>14</v>
      </c>
      <c r="Y509" t="s">
        <v>60</v>
      </c>
      <c r="Z509" t="s">
        <v>59</v>
      </c>
      <c r="AA509">
        <v>1</v>
      </c>
      <c r="AB509">
        <v>6</v>
      </c>
      <c r="AC509">
        <v>5</v>
      </c>
      <c r="AD509">
        <v>2</v>
      </c>
      <c r="AE509">
        <v>6</v>
      </c>
      <c r="AF509">
        <v>0</v>
      </c>
      <c r="AG509">
        <v>1</v>
      </c>
      <c r="AH509">
        <v>2</v>
      </c>
      <c r="AI509" t="str">
        <f t="shared" si="28"/>
        <v>6-10 Years</v>
      </c>
      <c r="AJ509" t="str">
        <f t="shared" si="29"/>
        <v>0-2</v>
      </c>
    </row>
    <row r="510" spans="1:36" x14ac:dyDescent="0.35">
      <c r="A510">
        <v>509</v>
      </c>
      <c r="B510">
        <v>35</v>
      </c>
      <c r="C510" t="str">
        <f t="shared" si="30"/>
        <v>26-35</v>
      </c>
      <c r="D510" t="s">
        <v>38</v>
      </c>
      <c r="E510" t="s">
        <v>32</v>
      </c>
      <c r="F510" s="3">
        <v>1389</v>
      </c>
      <c r="G510" t="s">
        <v>40</v>
      </c>
      <c r="H510" s="1">
        <v>6</v>
      </c>
      <c r="I510" t="s">
        <v>60</v>
      </c>
      <c r="J510" t="s">
        <v>34</v>
      </c>
      <c r="K510" t="s">
        <v>61</v>
      </c>
      <c r="L510" t="s">
        <v>41</v>
      </c>
      <c r="M510" s="3">
        <v>82</v>
      </c>
      <c r="N510" t="s">
        <v>59</v>
      </c>
      <c r="O510" t="s">
        <v>61</v>
      </c>
      <c r="P510" t="s">
        <v>42</v>
      </c>
      <c r="Q510" t="s">
        <v>62</v>
      </c>
      <c r="R510" t="s">
        <v>37</v>
      </c>
      <c r="S510" s="3">
        <v>6646</v>
      </c>
      <c r="T510" s="3">
        <v>19368</v>
      </c>
      <c r="U510" s="3" t="str">
        <f t="shared" si="31"/>
        <v>Medium</v>
      </c>
      <c r="V510">
        <v>1</v>
      </c>
      <c r="W510" t="s">
        <v>38</v>
      </c>
      <c r="X510" s="2">
        <v>13</v>
      </c>
      <c r="Y510" t="s">
        <v>60</v>
      </c>
      <c r="Z510" t="s">
        <v>61</v>
      </c>
      <c r="AA510">
        <v>0</v>
      </c>
      <c r="AB510">
        <v>17</v>
      </c>
      <c r="AC510">
        <v>3</v>
      </c>
      <c r="AD510">
        <v>3</v>
      </c>
      <c r="AE510">
        <v>17</v>
      </c>
      <c r="AF510">
        <v>11</v>
      </c>
      <c r="AG510">
        <v>11</v>
      </c>
      <c r="AH510">
        <v>8</v>
      </c>
      <c r="AI510" t="str">
        <f t="shared" si="28"/>
        <v>10+ Years</v>
      </c>
      <c r="AJ510" t="str">
        <f t="shared" si="29"/>
        <v>6+</v>
      </c>
    </row>
    <row r="511" spans="1:36" x14ac:dyDescent="0.35">
      <c r="A511">
        <v>510</v>
      </c>
      <c r="B511">
        <v>33</v>
      </c>
      <c r="C511" t="str">
        <f t="shared" si="30"/>
        <v>26-35</v>
      </c>
      <c r="D511" t="s">
        <v>38</v>
      </c>
      <c r="E511" t="s">
        <v>39</v>
      </c>
      <c r="F511" s="3">
        <v>1389</v>
      </c>
      <c r="G511" t="s">
        <v>40</v>
      </c>
      <c r="H511" s="1">
        <v>6</v>
      </c>
      <c r="I511" t="s">
        <v>61</v>
      </c>
      <c r="J511" t="s">
        <v>34</v>
      </c>
      <c r="K511" t="s">
        <v>60</v>
      </c>
      <c r="L511" t="s">
        <v>41</v>
      </c>
      <c r="M511" s="3">
        <v>30</v>
      </c>
      <c r="N511" t="s">
        <v>60</v>
      </c>
      <c r="O511" t="s">
        <v>61</v>
      </c>
      <c r="P511" t="s">
        <v>49</v>
      </c>
      <c r="Q511" t="s">
        <v>62</v>
      </c>
      <c r="R511" t="s">
        <v>47</v>
      </c>
      <c r="S511" s="3">
        <v>7725</v>
      </c>
      <c r="T511" s="3">
        <v>5335</v>
      </c>
      <c r="U511" s="3" t="str">
        <f t="shared" si="31"/>
        <v>Medium</v>
      </c>
      <c r="V511">
        <v>3</v>
      </c>
      <c r="W511" t="s">
        <v>38</v>
      </c>
      <c r="X511" s="2">
        <v>23</v>
      </c>
      <c r="Y511" t="s">
        <v>62</v>
      </c>
      <c r="Z511" t="s">
        <v>60</v>
      </c>
      <c r="AA511">
        <v>1</v>
      </c>
      <c r="AB511">
        <v>15</v>
      </c>
      <c r="AC511">
        <v>2</v>
      </c>
      <c r="AD511">
        <v>1</v>
      </c>
      <c r="AE511">
        <v>13</v>
      </c>
      <c r="AF511">
        <v>11</v>
      </c>
      <c r="AG511">
        <v>4</v>
      </c>
      <c r="AH511">
        <v>7</v>
      </c>
      <c r="AI511" t="str">
        <f t="shared" si="28"/>
        <v>10+ Years</v>
      </c>
      <c r="AJ511" t="str">
        <f t="shared" si="29"/>
        <v>3-5</v>
      </c>
    </row>
    <row r="512" spans="1:36" x14ac:dyDescent="0.35">
      <c r="A512">
        <v>511</v>
      </c>
      <c r="B512">
        <v>54</v>
      </c>
      <c r="C512" t="str">
        <f t="shared" si="30"/>
        <v>46-55</v>
      </c>
      <c r="D512" t="s">
        <v>38</v>
      </c>
      <c r="E512" t="s">
        <v>32</v>
      </c>
      <c r="F512" s="3">
        <v>1389</v>
      </c>
      <c r="G512" t="s">
        <v>56</v>
      </c>
      <c r="H512" s="1">
        <v>19</v>
      </c>
      <c r="I512" t="s">
        <v>60</v>
      </c>
      <c r="J512" t="s">
        <v>46</v>
      </c>
      <c r="K512" t="s">
        <v>60</v>
      </c>
      <c r="L512" t="s">
        <v>41</v>
      </c>
      <c r="M512" s="3">
        <v>88</v>
      </c>
      <c r="N512" t="s">
        <v>60</v>
      </c>
      <c r="O512" t="s">
        <v>60</v>
      </c>
      <c r="P512" t="s">
        <v>56</v>
      </c>
      <c r="Q512" t="s">
        <v>61</v>
      </c>
      <c r="R512" t="s">
        <v>43</v>
      </c>
      <c r="S512" s="3">
        <v>10725</v>
      </c>
      <c r="T512" s="3">
        <v>6729</v>
      </c>
      <c r="U512" s="3" t="str">
        <f t="shared" si="31"/>
        <v>High</v>
      </c>
      <c r="V512">
        <v>2</v>
      </c>
      <c r="W512" t="s">
        <v>38</v>
      </c>
      <c r="X512" s="2">
        <v>15</v>
      </c>
      <c r="Y512" t="s">
        <v>60</v>
      </c>
      <c r="Z512" t="s">
        <v>60</v>
      </c>
      <c r="AA512">
        <v>1</v>
      </c>
      <c r="AB512">
        <v>16</v>
      </c>
      <c r="AC512">
        <v>1</v>
      </c>
      <c r="AD512">
        <v>4</v>
      </c>
      <c r="AE512">
        <v>9</v>
      </c>
      <c r="AF512">
        <v>7</v>
      </c>
      <c r="AG512">
        <v>7</v>
      </c>
      <c r="AH512">
        <v>1</v>
      </c>
      <c r="AI512" t="str">
        <f t="shared" si="28"/>
        <v>6-10 Years</v>
      </c>
      <c r="AJ512" t="str">
        <f t="shared" si="29"/>
        <v>6+</v>
      </c>
    </row>
    <row r="513" spans="1:36" x14ac:dyDescent="0.35">
      <c r="A513">
        <v>512</v>
      </c>
      <c r="B513">
        <v>36</v>
      </c>
      <c r="C513" t="str">
        <f t="shared" si="30"/>
        <v>36-45</v>
      </c>
      <c r="D513" t="s">
        <v>38</v>
      </c>
      <c r="E513" t="s">
        <v>32</v>
      </c>
      <c r="F513" s="3">
        <v>1389</v>
      </c>
      <c r="G513" t="s">
        <v>40</v>
      </c>
      <c r="H513" s="1">
        <v>9</v>
      </c>
      <c r="I513" t="s">
        <v>58</v>
      </c>
      <c r="J513" t="s">
        <v>46</v>
      </c>
      <c r="K513" t="s">
        <v>61</v>
      </c>
      <c r="L513" t="s">
        <v>41</v>
      </c>
      <c r="M513" s="3">
        <v>48</v>
      </c>
      <c r="N513" t="s">
        <v>61</v>
      </c>
      <c r="O513" t="s">
        <v>61</v>
      </c>
      <c r="P513" t="s">
        <v>48</v>
      </c>
      <c r="Q513" t="s">
        <v>61</v>
      </c>
      <c r="R513" t="s">
        <v>47</v>
      </c>
      <c r="S513" s="3">
        <v>8847</v>
      </c>
      <c r="T513" s="3">
        <v>13934</v>
      </c>
      <c r="U513" s="3" t="str">
        <f t="shared" si="31"/>
        <v>Medium</v>
      </c>
      <c r="V513">
        <v>2</v>
      </c>
      <c r="W513" t="s">
        <v>31</v>
      </c>
      <c r="X513" s="2">
        <v>11</v>
      </c>
      <c r="Y513" t="s">
        <v>60</v>
      </c>
      <c r="Z513" t="s">
        <v>60</v>
      </c>
      <c r="AA513">
        <v>1</v>
      </c>
      <c r="AB513">
        <v>13</v>
      </c>
      <c r="AC513">
        <v>2</v>
      </c>
      <c r="AD513">
        <v>3</v>
      </c>
      <c r="AE513">
        <v>3</v>
      </c>
      <c r="AF513">
        <v>2</v>
      </c>
      <c r="AG513">
        <v>0</v>
      </c>
      <c r="AH513">
        <v>2</v>
      </c>
      <c r="AI513" t="str">
        <f t="shared" si="28"/>
        <v>3-5 Years</v>
      </c>
      <c r="AJ513" t="str">
        <f t="shared" si="29"/>
        <v>0-2</v>
      </c>
    </row>
    <row r="514" spans="1:36" x14ac:dyDescent="0.35">
      <c r="A514">
        <v>513</v>
      </c>
      <c r="B514">
        <v>27</v>
      </c>
      <c r="C514" t="str">
        <f t="shared" si="30"/>
        <v>26-35</v>
      </c>
      <c r="D514" t="s">
        <v>38</v>
      </c>
      <c r="E514" t="s">
        <v>32</v>
      </c>
      <c r="F514" s="3">
        <v>1389</v>
      </c>
      <c r="G514" t="s">
        <v>40</v>
      </c>
      <c r="H514" s="1">
        <v>3</v>
      </c>
      <c r="I514" t="s">
        <v>60</v>
      </c>
      <c r="J514" t="s">
        <v>46</v>
      </c>
      <c r="K514" t="s">
        <v>59</v>
      </c>
      <c r="L514" t="s">
        <v>41</v>
      </c>
      <c r="M514" s="3">
        <v>54</v>
      </c>
      <c r="N514" t="s">
        <v>61</v>
      </c>
      <c r="O514" t="s">
        <v>59</v>
      </c>
      <c r="P514" t="s">
        <v>42</v>
      </c>
      <c r="Q514" t="s">
        <v>62</v>
      </c>
      <c r="R514" t="s">
        <v>37</v>
      </c>
      <c r="S514" s="3">
        <v>2045</v>
      </c>
      <c r="T514" s="3">
        <v>15174</v>
      </c>
      <c r="U514" s="3" t="str">
        <f t="shared" si="31"/>
        <v>Low</v>
      </c>
      <c r="V514">
        <v>0</v>
      </c>
      <c r="W514" t="s">
        <v>38</v>
      </c>
      <c r="X514" s="2">
        <v>13</v>
      </c>
      <c r="Y514" t="s">
        <v>60</v>
      </c>
      <c r="Z514" t="s">
        <v>62</v>
      </c>
      <c r="AA514">
        <v>0</v>
      </c>
      <c r="AB514">
        <v>5</v>
      </c>
      <c r="AC514">
        <v>0</v>
      </c>
      <c r="AD514">
        <v>3</v>
      </c>
      <c r="AE514">
        <v>4</v>
      </c>
      <c r="AF514">
        <v>2</v>
      </c>
      <c r="AG514">
        <v>1</v>
      </c>
      <c r="AH514">
        <v>1</v>
      </c>
      <c r="AI514" t="str">
        <f t="shared" ref="AI514:AI577" si="32">IF(AE514&lt;=2,"0-2 Years",
IF(AE514&lt;=5,"3-5 Years",
IF(AE514&lt;=10,"6-10 Years","10+ Years")))</f>
        <v>3-5 Years</v>
      </c>
      <c r="AJ514" t="str">
        <f t="shared" ref="AJ514:AJ577" si="33">IF(AG514&lt;=2,"0-2",
IF(AG514&lt;=5,"3-5","6+"))</f>
        <v>0-2</v>
      </c>
    </row>
    <row r="515" spans="1:36" x14ac:dyDescent="0.35">
      <c r="A515">
        <v>514</v>
      </c>
      <c r="B515">
        <v>20</v>
      </c>
      <c r="C515" t="str">
        <f t="shared" ref="C515:C578" si="34">IF(B515&lt;=25,"18-25",
IF(B515&lt;=35,"26-35",
IF(B515&lt;=45,"36-45",
IF(B515&lt;=55,"46-55","55+"))))</f>
        <v>18-25</v>
      </c>
      <c r="D515" t="s">
        <v>31</v>
      </c>
      <c r="E515" t="s">
        <v>32</v>
      </c>
      <c r="F515" s="3">
        <v>1389</v>
      </c>
      <c r="G515" t="s">
        <v>40</v>
      </c>
      <c r="H515" s="1">
        <v>10</v>
      </c>
      <c r="I515" t="s">
        <v>59</v>
      </c>
      <c r="J515" t="s">
        <v>46</v>
      </c>
      <c r="K515" t="s">
        <v>62</v>
      </c>
      <c r="L515" t="s">
        <v>41</v>
      </c>
      <c r="M515" s="3">
        <v>32</v>
      </c>
      <c r="N515" t="s">
        <v>60</v>
      </c>
      <c r="O515" t="s">
        <v>59</v>
      </c>
      <c r="P515" t="s">
        <v>42</v>
      </c>
      <c r="Q515" t="s">
        <v>60</v>
      </c>
      <c r="R515" t="s">
        <v>37</v>
      </c>
      <c r="S515" s="3">
        <v>1009</v>
      </c>
      <c r="T515" s="3">
        <v>26999</v>
      </c>
      <c r="U515" s="3" t="str">
        <f t="shared" ref="U515:U578" si="35">_xlfn.IFS(S515&lt;5000,"Low",S515&lt;10000,"Medium",S515&gt;10000,"High")</f>
        <v>Low</v>
      </c>
      <c r="V515">
        <v>1</v>
      </c>
      <c r="W515" t="s">
        <v>31</v>
      </c>
      <c r="X515" s="2">
        <v>11</v>
      </c>
      <c r="Y515" t="s">
        <v>60</v>
      </c>
      <c r="Z515" t="s">
        <v>62</v>
      </c>
      <c r="AA515">
        <v>0</v>
      </c>
      <c r="AB515">
        <v>1</v>
      </c>
      <c r="AC515">
        <v>5</v>
      </c>
      <c r="AD515">
        <v>3</v>
      </c>
      <c r="AE515">
        <v>1</v>
      </c>
      <c r="AF515">
        <v>0</v>
      </c>
      <c r="AG515">
        <v>1</v>
      </c>
      <c r="AH515">
        <v>1</v>
      </c>
      <c r="AI515" t="str">
        <f t="shared" si="32"/>
        <v>0-2 Years</v>
      </c>
      <c r="AJ515" t="str">
        <f t="shared" si="33"/>
        <v>0-2</v>
      </c>
    </row>
    <row r="516" spans="1:36" x14ac:dyDescent="0.35">
      <c r="A516">
        <v>515</v>
      </c>
      <c r="B516">
        <v>33</v>
      </c>
      <c r="C516" t="str">
        <f t="shared" si="34"/>
        <v>26-35</v>
      </c>
      <c r="D516" t="s">
        <v>31</v>
      </c>
      <c r="E516" t="s">
        <v>39</v>
      </c>
      <c r="F516" s="3">
        <v>1389</v>
      </c>
      <c r="G516" t="s">
        <v>40</v>
      </c>
      <c r="H516" s="1">
        <v>3</v>
      </c>
      <c r="I516" t="s">
        <v>61</v>
      </c>
      <c r="J516" t="s">
        <v>34</v>
      </c>
      <c r="K516" t="s">
        <v>59</v>
      </c>
      <c r="L516" t="s">
        <v>41</v>
      </c>
      <c r="M516" s="3">
        <v>70</v>
      </c>
      <c r="N516" t="s">
        <v>60</v>
      </c>
      <c r="O516" t="s">
        <v>59</v>
      </c>
      <c r="P516" t="s">
        <v>42</v>
      </c>
      <c r="Q516" t="s">
        <v>59</v>
      </c>
      <c r="R516" t="s">
        <v>37</v>
      </c>
      <c r="S516" s="3">
        <v>3348</v>
      </c>
      <c r="T516" s="3">
        <v>3164</v>
      </c>
      <c r="U516" s="3" t="str">
        <f t="shared" si="35"/>
        <v>Low</v>
      </c>
      <c r="V516">
        <v>1</v>
      </c>
      <c r="W516" t="s">
        <v>31</v>
      </c>
      <c r="X516" s="2">
        <v>11</v>
      </c>
      <c r="Y516" t="s">
        <v>60</v>
      </c>
      <c r="Z516" t="s">
        <v>59</v>
      </c>
      <c r="AA516">
        <v>0</v>
      </c>
      <c r="AB516">
        <v>10</v>
      </c>
      <c r="AC516">
        <v>3</v>
      </c>
      <c r="AD516">
        <v>3</v>
      </c>
      <c r="AE516">
        <v>10</v>
      </c>
      <c r="AF516">
        <v>8</v>
      </c>
      <c r="AG516">
        <v>9</v>
      </c>
      <c r="AH516">
        <v>7</v>
      </c>
      <c r="AI516" t="str">
        <f t="shared" si="32"/>
        <v>6-10 Years</v>
      </c>
      <c r="AJ516" t="str">
        <f t="shared" si="33"/>
        <v>6+</v>
      </c>
    </row>
    <row r="517" spans="1:36" x14ac:dyDescent="0.35">
      <c r="A517">
        <v>516</v>
      </c>
      <c r="B517">
        <v>35</v>
      </c>
      <c r="C517" t="str">
        <f t="shared" si="34"/>
        <v>26-35</v>
      </c>
      <c r="D517" t="s">
        <v>38</v>
      </c>
      <c r="E517" t="s">
        <v>50</v>
      </c>
      <c r="F517" s="3">
        <v>1389</v>
      </c>
      <c r="G517" t="s">
        <v>40</v>
      </c>
      <c r="H517" s="1">
        <v>3</v>
      </c>
      <c r="I517" t="s">
        <v>61</v>
      </c>
      <c r="J517" t="s">
        <v>34</v>
      </c>
      <c r="K517" t="s">
        <v>60</v>
      </c>
      <c r="L517" t="s">
        <v>41</v>
      </c>
      <c r="M517" s="3">
        <v>41</v>
      </c>
      <c r="N517" t="s">
        <v>61</v>
      </c>
      <c r="O517" t="s">
        <v>59</v>
      </c>
      <c r="P517" t="s">
        <v>45</v>
      </c>
      <c r="Q517" t="s">
        <v>60</v>
      </c>
      <c r="R517" t="s">
        <v>43</v>
      </c>
      <c r="S517" s="3">
        <v>1281</v>
      </c>
      <c r="T517" s="3">
        <v>16900</v>
      </c>
      <c r="U517" s="3" t="str">
        <f t="shared" si="35"/>
        <v>Low</v>
      </c>
      <c r="V517">
        <v>1</v>
      </c>
      <c r="W517" t="s">
        <v>38</v>
      </c>
      <c r="X517" s="2">
        <v>18</v>
      </c>
      <c r="Y517" t="s">
        <v>60</v>
      </c>
      <c r="Z517" t="s">
        <v>60</v>
      </c>
      <c r="AA517">
        <v>2</v>
      </c>
      <c r="AB517">
        <v>1</v>
      </c>
      <c r="AC517">
        <v>3</v>
      </c>
      <c r="AD517">
        <v>3</v>
      </c>
      <c r="AE517">
        <v>1</v>
      </c>
      <c r="AF517">
        <v>0</v>
      </c>
      <c r="AG517">
        <v>0</v>
      </c>
      <c r="AH517">
        <v>0</v>
      </c>
      <c r="AI517" t="str">
        <f t="shared" si="32"/>
        <v>0-2 Years</v>
      </c>
      <c r="AJ517" t="str">
        <f t="shared" si="33"/>
        <v>0-2</v>
      </c>
    </row>
    <row r="518" spans="1:36" x14ac:dyDescent="0.35">
      <c r="A518">
        <v>517</v>
      </c>
      <c r="B518">
        <v>23</v>
      </c>
      <c r="C518" t="str">
        <f t="shared" si="34"/>
        <v>18-25</v>
      </c>
      <c r="D518" t="s">
        <v>38</v>
      </c>
      <c r="E518" t="s">
        <v>32</v>
      </c>
      <c r="F518" s="3">
        <v>1389</v>
      </c>
      <c r="G518" t="s">
        <v>40</v>
      </c>
      <c r="H518" s="1">
        <v>4</v>
      </c>
      <c r="I518" t="s">
        <v>61</v>
      </c>
      <c r="J518" t="s">
        <v>46</v>
      </c>
      <c r="K518" t="s">
        <v>59</v>
      </c>
      <c r="L518" t="s">
        <v>41</v>
      </c>
      <c r="M518" s="3">
        <v>58</v>
      </c>
      <c r="N518" t="s">
        <v>62</v>
      </c>
      <c r="O518" t="s">
        <v>59</v>
      </c>
      <c r="P518" t="s">
        <v>42</v>
      </c>
      <c r="Q518" t="s">
        <v>59</v>
      </c>
      <c r="R518" t="s">
        <v>43</v>
      </c>
      <c r="S518" s="3">
        <v>2819</v>
      </c>
      <c r="T518" s="3">
        <v>8544</v>
      </c>
      <c r="U518" s="3" t="str">
        <f t="shared" si="35"/>
        <v>Low</v>
      </c>
      <c r="V518">
        <v>2</v>
      </c>
      <c r="W518" t="s">
        <v>38</v>
      </c>
      <c r="X518" s="2">
        <v>16</v>
      </c>
      <c r="Y518" t="s">
        <v>60</v>
      </c>
      <c r="Z518" t="s">
        <v>59</v>
      </c>
      <c r="AA518">
        <v>1</v>
      </c>
      <c r="AB518">
        <v>5</v>
      </c>
      <c r="AC518">
        <v>3</v>
      </c>
      <c r="AD518">
        <v>4</v>
      </c>
      <c r="AE518">
        <v>3</v>
      </c>
      <c r="AF518">
        <v>2</v>
      </c>
      <c r="AG518">
        <v>0</v>
      </c>
      <c r="AH518">
        <v>2</v>
      </c>
      <c r="AI518" t="str">
        <f t="shared" si="32"/>
        <v>3-5 Years</v>
      </c>
      <c r="AJ518" t="str">
        <f t="shared" si="33"/>
        <v>0-2</v>
      </c>
    </row>
    <row r="519" spans="1:36" x14ac:dyDescent="0.35">
      <c r="A519">
        <v>518</v>
      </c>
      <c r="B519">
        <v>25</v>
      </c>
      <c r="C519" t="str">
        <f t="shared" si="34"/>
        <v>18-25</v>
      </c>
      <c r="D519" t="s">
        <v>38</v>
      </c>
      <c r="E519" t="s">
        <v>32</v>
      </c>
      <c r="F519" s="3">
        <v>1389</v>
      </c>
      <c r="G519" t="s">
        <v>33</v>
      </c>
      <c r="H519" s="1">
        <v>8</v>
      </c>
      <c r="I519" t="s">
        <v>61</v>
      </c>
      <c r="J519" t="s">
        <v>34</v>
      </c>
      <c r="K519" t="s">
        <v>62</v>
      </c>
      <c r="L519" t="s">
        <v>41</v>
      </c>
      <c r="M519" s="3">
        <v>57</v>
      </c>
      <c r="N519" t="s">
        <v>62</v>
      </c>
      <c r="O519" t="s">
        <v>61</v>
      </c>
      <c r="P519" t="s">
        <v>36</v>
      </c>
      <c r="Q519" t="s">
        <v>61</v>
      </c>
      <c r="R519" t="s">
        <v>43</v>
      </c>
      <c r="S519" s="3">
        <v>4851</v>
      </c>
      <c r="T519" s="3">
        <v>15678</v>
      </c>
      <c r="U519" s="3" t="str">
        <f t="shared" si="35"/>
        <v>Low</v>
      </c>
      <c r="V519">
        <v>0</v>
      </c>
      <c r="W519" t="s">
        <v>38</v>
      </c>
      <c r="X519" s="2">
        <v>22</v>
      </c>
      <c r="Y519" t="s">
        <v>62</v>
      </c>
      <c r="Z519" t="s">
        <v>60</v>
      </c>
      <c r="AA519">
        <v>1</v>
      </c>
      <c r="AB519">
        <v>4</v>
      </c>
      <c r="AC519">
        <v>4</v>
      </c>
      <c r="AD519">
        <v>3</v>
      </c>
      <c r="AE519">
        <v>3</v>
      </c>
      <c r="AF519">
        <v>2</v>
      </c>
      <c r="AG519">
        <v>1</v>
      </c>
      <c r="AH519">
        <v>2</v>
      </c>
      <c r="AI519" t="str">
        <f t="shared" si="32"/>
        <v>3-5 Years</v>
      </c>
      <c r="AJ519" t="str">
        <f t="shared" si="33"/>
        <v>0-2</v>
      </c>
    </row>
    <row r="520" spans="1:36" x14ac:dyDescent="0.35">
      <c r="A520">
        <v>519</v>
      </c>
      <c r="B520">
        <v>38</v>
      </c>
      <c r="C520" t="str">
        <f t="shared" si="34"/>
        <v>36-45</v>
      </c>
      <c r="D520" t="s">
        <v>38</v>
      </c>
      <c r="E520" t="s">
        <v>32</v>
      </c>
      <c r="F520" s="3">
        <v>1389</v>
      </c>
      <c r="G520" t="s">
        <v>33</v>
      </c>
      <c r="H520" s="1">
        <v>7</v>
      </c>
      <c r="I520" t="s">
        <v>60</v>
      </c>
      <c r="J520" t="s">
        <v>54</v>
      </c>
      <c r="K520" t="s">
        <v>62</v>
      </c>
      <c r="L520" t="s">
        <v>35</v>
      </c>
      <c r="M520" s="3">
        <v>46</v>
      </c>
      <c r="N520" t="s">
        <v>61</v>
      </c>
      <c r="O520" t="s">
        <v>61</v>
      </c>
      <c r="P520" t="s">
        <v>36</v>
      </c>
      <c r="Q520" t="s">
        <v>62</v>
      </c>
      <c r="R520" t="s">
        <v>37</v>
      </c>
      <c r="S520" s="3">
        <v>4028</v>
      </c>
      <c r="T520" s="3">
        <v>7791</v>
      </c>
      <c r="U520" s="3" t="str">
        <f t="shared" si="35"/>
        <v>Low</v>
      </c>
      <c r="V520">
        <v>0</v>
      </c>
      <c r="W520" t="s">
        <v>38</v>
      </c>
      <c r="X520" s="2">
        <v>20</v>
      </c>
      <c r="Y520" t="s">
        <v>62</v>
      </c>
      <c r="Z520" t="s">
        <v>59</v>
      </c>
      <c r="AA520">
        <v>0</v>
      </c>
      <c r="AB520">
        <v>8</v>
      </c>
      <c r="AC520">
        <v>2</v>
      </c>
      <c r="AD520">
        <v>3</v>
      </c>
      <c r="AE520">
        <v>7</v>
      </c>
      <c r="AF520">
        <v>7</v>
      </c>
      <c r="AG520">
        <v>0</v>
      </c>
      <c r="AH520">
        <v>5</v>
      </c>
      <c r="AI520" t="str">
        <f t="shared" si="32"/>
        <v>6-10 Years</v>
      </c>
      <c r="AJ520" t="str">
        <f t="shared" si="33"/>
        <v>0-2</v>
      </c>
    </row>
    <row r="521" spans="1:36" x14ac:dyDescent="0.35">
      <c r="A521">
        <v>520</v>
      </c>
      <c r="B521">
        <v>29</v>
      </c>
      <c r="C521" t="str">
        <f t="shared" si="34"/>
        <v>26-35</v>
      </c>
      <c r="D521" t="s">
        <v>38</v>
      </c>
      <c r="E521" t="s">
        <v>39</v>
      </c>
      <c r="F521" s="3">
        <v>1389</v>
      </c>
      <c r="G521" t="s">
        <v>40</v>
      </c>
      <c r="H521" s="1">
        <v>1</v>
      </c>
      <c r="I521" t="s">
        <v>60</v>
      </c>
      <c r="J521" t="s">
        <v>34</v>
      </c>
      <c r="K521" t="s">
        <v>61</v>
      </c>
      <c r="L521" t="s">
        <v>41</v>
      </c>
      <c r="M521" s="3">
        <v>76</v>
      </c>
      <c r="N521" t="s">
        <v>59</v>
      </c>
      <c r="O521" t="s">
        <v>59</v>
      </c>
      <c r="P521" t="s">
        <v>42</v>
      </c>
      <c r="Q521" t="s">
        <v>62</v>
      </c>
      <c r="R521" t="s">
        <v>47</v>
      </c>
      <c r="S521" s="3">
        <v>2720</v>
      </c>
      <c r="T521" s="3">
        <v>18959</v>
      </c>
      <c r="U521" s="3" t="str">
        <f t="shared" si="35"/>
        <v>Low</v>
      </c>
      <c r="V521">
        <v>1</v>
      </c>
      <c r="W521" t="s">
        <v>38</v>
      </c>
      <c r="X521" s="2">
        <v>18</v>
      </c>
      <c r="Y521" t="s">
        <v>60</v>
      </c>
      <c r="Z521" t="s">
        <v>62</v>
      </c>
      <c r="AA521">
        <v>1</v>
      </c>
      <c r="AB521">
        <v>10</v>
      </c>
      <c r="AC521">
        <v>5</v>
      </c>
      <c r="AD521">
        <v>3</v>
      </c>
      <c r="AE521">
        <v>10</v>
      </c>
      <c r="AF521">
        <v>7</v>
      </c>
      <c r="AG521">
        <v>2</v>
      </c>
      <c r="AH521">
        <v>8</v>
      </c>
      <c r="AI521" t="str">
        <f t="shared" si="32"/>
        <v>6-10 Years</v>
      </c>
      <c r="AJ521" t="str">
        <f t="shared" si="33"/>
        <v>0-2</v>
      </c>
    </row>
    <row r="522" spans="1:36" x14ac:dyDescent="0.35">
      <c r="A522">
        <v>521</v>
      </c>
      <c r="B522">
        <v>48</v>
      </c>
      <c r="C522" t="str">
        <f t="shared" si="34"/>
        <v>46-55</v>
      </c>
      <c r="D522" t="s">
        <v>38</v>
      </c>
      <c r="E522" t="s">
        <v>32</v>
      </c>
      <c r="F522" s="3">
        <v>1389</v>
      </c>
      <c r="G522" t="s">
        <v>33</v>
      </c>
      <c r="H522" s="1">
        <v>2</v>
      </c>
      <c r="I522" t="s">
        <v>59</v>
      </c>
      <c r="J522" t="s">
        <v>54</v>
      </c>
      <c r="K522" t="s">
        <v>61</v>
      </c>
      <c r="L522" t="s">
        <v>41</v>
      </c>
      <c r="M522" s="3">
        <v>56</v>
      </c>
      <c r="N522" t="s">
        <v>62</v>
      </c>
      <c r="O522" t="s">
        <v>61</v>
      </c>
      <c r="P522" t="s">
        <v>36</v>
      </c>
      <c r="Q522" t="s">
        <v>61</v>
      </c>
      <c r="R522" t="s">
        <v>43</v>
      </c>
      <c r="S522" s="3">
        <v>8120</v>
      </c>
      <c r="T522" s="3">
        <v>18597</v>
      </c>
      <c r="U522" s="3" t="str">
        <f t="shared" si="35"/>
        <v>Medium</v>
      </c>
      <c r="V522">
        <v>3</v>
      </c>
      <c r="W522" t="s">
        <v>38</v>
      </c>
      <c r="X522" s="2">
        <v>12</v>
      </c>
      <c r="Y522" t="s">
        <v>60</v>
      </c>
      <c r="Z522" t="s">
        <v>62</v>
      </c>
      <c r="AA522">
        <v>0</v>
      </c>
      <c r="AB522">
        <v>12</v>
      </c>
      <c r="AC522">
        <v>3</v>
      </c>
      <c r="AD522">
        <v>3</v>
      </c>
      <c r="AE522">
        <v>2</v>
      </c>
      <c r="AF522">
        <v>2</v>
      </c>
      <c r="AG522">
        <v>2</v>
      </c>
      <c r="AH522">
        <v>2</v>
      </c>
      <c r="AI522" t="str">
        <f t="shared" si="32"/>
        <v>0-2 Years</v>
      </c>
      <c r="AJ522" t="str">
        <f t="shared" si="33"/>
        <v>0-2</v>
      </c>
    </row>
    <row r="523" spans="1:36" x14ac:dyDescent="0.35">
      <c r="A523">
        <v>522</v>
      </c>
      <c r="B523">
        <v>27</v>
      </c>
      <c r="C523" t="str">
        <f t="shared" si="34"/>
        <v>26-35</v>
      </c>
      <c r="D523" t="s">
        <v>38</v>
      </c>
      <c r="E523" t="s">
        <v>39</v>
      </c>
      <c r="F523" s="3">
        <v>1389</v>
      </c>
      <c r="G523" t="s">
        <v>33</v>
      </c>
      <c r="H523" s="1">
        <v>3</v>
      </c>
      <c r="I523" t="s">
        <v>59</v>
      </c>
      <c r="J523" t="s">
        <v>46</v>
      </c>
      <c r="K523" t="s">
        <v>62</v>
      </c>
      <c r="L523" t="s">
        <v>35</v>
      </c>
      <c r="M523" s="3">
        <v>71</v>
      </c>
      <c r="N523" t="s">
        <v>62</v>
      </c>
      <c r="O523" t="s">
        <v>61</v>
      </c>
      <c r="P523" t="s">
        <v>36</v>
      </c>
      <c r="Q523" t="s">
        <v>62</v>
      </c>
      <c r="R523" t="s">
        <v>47</v>
      </c>
      <c r="S523" s="3">
        <v>4647</v>
      </c>
      <c r="T523" s="3">
        <v>16673</v>
      </c>
      <c r="U523" s="3" t="str">
        <f t="shared" si="35"/>
        <v>Low</v>
      </c>
      <c r="V523">
        <v>1</v>
      </c>
      <c r="W523" t="s">
        <v>31</v>
      </c>
      <c r="X523" s="2">
        <v>20</v>
      </c>
      <c r="Y523" t="s">
        <v>62</v>
      </c>
      <c r="Z523" t="s">
        <v>61</v>
      </c>
      <c r="AA523">
        <v>2</v>
      </c>
      <c r="AB523">
        <v>6</v>
      </c>
      <c r="AC523">
        <v>3</v>
      </c>
      <c r="AD523">
        <v>3</v>
      </c>
      <c r="AE523">
        <v>6</v>
      </c>
      <c r="AF523">
        <v>5</v>
      </c>
      <c r="AG523">
        <v>0</v>
      </c>
      <c r="AH523">
        <v>4</v>
      </c>
      <c r="AI523" t="str">
        <f t="shared" si="32"/>
        <v>6-10 Years</v>
      </c>
      <c r="AJ523" t="str">
        <f t="shared" si="33"/>
        <v>0-2</v>
      </c>
    </row>
    <row r="524" spans="1:36" x14ac:dyDescent="0.35">
      <c r="A524">
        <v>523</v>
      </c>
      <c r="B524">
        <v>37</v>
      </c>
      <c r="C524" t="str">
        <f t="shared" si="34"/>
        <v>36-45</v>
      </c>
      <c r="D524" t="s">
        <v>38</v>
      </c>
      <c r="E524" t="s">
        <v>32</v>
      </c>
      <c r="F524" s="3">
        <v>1389</v>
      </c>
      <c r="G524" t="s">
        <v>40</v>
      </c>
      <c r="H524" s="1">
        <v>10</v>
      </c>
      <c r="I524" t="s">
        <v>58</v>
      </c>
      <c r="J524" t="s">
        <v>34</v>
      </c>
      <c r="K524" t="s">
        <v>62</v>
      </c>
      <c r="L524" t="s">
        <v>41</v>
      </c>
      <c r="M524" s="3">
        <v>80</v>
      </c>
      <c r="N524" t="s">
        <v>62</v>
      </c>
      <c r="O524" t="s">
        <v>59</v>
      </c>
      <c r="P524" t="s">
        <v>42</v>
      </c>
      <c r="Q524" t="s">
        <v>62</v>
      </c>
      <c r="R524" t="s">
        <v>37</v>
      </c>
      <c r="S524" s="3">
        <v>4680</v>
      </c>
      <c r="T524" s="3">
        <v>15232</v>
      </c>
      <c r="U524" s="3" t="str">
        <f t="shared" si="35"/>
        <v>Low</v>
      </c>
      <c r="V524">
        <v>3</v>
      </c>
      <c r="W524" t="s">
        <v>38</v>
      </c>
      <c r="X524" s="2">
        <v>17</v>
      </c>
      <c r="Y524" t="s">
        <v>60</v>
      </c>
      <c r="Z524" t="s">
        <v>59</v>
      </c>
      <c r="AA524">
        <v>0</v>
      </c>
      <c r="AB524">
        <v>4</v>
      </c>
      <c r="AC524">
        <v>2</v>
      </c>
      <c r="AD524">
        <v>3</v>
      </c>
      <c r="AE524">
        <v>1</v>
      </c>
      <c r="AF524">
        <v>0</v>
      </c>
      <c r="AG524">
        <v>0</v>
      </c>
      <c r="AH524">
        <v>0</v>
      </c>
      <c r="AI524" t="str">
        <f t="shared" si="32"/>
        <v>0-2 Years</v>
      </c>
      <c r="AJ524" t="str">
        <f t="shared" si="33"/>
        <v>0-2</v>
      </c>
    </row>
    <row r="525" spans="1:36" x14ac:dyDescent="0.35">
      <c r="A525">
        <v>524</v>
      </c>
      <c r="B525">
        <v>50</v>
      </c>
      <c r="C525" t="str">
        <f t="shared" si="34"/>
        <v>46-55</v>
      </c>
      <c r="D525" t="s">
        <v>38</v>
      </c>
      <c r="E525" t="s">
        <v>32</v>
      </c>
      <c r="F525" s="3">
        <v>1389</v>
      </c>
      <c r="G525" t="s">
        <v>40</v>
      </c>
      <c r="H525" s="1">
        <v>28</v>
      </c>
      <c r="I525" t="s">
        <v>59</v>
      </c>
      <c r="J525" t="s">
        <v>46</v>
      </c>
      <c r="K525" t="s">
        <v>62</v>
      </c>
      <c r="L525" t="s">
        <v>41</v>
      </c>
      <c r="M525" s="3">
        <v>74</v>
      </c>
      <c r="N525" t="s">
        <v>62</v>
      </c>
      <c r="O525" t="s">
        <v>59</v>
      </c>
      <c r="P525" t="s">
        <v>45</v>
      </c>
      <c r="Q525" t="s">
        <v>60</v>
      </c>
      <c r="R525" t="s">
        <v>43</v>
      </c>
      <c r="S525" s="3">
        <v>3221</v>
      </c>
      <c r="T525" s="3">
        <v>3297</v>
      </c>
      <c r="U525" s="3" t="str">
        <f t="shared" si="35"/>
        <v>Low</v>
      </c>
      <c r="V525">
        <v>1</v>
      </c>
      <c r="W525" t="s">
        <v>31</v>
      </c>
      <c r="X525" s="2">
        <v>11</v>
      </c>
      <c r="Y525" t="s">
        <v>60</v>
      </c>
      <c r="Z525" t="s">
        <v>60</v>
      </c>
      <c r="AA525">
        <v>3</v>
      </c>
      <c r="AB525">
        <v>20</v>
      </c>
      <c r="AC525">
        <v>3</v>
      </c>
      <c r="AD525">
        <v>3</v>
      </c>
      <c r="AE525">
        <v>20</v>
      </c>
      <c r="AF525">
        <v>8</v>
      </c>
      <c r="AG525">
        <v>3</v>
      </c>
      <c r="AH525">
        <v>8</v>
      </c>
      <c r="AI525" t="str">
        <f t="shared" si="32"/>
        <v>10+ Years</v>
      </c>
      <c r="AJ525" t="str">
        <f t="shared" si="33"/>
        <v>3-5</v>
      </c>
    </row>
    <row r="526" spans="1:36" x14ac:dyDescent="0.35">
      <c r="A526">
        <v>525</v>
      </c>
      <c r="B526">
        <v>34</v>
      </c>
      <c r="C526" t="str">
        <f t="shared" si="34"/>
        <v>26-35</v>
      </c>
      <c r="D526" t="s">
        <v>38</v>
      </c>
      <c r="E526" t="s">
        <v>32</v>
      </c>
      <c r="F526" s="3">
        <v>1389</v>
      </c>
      <c r="G526" t="s">
        <v>40</v>
      </c>
      <c r="H526" s="1">
        <v>9</v>
      </c>
      <c r="I526" t="s">
        <v>61</v>
      </c>
      <c r="J526" t="s">
        <v>46</v>
      </c>
      <c r="K526" t="s">
        <v>62</v>
      </c>
      <c r="L526" t="s">
        <v>35</v>
      </c>
      <c r="M526" s="3">
        <v>46</v>
      </c>
      <c r="N526" t="s">
        <v>61</v>
      </c>
      <c r="O526" t="s">
        <v>60</v>
      </c>
      <c r="P526" t="s">
        <v>49</v>
      </c>
      <c r="Q526" t="s">
        <v>61</v>
      </c>
      <c r="R526" t="s">
        <v>37</v>
      </c>
      <c r="S526" s="3">
        <v>8621</v>
      </c>
      <c r="T526" s="3">
        <v>17654</v>
      </c>
      <c r="U526" s="3" t="str">
        <f t="shared" si="35"/>
        <v>Medium</v>
      </c>
      <c r="V526">
        <v>1</v>
      </c>
      <c r="W526" t="s">
        <v>38</v>
      </c>
      <c r="X526" s="2">
        <v>14</v>
      </c>
      <c r="Y526" t="s">
        <v>60</v>
      </c>
      <c r="Z526" t="s">
        <v>61</v>
      </c>
      <c r="AA526">
        <v>0</v>
      </c>
      <c r="AB526">
        <v>9</v>
      </c>
      <c r="AC526">
        <v>3</v>
      </c>
      <c r="AD526">
        <v>4</v>
      </c>
      <c r="AE526">
        <v>8</v>
      </c>
      <c r="AF526">
        <v>7</v>
      </c>
      <c r="AG526">
        <v>7</v>
      </c>
      <c r="AH526">
        <v>7</v>
      </c>
      <c r="AI526" t="str">
        <f t="shared" si="32"/>
        <v>6-10 Years</v>
      </c>
      <c r="AJ526" t="str">
        <f t="shared" si="33"/>
        <v>6+</v>
      </c>
    </row>
    <row r="527" spans="1:36" x14ac:dyDescent="0.35">
      <c r="A527">
        <v>526</v>
      </c>
      <c r="B527">
        <v>24</v>
      </c>
      <c r="C527" t="str">
        <f t="shared" si="34"/>
        <v>18-25</v>
      </c>
      <c r="D527" t="s">
        <v>31</v>
      </c>
      <c r="E527" t="s">
        <v>32</v>
      </c>
      <c r="F527" s="3">
        <v>1389</v>
      </c>
      <c r="G527" t="s">
        <v>33</v>
      </c>
      <c r="H527" s="1">
        <v>3</v>
      </c>
      <c r="I527" t="s">
        <v>58</v>
      </c>
      <c r="J527" t="s">
        <v>34</v>
      </c>
      <c r="K527" t="s">
        <v>59</v>
      </c>
      <c r="L527" t="s">
        <v>35</v>
      </c>
      <c r="M527" s="3">
        <v>65</v>
      </c>
      <c r="N527" t="s">
        <v>60</v>
      </c>
      <c r="O527" t="s">
        <v>61</v>
      </c>
      <c r="P527" t="s">
        <v>36</v>
      </c>
      <c r="Q527" t="s">
        <v>60</v>
      </c>
      <c r="R527" t="s">
        <v>37</v>
      </c>
      <c r="S527" s="3">
        <v>4577</v>
      </c>
      <c r="T527" s="3">
        <v>24785</v>
      </c>
      <c r="U527" s="3" t="str">
        <f t="shared" si="35"/>
        <v>Low</v>
      </c>
      <c r="V527">
        <v>9</v>
      </c>
      <c r="W527" t="s">
        <v>38</v>
      </c>
      <c r="X527" s="2">
        <v>14</v>
      </c>
      <c r="Y527" t="s">
        <v>60</v>
      </c>
      <c r="Z527" t="s">
        <v>59</v>
      </c>
      <c r="AA527">
        <v>0</v>
      </c>
      <c r="AB527">
        <v>4</v>
      </c>
      <c r="AC527">
        <v>3</v>
      </c>
      <c r="AD527">
        <v>3</v>
      </c>
      <c r="AE527">
        <v>2</v>
      </c>
      <c r="AF527">
        <v>2</v>
      </c>
      <c r="AG527">
        <v>2</v>
      </c>
      <c r="AH527">
        <v>0</v>
      </c>
      <c r="AI527" t="str">
        <f t="shared" si="32"/>
        <v>0-2 Years</v>
      </c>
      <c r="AJ527" t="str">
        <f t="shared" si="33"/>
        <v>0-2</v>
      </c>
    </row>
    <row r="528" spans="1:36" x14ac:dyDescent="0.35">
      <c r="A528">
        <v>527</v>
      </c>
      <c r="B528">
        <v>39</v>
      </c>
      <c r="C528" t="str">
        <f t="shared" si="34"/>
        <v>36-45</v>
      </c>
      <c r="D528" t="s">
        <v>38</v>
      </c>
      <c r="E528" t="s">
        <v>32</v>
      </c>
      <c r="F528" s="3">
        <v>1389</v>
      </c>
      <c r="G528" t="s">
        <v>40</v>
      </c>
      <c r="H528" s="1">
        <v>2</v>
      </c>
      <c r="I528" t="s">
        <v>60</v>
      </c>
      <c r="J528" t="s">
        <v>55</v>
      </c>
      <c r="K528" t="s">
        <v>62</v>
      </c>
      <c r="L528" t="s">
        <v>35</v>
      </c>
      <c r="M528" s="3">
        <v>80</v>
      </c>
      <c r="N528" t="s">
        <v>61</v>
      </c>
      <c r="O528" t="s">
        <v>61</v>
      </c>
      <c r="P528" t="s">
        <v>49</v>
      </c>
      <c r="Q528" t="s">
        <v>60</v>
      </c>
      <c r="R528" t="s">
        <v>37</v>
      </c>
      <c r="S528" s="3">
        <v>4553</v>
      </c>
      <c r="T528" s="3">
        <v>20978</v>
      </c>
      <c r="U528" s="3" t="str">
        <f t="shared" si="35"/>
        <v>Low</v>
      </c>
      <c r="V528">
        <v>1</v>
      </c>
      <c r="W528" t="s">
        <v>38</v>
      </c>
      <c r="X528" s="2">
        <v>11</v>
      </c>
      <c r="Y528" t="s">
        <v>60</v>
      </c>
      <c r="Z528" t="s">
        <v>59</v>
      </c>
      <c r="AA528">
        <v>0</v>
      </c>
      <c r="AB528">
        <v>20</v>
      </c>
      <c r="AC528">
        <v>4</v>
      </c>
      <c r="AD528">
        <v>3</v>
      </c>
      <c r="AE528">
        <v>20</v>
      </c>
      <c r="AF528">
        <v>7</v>
      </c>
      <c r="AG528">
        <v>11</v>
      </c>
      <c r="AH528">
        <v>10</v>
      </c>
      <c r="AI528" t="str">
        <f t="shared" si="32"/>
        <v>10+ Years</v>
      </c>
      <c r="AJ528" t="str">
        <f t="shared" si="33"/>
        <v>6+</v>
      </c>
    </row>
    <row r="529" spans="1:36" x14ac:dyDescent="0.35">
      <c r="A529">
        <v>528</v>
      </c>
      <c r="B529">
        <v>32</v>
      </c>
      <c r="C529" t="str">
        <f t="shared" si="34"/>
        <v>26-35</v>
      </c>
      <c r="D529" t="s">
        <v>38</v>
      </c>
      <c r="E529" t="s">
        <v>32</v>
      </c>
      <c r="F529" s="3">
        <v>1389</v>
      </c>
      <c r="G529" t="s">
        <v>33</v>
      </c>
      <c r="H529" s="1">
        <v>10</v>
      </c>
      <c r="I529" t="s">
        <v>61</v>
      </c>
      <c r="J529" t="s">
        <v>54</v>
      </c>
      <c r="K529" t="s">
        <v>62</v>
      </c>
      <c r="L529" t="s">
        <v>41</v>
      </c>
      <c r="M529" s="3">
        <v>55</v>
      </c>
      <c r="N529" t="s">
        <v>60</v>
      </c>
      <c r="O529" t="s">
        <v>61</v>
      </c>
      <c r="P529" t="s">
        <v>36</v>
      </c>
      <c r="Q529" t="s">
        <v>62</v>
      </c>
      <c r="R529" t="s">
        <v>37</v>
      </c>
      <c r="S529" s="3">
        <v>5396</v>
      </c>
      <c r="T529" s="3">
        <v>21703</v>
      </c>
      <c r="U529" s="3" t="str">
        <f t="shared" si="35"/>
        <v>Medium</v>
      </c>
      <c r="V529">
        <v>1</v>
      </c>
      <c r="W529" t="s">
        <v>38</v>
      </c>
      <c r="X529" s="2">
        <v>12</v>
      </c>
      <c r="Y529" t="s">
        <v>60</v>
      </c>
      <c r="Z529" t="s">
        <v>62</v>
      </c>
      <c r="AA529">
        <v>0</v>
      </c>
      <c r="AB529">
        <v>10</v>
      </c>
      <c r="AC529">
        <v>2</v>
      </c>
      <c r="AD529">
        <v>2</v>
      </c>
      <c r="AE529">
        <v>10</v>
      </c>
      <c r="AF529">
        <v>7</v>
      </c>
      <c r="AG529">
        <v>0</v>
      </c>
      <c r="AH529">
        <v>8</v>
      </c>
      <c r="AI529" t="str">
        <f t="shared" si="32"/>
        <v>6-10 Years</v>
      </c>
      <c r="AJ529" t="str">
        <f t="shared" si="33"/>
        <v>0-2</v>
      </c>
    </row>
    <row r="530" spans="1:36" x14ac:dyDescent="0.35">
      <c r="A530">
        <v>529</v>
      </c>
      <c r="B530">
        <v>50</v>
      </c>
      <c r="C530" t="str">
        <f t="shared" si="34"/>
        <v>46-55</v>
      </c>
      <c r="D530" t="s">
        <v>31</v>
      </c>
      <c r="E530" t="s">
        <v>39</v>
      </c>
      <c r="F530" s="3">
        <v>1389</v>
      </c>
      <c r="G530" t="s">
        <v>33</v>
      </c>
      <c r="H530" s="1">
        <v>8</v>
      </c>
      <c r="I530" t="s">
        <v>58</v>
      </c>
      <c r="J530" t="s">
        <v>55</v>
      </c>
      <c r="K530" t="s">
        <v>61</v>
      </c>
      <c r="L530" t="s">
        <v>41</v>
      </c>
      <c r="M530" s="3">
        <v>50</v>
      </c>
      <c r="N530" t="s">
        <v>60</v>
      </c>
      <c r="O530" t="s">
        <v>61</v>
      </c>
      <c r="P530" t="s">
        <v>36</v>
      </c>
      <c r="Q530" t="s">
        <v>60</v>
      </c>
      <c r="R530" t="s">
        <v>43</v>
      </c>
      <c r="S530" s="3">
        <v>6796</v>
      </c>
      <c r="T530" s="3">
        <v>23452</v>
      </c>
      <c r="U530" s="3" t="str">
        <f t="shared" si="35"/>
        <v>Medium</v>
      </c>
      <c r="V530">
        <v>3</v>
      </c>
      <c r="W530" t="s">
        <v>31</v>
      </c>
      <c r="X530" s="2">
        <v>14</v>
      </c>
      <c r="Y530" t="s">
        <v>60</v>
      </c>
      <c r="Z530" t="s">
        <v>59</v>
      </c>
      <c r="AA530">
        <v>1</v>
      </c>
      <c r="AB530">
        <v>18</v>
      </c>
      <c r="AC530">
        <v>4</v>
      </c>
      <c r="AD530">
        <v>3</v>
      </c>
      <c r="AE530">
        <v>4</v>
      </c>
      <c r="AF530">
        <v>3</v>
      </c>
      <c r="AG530">
        <v>1</v>
      </c>
      <c r="AH530">
        <v>3</v>
      </c>
      <c r="AI530" t="str">
        <f t="shared" si="32"/>
        <v>3-5 Years</v>
      </c>
      <c r="AJ530" t="str">
        <f t="shared" si="33"/>
        <v>0-2</v>
      </c>
    </row>
    <row r="531" spans="1:36" x14ac:dyDescent="0.35">
      <c r="A531">
        <v>530</v>
      </c>
      <c r="B531">
        <v>38</v>
      </c>
      <c r="C531" t="str">
        <f t="shared" si="34"/>
        <v>36-45</v>
      </c>
      <c r="D531" t="s">
        <v>38</v>
      </c>
      <c r="E531" t="s">
        <v>32</v>
      </c>
      <c r="F531" s="3">
        <v>1389</v>
      </c>
      <c r="G531" t="s">
        <v>40</v>
      </c>
      <c r="H531" s="1">
        <v>1</v>
      </c>
      <c r="I531" t="s">
        <v>60</v>
      </c>
      <c r="J531" t="s">
        <v>34</v>
      </c>
      <c r="K531" t="s">
        <v>61</v>
      </c>
      <c r="L531" t="s">
        <v>35</v>
      </c>
      <c r="M531" s="3">
        <v>33</v>
      </c>
      <c r="N531" t="s">
        <v>62</v>
      </c>
      <c r="O531" t="s">
        <v>61</v>
      </c>
      <c r="P531" t="s">
        <v>49</v>
      </c>
      <c r="Q531" t="s">
        <v>62</v>
      </c>
      <c r="R531" t="s">
        <v>37</v>
      </c>
      <c r="S531" s="3">
        <v>7625</v>
      </c>
      <c r="T531" s="3">
        <v>19383</v>
      </c>
      <c r="U531" s="3" t="str">
        <f t="shared" si="35"/>
        <v>Medium</v>
      </c>
      <c r="V531">
        <v>0</v>
      </c>
      <c r="W531" t="s">
        <v>38</v>
      </c>
      <c r="X531" s="2">
        <v>13</v>
      </c>
      <c r="Y531" t="s">
        <v>60</v>
      </c>
      <c r="Z531" t="s">
        <v>60</v>
      </c>
      <c r="AA531">
        <v>0</v>
      </c>
      <c r="AB531">
        <v>10</v>
      </c>
      <c r="AC531">
        <v>4</v>
      </c>
      <c r="AD531">
        <v>2</v>
      </c>
      <c r="AE531">
        <v>9</v>
      </c>
      <c r="AF531">
        <v>7</v>
      </c>
      <c r="AG531">
        <v>1</v>
      </c>
      <c r="AH531">
        <v>8</v>
      </c>
      <c r="AI531" t="str">
        <f t="shared" si="32"/>
        <v>6-10 Years</v>
      </c>
      <c r="AJ531" t="str">
        <f t="shared" si="33"/>
        <v>0-2</v>
      </c>
    </row>
    <row r="532" spans="1:36" x14ac:dyDescent="0.35">
      <c r="A532">
        <v>531</v>
      </c>
      <c r="B532">
        <v>27</v>
      </c>
      <c r="C532" t="str">
        <f t="shared" si="34"/>
        <v>26-35</v>
      </c>
      <c r="D532" t="s">
        <v>38</v>
      </c>
      <c r="E532" t="s">
        <v>32</v>
      </c>
      <c r="F532" s="3">
        <v>1389</v>
      </c>
      <c r="G532" t="s">
        <v>40</v>
      </c>
      <c r="H532" s="1">
        <v>1</v>
      </c>
      <c r="I532" t="s">
        <v>58</v>
      </c>
      <c r="J532" t="s">
        <v>34</v>
      </c>
      <c r="K532" t="s">
        <v>60</v>
      </c>
      <c r="L532" t="s">
        <v>35</v>
      </c>
      <c r="M532" s="3">
        <v>68</v>
      </c>
      <c r="N532" t="s">
        <v>60</v>
      </c>
      <c r="O532" t="s">
        <v>60</v>
      </c>
      <c r="P532" t="s">
        <v>48</v>
      </c>
      <c r="Q532" t="s">
        <v>59</v>
      </c>
      <c r="R532" t="s">
        <v>43</v>
      </c>
      <c r="S532" s="3">
        <v>7412</v>
      </c>
      <c r="T532" s="3">
        <v>6009</v>
      </c>
      <c r="U532" s="3" t="str">
        <f t="shared" si="35"/>
        <v>Medium</v>
      </c>
      <c r="V532">
        <v>1</v>
      </c>
      <c r="W532" t="s">
        <v>38</v>
      </c>
      <c r="X532" s="2">
        <v>11</v>
      </c>
      <c r="Y532" t="s">
        <v>60</v>
      </c>
      <c r="Z532" t="s">
        <v>62</v>
      </c>
      <c r="AA532">
        <v>0</v>
      </c>
      <c r="AB532">
        <v>9</v>
      </c>
      <c r="AC532">
        <v>3</v>
      </c>
      <c r="AD532">
        <v>3</v>
      </c>
      <c r="AE532">
        <v>9</v>
      </c>
      <c r="AF532">
        <v>7</v>
      </c>
      <c r="AG532">
        <v>0</v>
      </c>
      <c r="AH532">
        <v>7</v>
      </c>
      <c r="AI532" t="str">
        <f t="shared" si="32"/>
        <v>6-10 Years</v>
      </c>
      <c r="AJ532" t="str">
        <f t="shared" si="33"/>
        <v>0-2</v>
      </c>
    </row>
    <row r="533" spans="1:36" x14ac:dyDescent="0.35">
      <c r="A533">
        <v>532</v>
      </c>
      <c r="B533">
        <v>32</v>
      </c>
      <c r="C533" t="str">
        <f t="shared" si="34"/>
        <v>26-35</v>
      </c>
      <c r="D533" t="s">
        <v>38</v>
      </c>
      <c r="E533" t="s">
        <v>32</v>
      </c>
      <c r="F533" s="3">
        <v>1389</v>
      </c>
      <c r="G533" t="s">
        <v>40</v>
      </c>
      <c r="H533" s="1">
        <v>3</v>
      </c>
      <c r="I533" t="s">
        <v>58</v>
      </c>
      <c r="J533" t="s">
        <v>34</v>
      </c>
      <c r="K533" t="s">
        <v>60</v>
      </c>
      <c r="L533" t="s">
        <v>35</v>
      </c>
      <c r="M533" s="3">
        <v>39</v>
      </c>
      <c r="N533" t="s">
        <v>60</v>
      </c>
      <c r="O533" t="s">
        <v>60</v>
      </c>
      <c r="P533" t="s">
        <v>53</v>
      </c>
      <c r="Q533" t="s">
        <v>62</v>
      </c>
      <c r="R533" t="s">
        <v>37</v>
      </c>
      <c r="S533" s="3">
        <v>11159</v>
      </c>
      <c r="T533" s="3">
        <v>19373</v>
      </c>
      <c r="U533" s="3" t="str">
        <f t="shared" si="35"/>
        <v>High</v>
      </c>
      <c r="V533">
        <v>3</v>
      </c>
      <c r="W533" t="s">
        <v>38</v>
      </c>
      <c r="X533" s="2">
        <v>15</v>
      </c>
      <c r="Y533" t="s">
        <v>60</v>
      </c>
      <c r="Z533" t="s">
        <v>62</v>
      </c>
      <c r="AA533">
        <v>0</v>
      </c>
      <c r="AB533">
        <v>10</v>
      </c>
      <c r="AC533">
        <v>6</v>
      </c>
      <c r="AD533">
        <v>3</v>
      </c>
      <c r="AE533">
        <v>7</v>
      </c>
      <c r="AF533">
        <v>7</v>
      </c>
      <c r="AG533">
        <v>7</v>
      </c>
      <c r="AH533">
        <v>7</v>
      </c>
      <c r="AI533" t="str">
        <f t="shared" si="32"/>
        <v>6-10 Years</v>
      </c>
      <c r="AJ533" t="str">
        <f t="shared" si="33"/>
        <v>6+</v>
      </c>
    </row>
    <row r="534" spans="1:36" x14ac:dyDescent="0.35">
      <c r="A534">
        <v>533</v>
      </c>
      <c r="B534">
        <v>47</v>
      </c>
      <c r="C534" t="str">
        <f t="shared" si="34"/>
        <v>46-55</v>
      </c>
      <c r="D534" t="s">
        <v>38</v>
      </c>
      <c r="E534" t="s">
        <v>32</v>
      </c>
      <c r="F534" s="3">
        <v>1389</v>
      </c>
      <c r="G534" t="s">
        <v>33</v>
      </c>
      <c r="H534" s="1">
        <v>14</v>
      </c>
      <c r="I534" t="s">
        <v>60</v>
      </c>
      <c r="J534" t="s">
        <v>54</v>
      </c>
      <c r="K534" t="s">
        <v>62</v>
      </c>
      <c r="L534" t="s">
        <v>41</v>
      </c>
      <c r="M534" s="3">
        <v>42</v>
      </c>
      <c r="N534" t="s">
        <v>60</v>
      </c>
      <c r="O534" t="s">
        <v>61</v>
      </c>
      <c r="P534" t="s">
        <v>36</v>
      </c>
      <c r="Q534" t="s">
        <v>59</v>
      </c>
      <c r="R534" t="s">
        <v>37</v>
      </c>
      <c r="S534" s="3">
        <v>4960</v>
      </c>
      <c r="T534" s="3">
        <v>11825</v>
      </c>
      <c r="U534" s="3" t="str">
        <f t="shared" si="35"/>
        <v>Low</v>
      </c>
      <c r="V534">
        <v>2</v>
      </c>
      <c r="W534" t="s">
        <v>38</v>
      </c>
      <c r="X534" s="2">
        <v>12</v>
      </c>
      <c r="Y534" t="s">
        <v>60</v>
      </c>
      <c r="Z534" t="s">
        <v>62</v>
      </c>
      <c r="AA534">
        <v>0</v>
      </c>
      <c r="AB534">
        <v>20</v>
      </c>
      <c r="AC534">
        <v>2</v>
      </c>
      <c r="AD534">
        <v>3</v>
      </c>
      <c r="AE534">
        <v>7</v>
      </c>
      <c r="AF534">
        <v>7</v>
      </c>
      <c r="AG534">
        <v>1</v>
      </c>
      <c r="AH534">
        <v>7</v>
      </c>
      <c r="AI534" t="str">
        <f t="shared" si="32"/>
        <v>6-10 Years</v>
      </c>
      <c r="AJ534" t="str">
        <f t="shared" si="33"/>
        <v>0-2</v>
      </c>
    </row>
    <row r="535" spans="1:36" x14ac:dyDescent="0.35">
      <c r="A535">
        <v>534</v>
      </c>
      <c r="B535">
        <v>40</v>
      </c>
      <c r="C535" t="str">
        <f t="shared" si="34"/>
        <v>36-45</v>
      </c>
      <c r="D535" t="s">
        <v>38</v>
      </c>
      <c r="E535" t="s">
        <v>39</v>
      </c>
      <c r="F535" s="3">
        <v>1389</v>
      </c>
      <c r="G535" t="s">
        <v>33</v>
      </c>
      <c r="H535" s="1">
        <v>5</v>
      </c>
      <c r="I535" t="s">
        <v>60</v>
      </c>
      <c r="J535" t="s">
        <v>34</v>
      </c>
      <c r="K535" t="s">
        <v>62</v>
      </c>
      <c r="L535" t="s">
        <v>41</v>
      </c>
      <c r="M535" s="3">
        <v>48</v>
      </c>
      <c r="N535" t="s">
        <v>61</v>
      </c>
      <c r="O535" t="s">
        <v>60</v>
      </c>
      <c r="P535" t="s">
        <v>36</v>
      </c>
      <c r="Q535" t="s">
        <v>59</v>
      </c>
      <c r="R535" t="s">
        <v>43</v>
      </c>
      <c r="S535" s="3">
        <v>10475</v>
      </c>
      <c r="T535" s="3">
        <v>23772</v>
      </c>
      <c r="U535" s="3" t="str">
        <f t="shared" si="35"/>
        <v>High</v>
      </c>
      <c r="V535">
        <v>5</v>
      </c>
      <c r="W535" t="s">
        <v>31</v>
      </c>
      <c r="X535" s="2">
        <v>21</v>
      </c>
      <c r="Y535" t="s">
        <v>62</v>
      </c>
      <c r="Z535" t="s">
        <v>60</v>
      </c>
      <c r="AA535">
        <v>1</v>
      </c>
      <c r="AB535">
        <v>20</v>
      </c>
      <c r="AC535">
        <v>2</v>
      </c>
      <c r="AD535">
        <v>3</v>
      </c>
      <c r="AE535">
        <v>18</v>
      </c>
      <c r="AF535">
        <v>13</v>
      </c>
      <c r="AG535">
        <v>1</v>
      </c>
      <c r="AH535">
        <v>12</v>
      </c>
      <c r="AI535" t="str">
        <f t="shared" si="32"/>
        <v>10+ Years</v>
      </c>
      <c r="AJ535" t="str">
        <f t="shared" si="33"/>
        <v>0-2</v>
      </c>
    </row>
    <row r="536" spans="1:36" x14ac:dyDescent="0.35">
      <c r="A536">
        <v>535</v>
      </c>
      <c r="B536">
        <v>53</v>
      </c>
      <c r="C536" t="str">
        <f t="shared" si="34"/>
        <v>46-55</v>
      </c>
      <c r="D536" t="s">
        <v>38</v>
      </c>
      <c r="E536" t="s">
        <v>32</v>
      </c>
      <c r="F536" s="3">
        <v>1389</v>
      </c>
      <c r="G536" t="s">
        <v>40</v>
      </c>
      <c r="H536" s="1">
        <v>7</v>
      </c>
      <c r="I536" t="s">
        <v>61</v>
      </c>
      <c r="J536" t="s">
        <v>34</v>
      </c>
      <c r="K536" t="s">
        <v>60</v>
      </c>
      <c r="L536" t="s">
        <v>41</v>
      </c>
      <c r="M536" s="3">
        <v>59</v>
      </c>
      <c r="N536" t="s">
        <v>62</v>
      </c>
      <c r="O536" t="s">
        <v>62</v>
      </c>
      <c r="P536" t="s">
        <v>53</v>
      </c>
      <c r="Q536" t="s">
        <v>60</v>
      </c>
      <c r="R536" t="s">
        <v>43</v>
      </c>
      <c r="S536" s="3">
        <v>14814</v>
      </c>
      <c r="T536" s="3">
        <v>13514</v>
      </c>
      <c r="U536" s="3" t="str">
        <f t="shared" si="35"/>
        <v>High</v>
      </c>
      <c r="V536">
        <v>3</v>
      </c>
      <c r="W536" t="s">
        <v>38</v>
      </c>
      <c r="X536" s="2">
        <v>19</v>
      </c>
      <c r="Y536" t="s">
        <v>60</v>
      </c>
      <c r="Z536" t="s">
        <v>60</v>
      </c>
      <c r="AA536">
        <v>0</v>
      </c>
      <c r="AB536">
        <v>32</v>
      </c>
      <c r="AC536">
        <v>3</v>
      </c>
      <c r="AD536">
        <v>3</v>
      </c>
      <c r="AE536">
        <v>5</v>
      </c>
      <c r="AF536">
        <v>1</v>
      </c>
      <c r="AG536">
        <v>1</v>
      </c>
      <c r="AH536">
        <v>3</v>
      </c>
      <c r="AI536" t="str">
        <f t="shared" si="32"/>
        <v>3-5 Years</v>
      </c>
      <c r="AJ536" t="str">
        <f t="shared" si="33"/>
        <v>0-2</v>
      </c>
    </row>
    <row r="537" spans="1:36" x14ac:dyDescent="0.35">
      <c r="A537">
        <v>536</v>
      </c>
      <c r="B537">
        <v>41</v>
      </c>
      <c r="C537" t="str">
        <f t="shared" si="34"/>
        <v>36-45</v>
      </c>
      <c r="D537" t="s">
        <v>38</v>
      </c>
      <c r="E537" t="s">
        <v>32</v>
      </c>
      <c r="F537" s="3">
        <v>1389</v>
      </c>
      <c r="G537" t="s">
        <v>56</v>
      </c>
      <c r="H537" s="1">
        <v>10</v>
      </c>
      <c r="I537" t="s">
        <v>60</v>
      </c>
      <c r="J537" t="s">
        <v>56</v>
      </c>
      <c r="K537" t="s">
        <v>61</v>
      </c>
      <c r="L537" t="s">
        <v>41</v>
      </c>
      <c r="M537" s="3">
        <v>73</v>
      </c>
      <c r="N537" t="s">
        <v>61</v>
      </c>
      <c r="O537" t="e">
        <v>#N/A</v>
      </c>
      <c r="P537" t="s">
        <v>51</v>
      </c>
      <c r="Q537" t="s">
        <v>62</v>
      </c>
      <c r="R537" t="s">
        <v>47</v>
      </c>
      <c r="S537" s="3">
        <v>19141</v>
      </c>
      <c r="T537" s="3">
        <v>8861</v>
      </c>
      <c r="U537" s="3" t="str">
        <f t="shared" si="35"/>
        <v>High</v>
      </c>
      <c r="V537">
        <v>3</v>
      </c>
      <c r="W537" t="s">
        <v>38</v>
      </c>
      <c r="X537" s="2">
        <v>15</v>
      </c>
      <c r="Y537" t="s">
        <v>60</v>
      </c>
      <c r="Z537" t="s">
        <v>61</v>
      </c>
      <c r="AA537">
        <v>3</v>
      </c>
      <c r="AB537">
        <v>23</v>
      </c>
      <c r="AC537">
        <v>2</v>
      </c>
      <c r="AD537">
        <v>2</v>
      </c>
      <c r="AE537">
        <v>21</v>
      </c>
      <c r="AF537">
        <v>6</v>
      </c>
      <c r="AG537">
        <v>12</v>
      </c>
      <c r="AH537">
        <v>6</v>
      </c>
      <c r="AI537" t="str">
        <f t="shared" si="32"/>
        <v>10+ Years</v>
      </c>
      <c r="AJ537" t="str">
        <f t="shared" si="33"/>
        <v>6+</v>
      </c>
    </row>
    <row r="538" spans="1:36" x14ac:dyDescent="0.35">
      <c r="A538">
        <v>537</v>
      </c>
      <c r="B538">
        <v>60</v>
      </c>
      <c r="C538" t="str">
        <f t="shared" si="34"/>
        <v>55+</v>
      </c>
      <c r="D538" t="s">
        <v>38</v>
      </c>
      <c r="E538" t="s">
        <v>32</v>
      </c>
      <c r="F538" s="3">
        <v>1389</v>
      </c>
      <c r="G538" t="s">
        <v>33</v>
      </c>
      <c r="H538" s="1">
        <v>16</v>
      </c>
      <c r="I538" t="s">
        <v>60</v>
      </c>
      <c r="J538" t="s">
        <v>54</v>
      </c>
      <c r="K538" t="s">
        <v>59</v>
      </c>
      <c r="L538" t="s">
        <v>41</v>
      </c>
      <c r="M538" s="3">
        <v>84</v>
      </c>
      <c r="N538" t="s">
        <v>60</v>
      </c>
      <c r="O538" t="s">
        <v>61</v>
      </c>
      <c r="P538" t="s">
        <v>36</v>
      </c>
      <c r="Q538" t="s">
        <v>59</v>
      </c>
      <c r="R538" t="s">
        <v>37</v>
      </c>
      <c r="S538" s="3">
        <v>5405</v>
      </c>
      <c r="T538" s="3">
        <v>11924</v>
      </c>
      <c r="U538" s="3" t="str">
        <f t="shared" si="35"/>
        <v>Medium</v>
      </c>
      <c r="V538">
        <v>8</v>
      </c>
      <c r="W538" t="s">
        <v>38</v>
      </c>
      <c r="X538" s="2">
        <v>14</v>
      </c>
      <c r="Y538" t="s">
        <v>60</v>
      </c>
      <c r="Z538" t="s">
        <v>62</v>
      </c>
      <c r="AA538">
        <v>0</v>
      </c>
      <c r="AB538">
        <v>10</v>
      </c>
      <c r="AC538">
        <v>1</v>
      </c>
      <c r="AD538">
        <v>3</v>
      </c>
      <c r="AE538">
        <v>2</v>
      </c>
      <c r="AF538">
        <v>2</v>
      </c>
      <c r="AG538">
        <v>2</v>
      </c>
      <c r="AH538">
        <v>2</v>
      </c>
      <c r="AI538" t="str">
        <f t="shared" si="32"/>
        <v>0-2 Years</v>
      </c>
      <c r="AJ538" t="str">
        <f t="shared" si="33"/>
        <v>0-2</v>
      </c>
    </row>
    <row r="539" spans="1:36" x14ac:dyDescent="0.35">
      <c r="A539">
        <v>538</v>
      </c>
      <c r="B539">
        <v>27</v>
      </c>
      <c r="C539" t="str">
        <f t="shared" si="34"/>
        <v>26-35</v>
      </c>
      <c r="D539" t="s">
        <v>38</v>
      </c>
      <c r="E539" t="s">
        <v>39</v>
      </c>
      <c r="F539" s="3">
        <v>1389</v>
      </c>
      <c r="G539" t="s">
        <v>40</v>
      </c>
      <c r="H539" s="1">
        <v>10</v>
      </c>
      <c r="I539" t="s">
        <v>58</v>
      </c>
      <c r="J539" t="s">
        <v>34</v>
      </c>
      <c r="K539" t="s">
        <v>62</v>
      </c>
      <c r="L539" t="s">
        <v>41</v>
      </c>
      <c r="M539" s="3">
        <v>32</v>
      </c>
      <c r="N539" t="s">
        <v>60</v>
      </c>
      <c r="O539" t="s">
        <v>60</v>
      </c>
      <c r="P539" t="s">
        <v>48</v>
      </c>
      <c r="Q539" t="s">
        <v>59</v>
      </c>
      <c r="R539" t="s">
        <v>47</v>
      </c>
      <c r="S539" s="3">
        <v>8793</v>
      </c>
      <c r="T539" s="3">
        <v>4809</v>
      </c>
      <c r="U539" s="3" t="str">
        <f t="shared" si="35"/>
        <v>Medium</v>
      </c>
      <c r="V539">
        <v>1</v>
      </c>
      <c r="W539" t="s">
        <v>38</v>
      </c>
      <c r="X539" s="2">
        <v>21</v>
      </c>
      <c r="Y539" t="s">
        <v>62</v>
      </c>
      <c r="Z539" t="s">
        <v>60</v>
      </c>
      <c r="AA539">
        <v>2</v>
      </c>
      <c r="AB539">
        <v>9</v>
      </c>
      <c r="AC539">
        <v>4</v>
      </c>
      <c r="AD539">
        <v>2</v>
      </c>
      <c r="AE539">
        <v>9</v>
      </c>
      <c r="AF539">
        <v>7</v>
      </c>
      <c r="AG539">
        <v>1</v>
      </c>
      <c r="AH539">
        <v>7</v>
      </c>
      <c r="AI539" t="str">
        <f t="shared" si="32"/>
        <v>6-10 Years</v>
      </c>
      <c r="AJ539" t="str">
        <f t="shared" si="33"/>
        <v>0-2</v>
      </c>
    </row>
    <row r="540" spans="1:36" x14ac:dyDescent="0.35">
      <c r="A540">
        <v>539</v>
      </c>
      <c r="B540">
        <v>41</v>
      </c>
      <c r="C540" t="str">
        <f t="shared" si="34"/>
        <v>36-45</v>
      </c>
      <c r="D540" t="s">
        <v>38</v>
      </c>
      <c r="E540" t="s">
        <v>32</v>
      </c>
      <c r="F540" s="3">
        <v>1389</v>
      </c>
      <c r="G540" t="s">
        <v>56</v>
      </c>
      <c r="H540" s="1">
        <v>1</v>
      </c>
      <c r="I540" t="s">
        <v>61</v>
      </c>
      <c r="J540" t="s">
        <v>56</v>
      </c>
      <c r="K540" t="s">
        <v>62</v>
      </c>
      <c r="L540" t="s">
        <v>41</v>
      </c>
      <c r="M540" s="3">
        <v>59</v>
      </c>
      <c r="N540" t="s">
        <v>61</v>
      </c>
      <c r="O540" t="e">
        <v>#N/A</v>
      </c>
      <c r="P540" t="s">
        <v>51</v>
      </c>
      <c r="Q540" t="s">
        <v>60</v>
      </c>
      <c r="R540" t="s">
        <v>43</v>
      </c>
      <c r="S540" s="3">
        <v>19189</v>
      </c>
      <c r="T540" s="3">
        <v>19562</v>
      </c>
      <c r="U540" s="3" t="str">
        <f t="shared" si="35"/>
        <v>High</v>
      </c>
      <c r="V540">
        <v>1</v>
      </c>
      <c r="W540" t="s">
        <v>38</v>
      </c>
      <c r="X540" s="2">
        <v>12</v>
      </c>
      <c r="Y540" t="s">
        <v>60</v>
      </c>
      <c r="Z540" t="s">
        <v>61</v>
      </c>
      <c r="AA540">
        <v>1</v>
      </c>
      <c r="AB540">
        <v>22</v>
      </c>
      <c r="AC540">
        <v>3</v>
      </c>
      <c r="AD540">
        <v>3</v>
      </c>
      <c r="AE540">
        <v>22</v>
      </c>
      <c r="AF540">
        <v>7</v>
      </c>
      <c r="AG540">
        <v>2</v>
      </c>
      <c r="AH540">
        <v>10</v>
      </c>
      <c r="AI540" t="str">
        <f t="shared" si="32"/>
        <v>10+ Years</v>
      </c>
      <c r="AJ540" t="str">
        <f t="shared" si="33"/>
        <v>0-2</v>
      </c>
    </row>
    <row r="541" spans="1:36" x14ac:dyDescent="0.35">
      <c r="A541">
        <v>540</v>
      </c>
      <c r="B541">
        <v>50</v>
      </c>
      <c r="C541" t="str">
        <f t="shared" si="34"/>
        <v>46-55</v>
      </c>
      <c r="D541" t="s">
        <v>38</v>
      </c>
      <c r="E541" t="s">
        <v>32</v>
      </c>
      <c r="F541" s="3">
        <v>1389</v>
      </c>
      <c r="G541" t="s">
        <v>33</v>
      </c>
      <c r="H541" s="1">
        <v>8</v>
      </c>
      <c r="I541" t="s">
        <v>60</v>
      </c>
      <c r="J541" t="s">
        <v>54</v>
      </c>
      <c r="K541" t="s">
        <v>62</v>
      </c>
      <c r="L541" t="s">
        <v>41</v>
      </c>
      <c r="M541" s="3">
        <v>54</v>
      </c>
      <c r="N541" t="s">
        <v>60</v>
      </c>
      <c r="O541" t="s">
        <v>59</v>
      </c>
      <c r="P541" t="s">
        <v>52</v>
      </c>
      <c r="Q541" t="s">
        <v>61</v>
      </c>
      <c r="R541" t="s">
        <v>43</v>
      </c>
      <c r="S541" s="3">
        <v>3875</v>
      </c>
      <c r="T541" s="3">
        <v>9983</v>
      </c>
      <c r="U541" s="3" t="str">
        <f t="shared" si="35"/>
        <v>Low</v>
      </c>
      <c r="V541">
        <v>7</v>
      </c>
      <c r="W541" t="s">
        <v>38</v>
      </c>
      <c r="X541" s="2">
        <v>15</v>
      </c>
      <c r="Y541" t="s">
        <v>60</v>
      </c>
      <c r="Z541" t="s">
        <v>62</v>
      </c>
      <c r="AA541">
        <v>1</v>
      </c>
      <c r="AB541">
        <v>4</v>
      </c>
      <c r="AC541">
        <v>2</v>
      </c>
      <c r="AD541">
        <v>3</v>
      </c>
      <c r="AE541">
        <v>2</v>
      </c>
      <c r="AF541">
        <v>2</v>
      </c>
      <c r="AG541">
        <v>2</v>
      </c>
      <c r="AH541">
        <v>2</v>
      </c>
      <c r="AI541" t="str">
        <f t="shared" si="32"/>
        <v>0-2 Years</v>
      </c>
      <c r="AJ541" t="str">
        <f t="shared" si="33"/>
        <v>0-2</v>
      </c>
    </row>
    <row r="542" spans="1:36" x14ac:dyDescent="0.35">
      <c r="A542">
        <v>541</v>
      </c>
      <c r="B542">
        <v>28</v>
      </c>
      <c r="C542" t="str">
        <f t="shared" si="34"/>
        <v>26-35</v>
      </c>
      <c r="D542" t="s">
        <v>31</v>
      </c>
      <c r="E542" t="s">
        <v>32</v>
      </c>
      <c r="F542" s="3">
        <v>1389</v>
      </c>
      <c r="G542" t="s">
        <v>40</v>
      </c>
      <c r="H542" s="1">
        <v>1</v>
      </c>
      <c r="I542" t="s">
        <v>58</v>
      </c>
      <c r="J542" t="s">
        <v>34</v>
      </c>
      <c r="K542" t="s">
        <v>59</v>
      </c>
      <c r="L542" t="s">
        <v>35</v>
      </c>
      <c r="M542" s="3">
        <v>67</v>
      </c>
      <c r="N542" t="s">
        <v>59</v>
      </c>
      <c r="O542" t="s">
        <v>59</v>
      </c>
      <c r="P542" t="s">
        <v>42</v>
      </c>
      <c r="Q542" t="s">
        <v>61</v>
      </c>
      <c r="R542" t="s">
        <v>37</v>
      </c>
      <c r="S542" s="3">
        <v>2216</v>
      </c>
      <c r="T542" s="3">
        <v>3872</v>
      </c>
      <c r="U542" s="3" t="str">
        <f t="shared" si="35"/>
        <v>Low</v>
      </c>
      <c r="V542">
        <v>7</v>
      </c>
      <c r="W542" t="s">
        <v>31</v>
      </c>
      <c r="X542" s="2">
        <v>13</v>
      </c>
      <c r="Y542" t="s">
        <v>60</v>
      </c>
      <c r="Z542" t="s">
        <v>62</v>
      </c>
      <c r="AA542">
        <v>0</v>
      </c>
      <c r="AB542">
        <v>10</v>
      </c>
      <c r="AC542">
        <v>4</v>
      </c>
      <c r="AD542">
        <v>3</v>
      </c>
      <c r="AE542">
        <v>7</v>
      </c>
      <c r="AF542">
        <v>7</v>
      </c>
      <c r="AG542">
        <v>3</v>
      </c>
      <c r="AH542">
        <v>7</v>
      </c>
      <c r="AI542" t="str">
        <f t="shared" si="32"/>
        <v>6-10 Years</v>
      </c>
      <c r="AJ542" t="str">
        <f t="shared" si="33"/>
        <v>3-5</v>
      </c>
    </row>
    <row r="543" spans="1:36" x14ac:dyDescent="0.35">
      <c r="A543">
        <v>542</v>
      </c>
      <c r="B543">
        <v>36</v>
      </c>
      <c r="C543" t="str">
        <f t="shared" si="34"/>
        <v>36-45</v>
      </c>
      <c r="D543" t="s">
        <v>38</v>
      </c>
      <c r="E543" t="s">
        <v>50</v>
      </c>
      <c r="F543" s="3">
        <v>1389</v>
      </c>
      <c r="G543" t="s">
        <v>40</v>
      </c>
      <c r="H543" s="1">
        <v>8</v>
      </c>
      <c r="I543" t="s">
        <v>61</v>
      </c>
      <c r="J543" t="s">
        <v>34</v>
      </c>
      <c r="K543" t="s">
        <v>59</v>
      </c>
      <c r="L543" t="s">
        <v>35</v>
      </c>
      <c r="M543" s="3">
        <v>63</v>
      </c>
      <c r="N543" t="s">
        <v>62</v>
      </c>
      <c r="O543" t="s">
        <v>60</v>
      </c>
      <c r="P543" t="s">
        <v>53</v>
      </c>
      <c r="Q543" t="s">
        <v>59</v>
      </c>
      <c r="R543" t="s">
        <v>43</v>
      </c>
      <c r="S543" s="3">
        <v>11713</v>
      </c>
      <c r="T543" s="3">
        <v>20335</v>
      </c>
      <c r="U543" s="3" t="str">
        <f t="shared" si="35"/>
        <v>High</v>
      </c>
      <c r="V543">
        <v>9</v>
      </c>
      <c r="W543" t="s">
        <v>38</v>
      </c>
      <c r="X543" s="2">
        <v>14</v>
      </c>
      <c r="Y543" t="s">
        <v>60</v>
      </c>
      <c r="Z543" t="s">
        <v>59</v>
      </c>
      <c r="AA543">
        <v>1</v>
      </c>
      <c r="AB543">
        <v>10</v>
      </c>
      <c r="AC543">
        <v>2</v>
      </c>
      <c r="AD543">
        <v>3</v>
      </c>
      <c r="AE543">
        <v>8</v>
      </c>
      <c r="AF543">
        <v>7</v>
      </c>
      <c r="AG543">
        <v>0</v>
      </c>
      <c r="AH543">
        <v>5</v>
      </c>
      <c r="AI543" t="str">
        <f t="shared" si="32"/>
        <v>6-10 Years</v>
      </c>
      <c r="AJ543" t="str">
        <f t="shared" si="33"/>
        <v>0-2</v>
      </c>
    </row>
    <row r="544" spans="1:36" x14ac:dyDescent="0.35">
      <c r="A544">
        <v>543</v>
      </c>
      <c r="B544">
        <v>38</v>
      </c>
      <c r="C544" t="str">
        <f t="shared" si="34"/>
        <v>36-45</v>
      </c>
      <c r="D544" t="s">
        <v>38</v>
      </c>
      <c r="E544" t="s">
        <v>32</v>
      </c>
      <c r="F544" s="3">
        <v>1389</v>
      </c>
      <c r="G544" t="s">
        <v>40</v>
      </c>
      <c r="H544" s="1">
        <v>1</v>
      </c>
      <c r="I544" t="s">
        <v>61</v>
      </c>
      <c r="J544" t="s">
        <v>34</v>
      </c>
      <c r="K544" t="s">
        <v>60</v>
      </c>
      <c r="L544" t="s">
        <v>35</v>
      </c>
      <c r="M544" s="3">
        <v>81</v>
      </c>
      <c r="N544" t="s">
        <v>60</v>
      </c>
      <c r="O544" t="s">
        <v>60</v>
      </c>
      <c r="P544" t="s">
        <v>48</v>
      </c>
      <c r="Q544" t="s">
        <v>60</v>
      </c>
      <c r="R544" t="s">
        <v>37</v>
      </c>
      <c r="S544" s="3">
        <v>7861</v>
      </c>
      <c r="T544" s="3">
        <v>15397</v>
      </c>
      <c r="U544" s="3" t="str">
        <f t="shared" si="35"/>
        <v>Medium</v>
      </c>
      <c r="V544">
        <v>4</v>
      </c>
      <c r="W544" t="s">
        <v>31</v>
      </c>
      <c r="X544" s="2">
        <v>14</v>
      </c>
      <c r="Y544" t="s">
        <v>60</v>
      </c>
      <c r="Z544" t="s">
        <v>62</v>
      </c>
      <c r="AA544">
        <v>0</v>
      </c>
      <c r="AB544">
        <v>10</v>
      </c>
      <c r="AC544">
        <v>4</v>
      </c>
      <c r="AD544">
        <v>4</v>
      </c>
      <c r="AE544">
        <v>1</v>
      </c>
      <c r="AF544">
        <v>0</v>
      </c>
      <c r="AG544">
        <v>0</v>
      </c>
      <c r="AH544">
        <v>0</v>
      </c>
      <c r="AI544" t="str">
        <f t="shared" si="32"/>
        <v>0-2 Years</v>
      </c>
      <c r="AJ544" t="str">
        <f t="shared" si="33"/>
        <v>0-2</v>
      </c>
    </row>
    <row r="545" spans="1:36" x14ac:dyDescent="0.35">
      <c r="A545">
        <v>544</v>
      </c>
      <c r="B545">
        <v>44</v>
      </c>
      <c r="C545" t="str">
        <f t="shared" si="34"/>
        <v>36-45</v>
      </c>
      <c r="D545" t="s">
        <v>38</v>
      </c>
      <c r="E545" t="s">
        <v>50</v>
      </c>
      <c r="F545" s="3">
        <v>1389</v>
      </c>
      <c r="G545" t="s">
        <v>40</v>
      </c>
      <c r="H545" s="1">
        <v>24</v>
      </c>
      <c r="I545" t="s">
        <v>61</v>
      </c>
      <c r="J545" t="s">
        <v>46</v>
      </c>
      <c r="K545" t="s">
        <v>59</v>
      </c>
      <c r="L545" t="s">
        <v>41</v>
      </c>
      <c r="M545" s="3">
        <v>49</v>
      </c>
      <c r="N545" t="s">
        <v>59</v>
      </c>
      <c r="O545" t="s">
        <v>59</v>
      </c>
      <c r="P545" t="s">
        <v>45</v>
      </c>
      <c r="Q545" t="s">
        <v>60</v>
      </c>
      <c r="R545" t="s">
        <v>37</v>
      </c>
      <c r="S545" s="3">
        <v>3708</v>
      </c>
      <c r="T545" s="3">
        <v>2104</v>
      </c>
      <c r="U545" s="3" t="str">
        <f t="shared" si="35"/>
        <v>Low</v>
      </c>
      <c r="V545">
        <v>2</v>
      </c>
      <c r="W545" t="s">
        <v>38</v>
      </c>
      <c r="X545" s="2">
        <v>14</v>
      </c>
      <c r="Y545" t="s">
        <v>60</v>
      </c>
      <c r="Z545" t="s">
        <v>60</v>
      </c>
      <c r="AA545">
        <v>0</v>
      </c>
      <c r="AB545">
        <v>9</v>
      </c>
      <c r="AC545">
        <v>5</v>
      </c>
      <c r="AD545">
        <v>3</v>
      </c>
      <c r="AE545">
        <v>5</v>
      </c>
      <c r="AF545">
        <v>2</v>
      </c>
      <c r="AG545">
        <v>1</v>
      </c>
      <c r="AH545">
        <v>4</v>
      </c>
      <c r="AI545" t="str">
        <f t="shared" si="32"/>
        <v>3-5 Years</v>
      </c>
      <c r="AJ545" t="str">
        <f t="shared" si="33"/>
        <v>0-2</v>
      </c>
    </row>
    <row r="546" spans="1:36" x14ac:dyDescent="0.35">
      <c r="A546">
        <v>545</v>
      </c>
      <c r="B546">
        <v>47</v>
      </c>
      <c r="C546" t="str">
        <f t="shared" si="34"/>
        <v>46-55</v>
      </c>
      <c r="D546" t="s">
        <v>38</v>
      </c>
      <c r="E546" t="s">
        <v>39</v>
      </c>
      <c r="F546" s="3">
        <v>1389</v>
      </c>
      <c r="G546" t="s">
        <v>33</v>
      </c>
      <c r="H546" s="1">
        <v>3</v>
      </c>
      <c r="I546" t="s">
        <v>61</v>
      </c>
      <c r="J546" t="s">
        <v>46</v>
      </c>
      <c r="K546" t="s">
        <v>62</v>
      </c>
      <c r="L546" t="s">
        <v>35</v>
      </c>
      <c r="M546" s="3">
        <v>49</v>
      </c>
      <c r="N546" t="s">
        <v>60</v>
      </c>
      <c r="O546" t="s">
        <v>62</v>
      </c>
      <c r="P546" t="s">
        <v>36</v>
      </c>
      <c r="Q546" t="s">
        <v>60</v>
      </c>
      <c r="R546" t="s">
        <v>47</v>
      </c>
      <c r="S546" s="3">
        <v>13770</v>
      </c>
      <c r="T546" s="3">
        <v>10225</v>
      </c>
      <c r="U546" s="3" t="str">
        <f t="shared" si="35"/>
        <v>High</v>
      </c>
      <c r="V546">
        <v>9</v>
      </c>
      <c r="W546" t="s">
        <v>31</v>
      </c>
      <c r="X546" s="2">
        <v>12</v>
      </c>
      <c r="Y546" t="s">
        <v>60</v>
      </c>
      <c r="Z546" t="s">
        <v>62</v>
      </c>
      <c r="AA546">
        <v>2</v>
      </c>
      <c r="AB546">
        <v>28</v>
      </c>
      <c r="AC546">
        <v>2</v>
      </c>
      <c r="AD546">
        <v>2</v>
      </c>
      <c r="AE546">
        <v>22</v>
      </c>
      <c r="AF546">
        <v>2</v>
      </c>
      <c r="AG546">
        <v>11</v>
      </c>
      <c r="AH546">
        <v>13</v>
      </c>
      <c r="AI546" t="str">
        <f t="shared" si="32"/>
        <v>10+ Years</v>
      </c>
      <c r="AJ546" t="str">
        <f t="shared" si="33"/>
        <v>6+</v>
      </c>
    </row>
    <row r="547" spans="1:36" x14ac:dyDescent="0.35">
      <c r="A547">
        <v>546</v>
      </c>
      <c r="B547">
        <v>30</v>
      </c>
      <c r="C547" t="str">
        <f t="shared" si="34"/>
        <v>26-35</v>
      </c>
      <c r="D547" t="s">
        <v>38</v>
      </c>
      <c r="E547" t="s">
        <v>32</v>
      </c>
      <c r="F547" s="3">
        <v>1389</v>
      </c>
      <c r="G547" t="s">
        <v>33</v>
      </c>
      <c r="H547" s="1">
        <v>27</v>
      </c>
      <c r="I547" t="s">
        <v>62</v>
      </c>
      <c r="J547" t="s">
        <v>54</v>
      </c>
      <c r="K547" t="s">
        <v>60</v>
      </c>
      <c r="L547" t="s">
        <v>41</v>
      </c>
      <c r="M547" s="3">
        <v>99</v>
      </c>
      <c r="N547" t="s">
        <v>60</v>
      </c>
      <c r="O547" t="s">
        <v>61</v>
      </c>
      <c r="P547" t="s">
        <v>36</v>
      </c>
      <c r="Q547" t="s">
        <v>62</v>
      </c>
      <c r="R547" t="s">
        <v>47</v>
      </c>
      <c r="S547" s="3">
        <v>5304</v>
      </c>
      <c r="T547" s="3">
        <v>25275</v>
      </c>
      <c r="U547" s="3" t="str">
        <f t="shared" si="35"/>
        <v>Medium</v>
      </c>
      <c r="V547">
        <v>7</v>
      </c>
      <c r="W547" t="s">
        <v>38</v>
      </c>
      <c r="X547" s="2">
        <v>23</v>
      </c>
      <c r="Y547" t="s">
        <v>62</v>
      </c>
      <c r="Z547" t="s">
        <v>62</v>
      </c>
      <c r="AA547">
        <v>1</v>
      </c>
      <c r="AB547">
        <v>10</v>
      </c>
      <c r="AC547">
        <v>2</v>
      </c>
      <c r="AD547">
        <v>2</v>
      </c>
      <c r="AE547">
        <v>8</v>
      </c>
      <c r="AF547">
        <v>7</v>
      </c>
      <c r="AG547">
        <v>7</v>
      </c>
      <c r="AH547">
        <v>7</v>
      </c>
      <c r="AI547" t="str">
        <f t="shared" si="32"/>
        <v>6-10 Years</v>
      </c>
      <c r="AJ547" t="str">
        <f t="shared" si="33"/>
        <v>6+</v>
      </c>
    </row>
    <row r="548" spans="1:36" x14ac:dyDescent="0.35">
      <c r="A548">
        <v>547</v>
      </c>
      <c r="B548">
        <v>29</v>
      </c>
      <c r="C548" t="str">
        <f t="shared" si="34"/>
        <v>26-35</v>
      </c>
      <c r="D548" t="s">
        <v>38</v>
      </c>
      <c r="E548" t="s">
        <v>32</v>
      </c>
      <c r="F548" s="3">
        <v>1389</v>
      </c>
      <c r="G548" t="s">
        <v>33</v>
      </c>
      <c r="H548" s="1">
        <v>10</v>
      </c>
      <c r="I548" t="s">
        <v>61</v>
      </c>
      <c r="J548" t="s">
        <v>34</v>
      </c>
      <c r="K548" t="s">
        <v>60</v>
      </c>
      <c r="L548" t="s">
        <v>41</v>
      </c>
      <c r="M548" s="3">
        <v>99</v>
      </c>
      <c r="N548" t="s">
        <v>60</v>
      </c>
      <c r="O548" t="s">
        <v>59</v>
      </c>
      <c r="P548" t="s">
        <v>52</v>
      </c>
      <c r="Q548" t="s">
        <v>60</v>
      </c>
      <c r="R548" t="s">
        <v>37</v>
      </c>
      <c r="S548" s="3">
        <v>2642</v>
      </c>
      <c r="T548" s="3">
        <v>2755</v>
      </c>
      <c r="U548" s="3" t="str">
        <f t="shared" si="35"/>
        <v>Low</v>
      </c>
      <c r="V548">
        <v>1</v>
      </c>
      <c r="W548" t="s">
        <v>38</v>
      </c>
      <c r="X548" s="2">
        <v>11</v>
      </c>
      <c r="Y548" t="s">
        <v>60</v>
      </c>
      <c r="Z548" t="s">
        <v>60</v>
      </c>
      <c r="AA548">
        <v>0</v>
      </c>
      <c r="AB548">
        <v>1</v>
      </c>
      <c r="AC548">
        <v>6</v>
      </c>
      <c r="AD548">
        <v>3</v>
      </c>
      <c r="AE548">
        <v>1</v>
      </c>
      <c r="AF548">
        <v>0</v>
      </c>
      <c r="AG548">
        <v>0</v>
      </c>
      <c r="AH548">
        <v>0</v>
      </c>
      <c r="AI548" t="str">
        <f t="shared" si="32"/>
        <v>0-2 Years</v>
      </c>
      <c r="AJ548" t="str">
        <f t="shared" si="33"/>
        <v>0-2</v>
      </c>
    </row>
    <row r="549" spans="1:36" x14ac:dyDescent="0.35">
      <c r="A549">
        <v>548</v>
      </c>
      <c r="B549">
        <v>42</v>
      </c>
      <c r="C549" t="str">
        <f t="shared" si="34"/>
        <v>36-45</v>
      </c>
      <c r="D549" t="s">
        <v>31</v>
      </c>
      <c r="E549" t="s">
        <v>39</v>
      </c>
      <c r="F549" s="3">
        <v>1389</v>
      </c>
      <c r="G549" t="s">
        <v>40</v>
      </c>
      <c r="H549" s="1">
        <v>19</v>
      </c>
      <c r="I549" t="s">
        <v>61</v>
      </c>
      <c r="J549" t="s">
        <v>46</v>
      </c>
      <c r="K549" t="s">
        <v>60</v>
      </c>
      <c r="L549" t="s">
        <v>41</v>
      </c>
      <c r="M549" s="3">
        <v>57</v>
      </c>
      <c r="N549" t="s">
        <v>62</v>
      </c>
      <c r="O549" t="s">
        <v>59</v>
      </c>
      <c r="P549" t="s">
        <v>42</v>
      </c>
      <c r="Q549" t="s">
        <v>60</v>
      </c>
      <c r="R549" t="s">
        <v>47</v>
      </c>
      <c r="S549" s="3">
        <v>2759</v>
      </c>
      <c r="T549" s="3">
        <v>20366</v>
      </c>
      <c r="U549" s="3" t="str">
        <f t="shared" si="35"/>
        <v>Low</v>
      </c>
      <c r="V549">
        <v>6</v>
      </c>
      <c r="W549" t="s">
        <v>31</v>
      </c>
      <c r="X549" s="2">
        <v>12</v>
      </c>
      <c r="Y549" t="s">
        <v>60</v>
      </c>
      <c r="Z549" t="s">
        <v>62</v>
      </c>
      <c r="AA549">
        <v>0</v>
      </c>
      <c r="AB549">
        <v>7</v>
      </c>
      <c r="AC549">
        <v>2</v>
      </c>
      <c r="AD549">
        <v>3</v>
      </c>
      <c r="AE549">
        <v>2</v>
      </c>
      <c r="AF549">
        <v>2</v>
      </c>
      <c r="AG549">
        <v>2</v>
      </c>
      <c r="AH549">
        <v>2</v>
      </c>
      <c r="AI549" t="str">
        <f t="shared" si="32"/>
        <v>0-2 Years</v>
      </c>
      <c r="AJ549" t="str">
        <f t="shared" si="33"/>
        <v>0-2</v>
      </c>
    </row>
    <row r="550" spans="1:36" x14ac:dyDescent="0.35">
      <c r="A550">
        <v>549</v>
      </c>
      <c r="B550">
        <v>43</v>
      </c>
      <c r="C550" t="str">
        <f t="shared" si="34"/>
        <v>36-45</v>
      </c>
      <c r="D550" t="s">
        <v>38</v>
      </c>
      <c r="E550" t="s">
        <v>39</v>
      </c>
      <c r="F550" s="3">
        <v>1389</v>
      </c>
      <c r="G550" t="s">
        <v>33</v>
      </c>
      <c r="H550" s="1">
        <v>15</v>
      </c>
      <c r="I550" t="s">
        <v>61</v>
      </c>
      <c r="J550" t="s">
        <v>34</v>
      </c>
      <c r="K550" t="s">
        <v>62</v>
      </c>
      <c r="L550" t="s">
        <v>41</v>
      </c>
      <c r="M550" s="3">
        <v>47</v>
      </c>
      <c r="N550" t="s">
        <v>61</v>
      </c>
      <c r="O550" t="s">
        <v>61</v>
      </c>
      <c r="P550" t="s">
        <v>36</v>
      </c>
      <c r="Q550" t="s">
        <v>62</v>
      </c>
      <c r="R550" t="s">
        <v>43</v>
      </c>
      <c r="S550" s="3">
        <v>6804</v>
      </c>
      <c r="T550" s="3">
        <v>23683</v>
      </c>
      <c r="U550" s="3" t="str">
        <f t="shared" si="35"/>
        <v>Medium</v>
      </c>
      <c r="V550">
        <v>3</v>
      </c>
      <c r="W550" t="s">
        <v>38</v>
      </c>
      <c r="X550" s="2">
        <v>18</v>
      </c>
      <c r="Y550" t="s">
        <v>60</v>
      </c>
      <c r="Z550" t="s">
        <v>60</v>
      </c>
      <c r="AA550">
        <v>1</v>
      </c>
      <c r="AB550">
        <v>7</v>
      </c>
      <c r="AC550">
        <v>5</v>
      </c>
      <c r="AD550">
        <v>3</v>
      </c>
      <c r="AE550">
        <v>2</v>
      </c>
      <c r="AF550">
        <v>2</v>
      </c>
      <c r="AG550">
        <v>2</v>
      </c>
      <c r="AH550">
        <v>2</v>
      </c>
      <c r="AI550" t="str">
        <f t="shared" si="32"/>
        <v>0-2 Years</v>
      </c>
      <c r="AJ550" t="str">
        <f t="shared" si="33"/>
        <v>0-2</v>
      </c>
    </row>
    <row r="551" spans="1:36" x14ac:dyDescent="0.35">
      <c r="A551">
        <v>550</v>
      </c>
      <c r="B551">
        <v>34</v>
      </c>
      <c r="C551" t="str">
        <f t="shared" si="34"/>
        <v>26-35</v>
      </c>
      <c r="D551" t="s">
        <v>38</v>
      </c>
      <c r="E551" t="s">
        <v>32</v>
      </c>
      <c r="F551" s="3">
        <v>1389</v>
      </c>
      <c r="G551" t="s">
        <v>40</v>
      </c>
      <c r="H551" s="1">
        <v>8</v>
      </c>
      <c r="I551" t="s">
        <v>58</v>
      </c>
      <c r="J551" t="s">
        <v>46</v>
      </c>
      <c r="K551" t="s">
        <v>61</v>
      </c>
      <c r="L551" t="s">
        <v>35</v>
      </c>
      <c r="M551" s="3">
        <v>96</v>
      </c>
      <c r="N551" t="s">
        <v>60</v>
      </c>
      <c r="O551" t="s">
        <v>61</v>
      </c>
      <c r="P551" t="s">
        <v>49</v>
      </c>
      <c r="Q551" t="s">
        <v>60</v>
      </c>
      <c r="R551" t="s">
        <v>37</v>
      </c>
      <c r="S551" s="3">
        <v>6142</v>
      </c>
      <c r="T551" s="3">
        <v>7360</v>
      </c>
      <c r="U551" s="3" t="str">
        <f t="shared" si="35"/>
        <v>Medium</v>
      </c>
      <c r="V551">
        <v>3</v>
      </c>
      <c r="W551" t="s">
        <v>38</v>
      </c>
      <c r="X551" s="2">
        <v>11</v>
      </c>
      <c r="Y551" t="s">
        <v>60</v>
      </c>
      <c r="Z551" t="s">
        <v>62</v>
      </c>
      <c r="AA551">
        <v>0</v>
      </c>
      <c r="AB551">
        <v>10</v>
      </c>
      <c r="AC551">
        <v>2</v>
      </c>
      <c r="AD551">
        <v>3</v>
      </c>
      <c r="AE551">
        <v>5</v>
      </c>
      <c r="AF551">
        <v>1</v>
      </c>
      <c r="AG551">
        <v>4</v>
      </c>
      <c r="AH551">
        <v>3</v>
      </c>
      <c r="AI551" t="str">
        <f t="shared" si="32"/>
        <v>3-5 Years</v>
      </c>
      <c r="AJ551" t="str">
        <f t="shared" si="33"/>
        <v>3-5</v>
      </c>
    </row>
    <row r="552" spans="1:36" x14ac:dyDescent="0.35">
      <c r="A552">
        <v>551</v>
      </c>
      <c r="B552">
        <v>23</v>
      </c>
      <c r="C552" t="str">
        <f t="shared" si="34"/>
        <v>18-25</v>
      </c>
      <c r="D552" t="s">
        <v>38</v>
      </c>
      <c r="E552" t="s">
        <v>32</v>
      </c>
      <c r="F552" s="3">
        <v>1389</v>
      </c>
      <c r="G552" t="s">
        <v>40</v>
      </c>
      <c r="H552" s="1">
        <v>9</v>
      </c>
      <c r="I552" t="s">
        <v>59</v>
      </c>
      <c r="J552" t="s">
        <v>46</v>
      </c>
      <c r="K552" t="s">
        <v>61</v>
      </c>
      <c r="L552" t="s">
        <v>41</v>
      </c>
      <c r="M552" s="3">
        <v>37</v>
      </c>
      <c r="N552" t="s">
        <v>60</v>
      </c>
      <c r="O552" t="s">
        <v>59</v>
      </c>
      <c r="P552" t="s">
        <v>45</v>
      </c>
      <c r="Q552" t="s">
        <v>59</v>
      </c>
      <c r="R552" t="s">
        <v>43</v>
      </c>
      <c r="S552" s="3">
        <v>2500</v>
      </c>
      <c r="T552" s="3">
        <v>4344</v>
      </c>
      <c r="U552" s="3" t="str">
        <f t="shared" si="35"/>
        <v>Low</v>
      </c>
      <c r="V552">
        <v>1</v>
      </c>
      <c r="W552" t="s">
        <v>38</v>
      </c>
      <c r="X552" s="2">
        <v>14</v>
      </c>
      <c r="Y552" t="s">
        <v>60</v>
      </c>
      <c r="Z552" t="s">
        <v>62</v>
      </c>
      <c r="AA552">
        <v>1</v>
      </c>
      <c r="AB552">
        <v>5</v>
      </c>
      <c r="AC552">
        <v>2</v>
      </c>
      <c r="AD552">
        <v>4</v>
      </c>
      <c r="AE552">
        <v>4</v>
      </c>
      <c r="AF552">
        <v>3</v>
      </c>
      <c r="AG552">
        <v>0</v>
      </c>
      <c r="AH552">
        <v>2</v>
      </c>
      <c r="AI552" t="str">
        <f t="shared" si="32"/>
        <v>3-5 Years</v>
      </c>
      <c r="AJ552" t="str">
        <f t="shared" si="33"/>
        <v>0-2</v>
      </c>
    </row>
    <row r="553" spans="1:36" x14ac:dyDescent="0.35">
      <c r="A553">
        <v>552</v>
      </c>
      <c r="B553">
        <v>39</v>
      </c>
      <c r="C553" t="str">
        <f t="shared" si="34"/>
        <v>36-45</v>
      </c>
      <c r="D553" t="s">
        <v>38</v>
      </c>
      <c r="E553" t="s">
        <v>32</v>
      </c>
      <c r="F553" s="3">
        <v>1389</v>
      </c>
      <c r="G553" t="s">
        <v>56</v>
      </c>
      <c r="H553" s="1">
        <v>3</v>
      </c>
      <c r="I553" t="s">
        <v>61</v>
      </c>
      <c r="J553" t="s">
        <v>56</v>
      </c>
      <c r="K553" t="s">
        <v>60</v>
      </c>
      <c r="L553" t="s">
        <v>35</v>
      </c>
      <c r="M553" s="3">
        <v>44</v>
      </c>
      <c r="N553" t="s">
        <v>62</v>
      </c>
      <c r="O553" t="s">
        <v>61</v>
      </c>
      <c r="P553" t="s">
        <v>56</v>
      </c>
      <c r="Q553" t="s">
        <v>61</v>
      </c>
      <c r="R553" t="s">
        <v>43</v>
      </c>
      <c r="S553" s="3">
        <v>6389</v>
      </c>
      <c r="T553" s="3">
        <v>18767</v>
      </c>
      <c r="U553" s="3" t="str">
        <f t="shared" si="35"/>
        <v>Medium</v>
      </c>
      <c r="V553">
        <v>9</v>
      </c>
      <c r="W553" t="s">
        <v>38</v>
      </c>
      <c r="X553" s="2">
        <v>15</v>
      </c>
      <c r="Y553" t="s">
        <v>60</v>
      </c>
      <c r="Z553" t="s">
        <v>60</v>
      </c>
      <c r="AA553">
        <v>1</v>
      </c>
      <c r="AB553">
        <v>12</v>
      </c>
      <c r="AC553">
        <v>3</v>
      </c>
      <c r="AD553">
        <v>1</v>
      </c>
      <c r="AE553">
        <v>8</v>
      </c>
      <c r="AF553">
        <v>3</v>
      </c>
      <c r="AG553">
        <v>3</v>
      </c>
      <c r="AH553">
        <v>6</v>
      </c>
      <c r="AI553" t="str">
        <f t="shared" si="32"/>
        <v>6-10 Years</v>
      </c>
      <c r="AJ553" t="str">
        <f t="shared" si="33"/>
        <v>3-5</v>
      </c>
    </row>
    <row r="554" spans="1:36" x14ac:dyDescent="0.35">
      <c r="A554">
        <v>553</v>
      </c>
      <c r="B554">
        <v>56</v>
      </c>
      <c r="C554" t="str">
        <f t="shared" si="34"/>
        <v>55+</v>
      </c>
      <c r="D554" t="s">
        <v>38</v>
      </c>
      <c r="E554" t="s">
        <v>32</v>
      </c>
      <c r="F554" s="3">
        <v>1389</v>
      </c>
      <c r="G554" t="s">
        <v>40</v>
      </c>
      <c r="H554" s="1">
        <v>9</v>
      </c>
      <c r="I554" t="s">
        <v>61</v>
      </c>
      <c r="J554" t="s">
        <v>46</v>
      </c>
      <c r="K554" t="s">
        <v>60</v>
      </c>
      <c r="L554" t="s">
        <v>41</v>
      </c>
      <c r="M554" s="3">
        <v>81</v>
      </c>
      <c r="N554" t="s">
        <v>60</v>
      </c>
      <c r="O554" t="s">
        <v>62</v>
      </c>
      <c r="P554" t="s">
        <v>49</v>
      </c>
      <c r="Q554" t="s">
        <v>62</v>
      </c>
      <c r="R554" t="s">
        <v>43</v>
      </c>
      <c r="S554" s="3">
        <v>11103</v>
      </c>
      <c r="T554" s="3">
        <v>20420</v>
      </c>
      <c r="U554" s="3" t="str">
        <f t="shared" si="35"/>
        <v>High</v>
      </c>
      <c r="V554">
        <v>7</v>
      </c>
      <c r="W554" t="s">
        <v>38</v>
      </c>
      <c r="X554" s="2">
        <v>11</v>
      </c>
      <c r="Y554" t="s">
        <v>60</v>
      </c>
      <c r="Z554" t="s">
        <v>60</v>
      </c>
      <c r="AA554">
        <v>0</v>
      </c>
      <c r="AB554">
        <v>30</v>
      </c>
      <c r="AC554">
        <v>1</v>
      </c>
      <c r="AD554">
        <v>2</v>
      </c>
      <c r="AE554">
        <v>10</v>
      </c>
      <c r="AF554">
        <v>7</v>
      </c>
      <c r="AG554">
        <v>1</v>
      </c>
      <c r="AH554">
        <v>1</v>
      </c>
      <c r="AI554" t="str">
        <f t="shared" si="32"/>
        <v>6-10 Years</v>
      </c>
      <c r="AJ554" t="str">
        <f t="shared" si="33"/>
        <v>0-2</v>
      </c>
    </row>
    <row r="555" spans="1:36" x14ac:dyDescent="0.35">
      <c r="A555">
        <v>554</v>
      </c>
      <c r="B555">
        <v>40</v>
      </c>
      <c r="C555" t="str">
        <f t="shared" si="34"/>
        <v>36-45</v>
      </c>
      <c r="D555" t="s">
        <v>38</v>
      </c>
      <c r="E555" t="s">
        <v>32</v>
      </c>
      <c r="F555" s="3">
        <v>1389</v>
      </c>
      <c r="G555" t="s">
        <v>40</v>
      </c>
      <c r="H555" s="1">
        <v>2</v>
      </c>
      <c r="I555" t="s">
        <v>59</v>
      </c>
      <c r="J555" t="s">
        <v>46</v>
      </c>
      <c r="K555" t="s">
        <v>62</v>
      </c>
      <c r="L555" t="s">
        <v>35</v>
      </c>
      <c r="M555" s="3">
        <v>86</v>
      </c>
      <c r="N555" t="s">
        <v>61</v>
      </c>
      <c r="O555" t="s">
        <v>59</v>
      </c>
      <c r="P555" t="s">
        <v>42</v>
      </c>
      <c r="Q555" t="s">
        <v>62</v>
      </c>
      <c r="R555" t="s">
        <v>37</v>
      </c>
      <c r="S555" s="3">
        <v>2342</v>
      </c>
      <c r="T555" s="3">
        <v>22929</v>
      </c>
      <c r="U555" s="3" t="str">
        <f t="shared" si="35"/>
        <v>Low</v>
      </c>
      <c r="V555">
        <v>0</v>
      </c>
      <c r="W555" t="s">
        <v>31</v>
      </c>
      <c r="X555" s="2">
        <v>20</v>
      </c>
      <c r="Y555" t="s">
        <v>62</v>
      </c>
      <c r="Z555" t="s">
        <v>62</v>
      </c>
      <c r="AA555">
        <v>0</v>
      </c>
      <c r="AB555">
        <v>5</v>
      </c>
      <c r="AC555">
        <v>2</v>
      </c>
      <c r="AD555">
        <v>2</v>
      </c>
      <c r="AE555">
        <v>4</v>
      </c>
      <c r="AF555">
        <v>2</v>
      </c>
      <c r="AG555">
        <v>2</v>
      </c>
      <c r="AH555">
        <v>3</v>
      </c>
      <c r="AI555" t="str">
        <f t="shared" si="32"/>
        <v>3-5 Years</v>
      </c>
      <c r="AJ555" t="str">
        <f t="shared" si="33"/>
        <v>0-2</v>
      </c>
    </row>
    <row r="556" spans="1:36" x14ac:dyDescent="0.35">
      <c r="A556">
        <v>555</v>
      </c>
      <c r="B556">
        <v>27</v>
      </c>
      <c r="C556" t="str">
        <f t="shared" si="34"/>
        <v>26-35</v>
      </c>
      <c r="D556" t="s">
        <v>38</v>
      </c>
      <c r="E556" t="s">
        <v>32</v>
      </c>
      <c r="F556" s="3">
        <v>1389</v>
      </c>
      <c r="G556" t="s">
        <v>40</v>
      </c>
      <c r="H556" s="1">
        <v>7</v>
      </c>
      <c r="I556" t="s">
        <v>61</v>
      </c>
      <c r="J556" t="s">
        <v>46</v>
      </c>
      <c r="K556" t="s">
        <v>62</v>
      </c>
      <c r="L556" t="s">
        <v>35</v>
      </c>
      <c r="M556" s="3">
        <v>55</v>
      </c>
      <c r="N556" t="s">
        <v>61</v>
      </c>
      <c r="O556" t="s">
        <v>61</v>
      </c>
      <c r="P556" t="s">
        <v>49</v>
      </c>
      <c r="Q556" t="s">
        <v>59</v>
      </c>
      <c r="R556" t="s">
        <v>37</v>
      </c>
      <c r="S556" s="3">
        <v>6811</v>
      </c>
      <c r="T556" s="3">
        <v>23398</v>
      </c>
      <c r="U556" s="3" t="str">
        <f t="shared" si="35"/>
        <v>Medium</v>
      </c>
      <c r="V556">
        <v>8</v>
      </c>
      <c r="W556" t="s">
        <v>38</v>
      </c>
      <c r="X556" s="2">
        <v>19</v>
      </c>
      <c r="Y556" t="s">
        <v>60</v>
      </c>
      <c r="Z556" t="s">
        <v>59</v>
      </c>
      <c r="AA556">
        <v>0</v>
      </c>
      <c r="AB556">
        <v>9</v>
      </c>
      <c r="AC556">
        <v>2</v>
      </c>
      <c r="AD556">
        <v>1</v>
      </c>
      <c r="AE556">
        <v>7</v>
      </c>
      <c r="AF556">
        <v>6</v>
      </c>
      <c r="AG556">
        <v>0</v>
      </c>
      <c r="AH556">
        <v>7</v>
      </c>
      <c r="AI556" t="str">
        <f t="shared" si="32"/>
        <v>6-10 Years</v>
      </c>
      <c r="AJ556" t="str">
        <f t="shared" si="33"/>
        <v>0-2</v>
      </c>
    </row>
    <row r="557" spans="1:36" x14ac:dyDescent="0.35">
      <c r="A557">
        <v>556</v>
      </c>
      <c r="B557">
        <v>29</v>
      </c>
      <c r="C557" t="str">
        <f t="shared" si="34"/>
        <v>26-35</v>
      </c>
      <c r="D557" t="s">
        <v>38</v>
      </c>
      <c r="E557" t="s">
        <v>32</v>
      </c>
      <c r="F557" s="3">
        <v>1389</v>
      </c>
      <c r="G557" t="s">
        <v>33</v>
      </c>
      <c r="H557" s="1">
        <v>10</v>
      </c>
      <c r="I557" t="s">
        <v>61</v>
      </c>
      <c r="J557" t="s">
        <v>54</v>
      </c>
      <c r="K557" t="s">
        <v>62</v>
      </c>
      <c r="L557" t="s">
        <v>41</v>
      </c>
      <c r="M557" s="3">
        <v>83</v>
      </c>
      <c r="N557" t="s">
        <v>60</v>
      </c>
      <c r="O557" t="s">
        <v>59</v>
      </c>
      <c r="P557" t="s">
        <v>52</v>
      </c>
      <c r="Q557" t="s">
        <v>61</v>
      </c>
      <c r="R557" t="s">
        <v>47</v>
      </c>
      <c r="S557" s="3">
        <v>2297</v>
      </c>
      <c r="T557" s="3">
        <v>17967</v>
      </c>
      <c r="U557" s="3" t="str">
        <f t="shared" si="35"/>
        <v>Low</v>
      </c>
      <c r="V557">
        <v>1</v>
      </c>
      <c r="W557" t="s">
        <v>38</v>
      </c>
      <c r="X557" s="2">
        <v>14</v>
      </c>
      <c r="Y557" t="s">
        <v>60</v>
      </c>
      <c r="Z557" t="s">
        <v>62</v>
      </c>
      <c r="AA557">
        <v>2</v>
      </c>
      <c r="AB557">
        <v>2</v>
      </c>
      <c r="AC557">
        <v>2</v>
      </c>
      <c r="AD557">
        <v>3</v>
      </c>
      <c r="AE557">
        <v>2</v>
      </c>
      <c r="AF557">
        <v>2</v>
      </c>
      <c r="AG557">
        <v>2</v>
      </c>
      <c r="AH557">
        <v>2</v>
      </c>
      <c r="AI557" t="str">
        <f t="shared" si="32"/>
        <v>0-2 Years</v>
      </c>
      <c r="AJ557" t="str">
        <f t="shared" si="33"/>
        <v>0-2</v>
      </c>
    </row>
    <row r="558" spans="1:36" x14ac:dyDescent="0.35">
      <c r="A558">
        <v>557</v>
      </c>
      <c r="B558">
        <v>53</v>
      </c>
      <c r="C558" t="str">
        <f t="shared" si="34"/>
        <v>46-55</v>
      </c>
      <c r="D558" t="s">
        <v>38</v>
      </c>
      <c r="E558" t="s">
        <v>32</v>
      </c>
      <c r="F558" s="3">
        <v>1389</v>
      </c>
      <c r="G558" t="s">
        <v>40</v>
      </c>
      <c r="H558" s="1">
        <v>6</v>
      </c>
      <c r="I558" t="s">
        <v>61</v>
      </c>
      <c r="J558" t="s">
        <v>34</v>
      </c>
      <c r="K558" t="s">
        <v>62</v>
      </c>
      <c r="L558" t="s">
        <v>41</v>
      </c>
      <c r="M558" s="3">
        <v>86</v>
      </c>
      <c r="N558" t="s">
        <v>60</v>
      </c>
      <c r="O558" t="s">
        <v>61</v>
      </c>
      <c r="P558" t="s">
        <v>45</v>
      </c>
      <c r="Q558" t="s">
        <v>62</v>
      </c>
      <c r="R558" t="s">
        <v>37</v>
      </c>
      <c r="S558" s="3">
        <v>2450</v>
      </c>
      <c r="T558" s="3">
        <v>10919</v>
      </c>
      <c r="U558" s="3" t="str">
        <f t="shared" si="35"/>
        <v>Low</v>
      </c>
      <c r="V558">
        <v>2</v>
      </c>
      <c r="W558" t="s">
        <v>38</v>
      </c>
      <c r="X558" s="2">
        <v>17</v>
      </c>
      <c r="Y558" t="s">
        <v>60</v>
      </c>
      <c r="Z558" t="s">
        <v>62</v>
      </c>
      <c r="AA558">
        <v>0</v>
      </c>
      <c r="AB558">
        <v>19</v>
      </c>
      <c r="AC558">
        <v>4</v>
      </c>
      <c r="AD558">
        <v>3</v>
      </c>
      <c r="AE558">
        <v>2</v>
      </c>
      <c r="AF558">
        <v>2</v>
      </c>
      <c r="AG558">
        <v>2</v>
      </c>
      <c r="AH558">
        <v>2</v>
      </c>
      <c r="AI558" t="str">
        <f t="shared" si="32"/>
        <v>0-2 Years</v>
      </c>
      <c r="AJ558" t="str">
        <f t="shared" si="33"/>
        <v>0-2</v>
      </c>
    </row>
    <row r="559" spans="1:36" x14ac:dyDescent="0.35">
      <c r="A559">
        <v>558</v>
      </c>
      <c r="B559">
        <v>35</v>
      </c>
      <c r="C559" t="str">
        <f t="shared" si="34"/>
        <v>26-35</v>
      </c>
      <c r="D559" t="s">
        <v>38</v>
      </c>
      <c r="E559" t="s">
        <v>50</v>
      </c>
      <c r="F559" s="3">
        <v>1389</v>
      </c>
      <c r="G559" t="s">
        <v>40</v>
      </c>
      <c r="H559" s="1">
        <v>2</v>
      </c>
      <c r="I559" t="s">
        <v>60</v>
      </c>
      <c r="J559" t="s">
        <v>34</v>
      </c>
      <c r="K559" t="s">
        <v>62</v>
      </c>
      <c r="L559" t="s">
        <v>35</v>
      </c>
      <c r="M559" s="3">
        <v>61</v>
      </c>
      <c r="N559" t="s">
        <v>60</v>
      </c>
      <c r="O559" t="s">
        <v>61</v>
      </c>
      <c r="P559" t="s">
        <v>49</v>
      </c>
      <c r="Q559" t="s">
        <v>59</v>
      </c>
      <c r="R559" t="s">
        <v>47</v>
      </c>
      <c r="S559" s="3">
        <v>5093</v>
      </c>
      <c r="T559" s="3">
        <v>4761</v>
      </c>
      <c r="U559" s="3" t="str">
        <f t="shared" si="35"/>
        <v>Medium</v>
      </c>
      <c r="V559">
        <v>2</v>
      </c>
      <c r="W559" t="s">
        <v>38</v>
      </c>
      <c r="X559" s="2">
        <v>11</v>
      </c>
      <c r="Y559" t="s">
        <v>60</v>
      </c>
      <c r="Z559" t="s">
        <v>59</v>
      </c>
      <c r="AA559">
        <v>1</v>
      </c>
      <c r="AB559">
        <v>16</v>
      </c>
      <c r="AC559">
        <v>2</v>
      </c>
      <c r="AD559">
        <v>4</v>
      </c>
      <c r="AE559">
        <v>1</v>
      </c>
      <c r="AF559">
        <v>0</v>
      </c>
      <c r="AG559">
        <v>0</v>
      </c>
      <c r="AH559">
        <v>0</v>
      </c>
      <c r="AI559" t="str">
        <f t="shared" si="32"/>
        <v>0-2 Years</v>
      </c>
      <c r="AJ559" t="str">
        <f t="shared" si="33"/>
        <v>0-2</v>
      </c>
    </row>
    <row r="560" spans="1:36" x14ac:dyDescent="0.35">
      <c r="A560">
        <v>559</v>
      </c>
      <c r="B560">
        <v>32</v>
      </c>
      <c r="C560" t="str">
        <f t="shared" si="34"/>
        <v>26-35</v>
      </c>
      <c r="D560" t="s">
        <v>38</v>
      </c>
      <c r="E560" t="s">
        <v>39</v>
      </c>
      <c r="F560" s="3">
        <v>1389</v>
      </c>
      <c r="G560" t="s">
        <v>40</v>
      </c>
      <c r="H560" s="1">
        <v>24</v>
      </c>
      <c r="I560" t="s">
        <v>60</v>
      </c>
      <c r="J560" t="s">
        <v>34</v>
      </c>
      <c r="K560" t="s">
        <v>59</v>
      </c>
      <c r="L560" t="s">
        <v>41</v>
      </c>
      <c r="M560" s="3">
        <v>80</v>
      </c>
      <c r="N560" t="s">
        <v>60</v>
      </c>
      <c r="O560" t="s">
        <v>61</v>
      </c>
      <c r="P560" t="s">
        <v>45</v>
      </c>
      <c r="Q560" t="s">
        <v>62</v>
      </c>
      <c r="R560" t="s">
        <v>43</v>
      </c>
      <c r="S560" s="3">
        <v>5309</v>
      </c>
      <c r="T560" s="3">
        <v>21146</v>
      </c>
      <c r="U560" s="3" t="str">
        <f t="shared" si="35"/>
        <v>Medium</v>
      </c>
      <c r="V560">
        <v>1</v>
      </c>
      <c r="W560" t="s">
        <v>38</v>
      </c>
      <c r="X560" s="2">
        <v>15</v>
      </c>
      <c r="Y560" t="s">
        <v>60</v>
      </c>
      <c r="Z560" t="s">
        <v>62</v>
      </c>
      <c r="AA560">
        <v>2</v>
      </c>
      <c r="AB560">
        <v>10</v>
      </c>
      <c r="AC560">
        <v>2</v>
      </c>
      <c r="AD560">
        <v>3</v>
      </c>
      <c r="AE560">
        <v>10</v>
      </c>
      <c r="AF560">
        <v>8</v>
      </c>
      <c r="AG560">
        <v>4</v>
      </c>
      <c r="AH560">
        <v>7</v>
      </c>
      <c r="AI560" t="str">
        <f t="shared" si="32"/>
        <v>6-10 Years</v>
      </c>
      <c r="AJ560" t="str">
        <f t="shared" si="33"/>
        <v>3-5</v>
      </c>
    </row>
    <row r="561" spans="1:36" x14ac:dyDescent="0.35">
      <c r="A561">
        <v>560</v>
      </c>
      <c r="B561">
        <v>38</v>
      </c>
      <c r="C561" t="str">
        <f t="shared" si="34"/>
        <v>36-45</v>
      </c>
      <c r="D561" t="s">
        <v>38</v>
      </c>
      <c r="E561" t="s">
        <v>32</v>
      </c>
      <c r="F561" s="3">
        <v>1389</v>
      </c>
      <c r="G561" t="s">
        <v>40</v>
      </c>
      <c r="H561" s="1">
        <v>2</v>
      </c>
      <c r="I561" t="s">
        <v>62</v>
      </c>
      <c r="J561" t="s">
        <v>46</v>
      </c>
      <c r="K561" t="s">
        <v>62</v>
      </c>
      <c r="L561" t="s">
        <v>41</v>
      </c>
      <c r="M561" s="3">
        <v>92</v>
      </c>
      <c r="N561" t="s">
        <v>60</v>
      </c>
      <c r="O561" t="s">
        <v>59</v>
      </c>
      <c r="P561" t="s">
        <v>42</v>
      </c>
      <c r="Q561" t="s">
        <v>60</v>
      </c>
      <c r="R561" t="s">
        <v>43</v>
      </c>
      <c r="S561" s="3">
        <v>3057</v>
      </c>
      <c r="T561" s="3">
        <v>20471</v>
      </c>
      <c r="U561" s="3" t="str">
        <f t="shared" si="35"/>
        <v>Low</v>
      </c>
      <c r="V561">
        <v>6</v>
      </c>
      <c r="W561" t="s">
        <v>31</v>
      </c>
      <c r="X561" s="2">
        <v>13</v>
      </c>
      <c r="Y561" t="s">
        <v>60</v>
      </c>
      <c r="Z561" t="s">
        <v>61</v>
      </c>
      <c r="AA561">
        <v>1</v>
      </c>
      <c r="AB561">
        <v>6</v>
      </c>
      <c r="AC561">
        <v>0</v>
      </c>
      <c r="AD561">
        <v>1</v>
      </c>
      <c r="AE561">
        <v>1</v>
      </c>
      <c r="AF561">
        <v>0</v>
      </c>
      <c r="AG561">
        <v>0</v>
      </c>
      <c r="AH561">
        <v>1</v>
      </c>
      <c r="AI561" t="str">
        <f t="shared" si="32"/>
        <v>0-2 Years</v>
      </c>
      <c r="AJ561" t="str">
        <f t="shared" si="33"/>
        <v>0-2</v>
      </c>
    </row>
    <row r="562" spans="1:36" x14ac:dyDescent="0.35">
      <c r="A562">
        <v>561</v>
      </c>
      <c r="B562">
        <v>34</v>
      </c>
      <c r="C562" t="str">
        <f t="shared" si="34"/>
        <v>26-35</v>
      </c>
      <c r="D562" t="s">
        <v>38</v>
      </c>
      <c r="E562" t="s">
        <v>32</v>
      </c>
      <c r="F562" s="3">
        <v>1389</v>
      </c>
      <c r="G562" t="s">
        <v>40</v>
      </c>
      <c r="H562" s="1">
        <v>8</v>
      </c>
      <c r="I562" t="s">
        <v>62</v>
      </c>
      <c r="J562" t="s">
        <v>34</v>
      </c>
      <c r="K562" t="s">
        <v>61</v>
      </c>
      <c r="L562" t="s">
        <v>35</v>
      </c>
      <c r="M562" s="3">
        <v>32</v>
      </c>
      <c r="N562" t="s">
        <v>60</v>
      </c>
      <c r="O562" t="s">
        <v>61</v>
      </c>
      <c r="P562" t="s">
        <v>48</v>
      </c>
      <c r="Q562" t="s">
        <v>59</v>
      </c>
      <c r="R562" t="s">
        <v>47</v>
      </c>
      <c r="S562" s="3">
        <v>5121</v>
      </c>
      <c r="T562" s="3">
        <v>4187</v>
      </c>
      <c r="U562" s="3" t="str">
        <f t="shared" si="35"/>
        <v>Medium</v>
      </c>
      <c r="V562">
        <v>3</v>
      </c>
      <c r="W562" t="s">
        <v>38</v>
      </c>
      <c r="X562" s="2">
        <v>14</v>
      </c>
      <c r="Y562" t="s">
        <v>60</v>
      </c>
      <c r="Z562" t="s">
        <v>60</v>
      </c>
      <c r="AA562">
        <v>1</v>
      </c>
      <c r="AB562">
        <v>7</v>
      </c>
      <c r="AC562">
        <v>3</v>
      </c>
      <c r="AD562">
        <v>3</v>
      </c>
      <c r="AE562">
        <v>0</v>
      </c>
      <c r="AF562">
        <v>0</v>
      </c>
      <c r="AG562">
        <v>0</v>
      </c>
      <c r="AH562">
        <v>0</v>
      </c>
      <c r="AI562" t="str">
        <f t="shared" si="32"/>
        <v>0-2 Years</v>
      </c>
      <c r="AJ562" t="str">
        <f t="shared" si="33"/>
        <v>0-2</v>
      </c>
    </row>
    <row r="563" spans="1:36" x14ac:dyDescent="0.35">
      <c r="A563">
        <v>562</v>
      </c>
      <c r="B563">
        <v>52</v>
      </c>
      <c r="C563" t="str">
        <f t="shared" si="34"/>
        <v>46-55</v>
      </c>
      <c r="D563" t="s">
        <v>38</v>
      </c>
      <c r="E563" t="s">
        <v>32</v>
      </c>
      <c r="F563" s="3">
        <v>1389</v>
      </c>
      <c r="G563" t="s">
        <v>33</v>
      </c>
      <c r="H563" s="1">
        <v>3</v>
      </c>
      <c r="I563" t="s">
        <v>60</v>
      </c>
      <c r="J563" t="s">
        <v>54</v>
      </c>
      <c r="K563" t="s">
        <v>60</v>
      </c>
      <c r="L563" t="s">
        <v>41</v>
      </c>
      <c r="M563" s="3">
        <v>31</v>
      </c>
      <c r="N563" t="s">
        <v>61</v>
      </c>
      <c r="O563" t="s">
        <v>62</v>
      </c>
      <c r="P563" t="s">
        <v>51</v>
      </c>
      <c r="Q563" t="s">
        <v>59</v>
      </c>
      <c r="R563" t="s">
        <v>43</v>
      </c>
      <c r="S563" s="3">
        <v>16856</v>
      </c>
      <c r="T563" s="3">
        <v>10084</v>
      </c>
      <c r="U563" s="3" t="str">
        <f t="shared" si="35"/>
        <v>High</v>
      </c>
      <c r="V563">
        <v>1</v>
      </c>
      <c r="W563" t="s">
        <v>38</v>
      </c>
      <c r="X563" s="2">
        <v>11</v>
      </c>
      <c r="Y563" t="s">
        <v>60</v>
      </c>
      <c r="Z563" t="s">
        <v>59</v>
      </c>
      <c r="AA563">
        <v>0</v>
      </c>
      <c r="AB563">
        <v>34</v>
      </c>
      <c r="AC563">
        <v>3</v>
      </c>
      <c r="AD563">
        <v>4</v>
      </c>
      <c r="AE563">
        <v>34</v>
      </c>
      <c r="AF563">
        <v>6</v>
      </c>
      <c r="AG563">
        <v>1</v>
      </c>
      <c r="AH563">
        <v>16</v>
      </c>
      <c r="AI563" t="str">
        <f t="shared" si="32"/>
        <v>10+ Years</v>
      </c>
      <c r="AJ563" t="str">
        <f t="shared" si="33"/>
        <v>0-2</v>
      </c>
    </row>
    <row r="564" spans="1:36" x14ac:dyDescent="0.35">
      <c r="A564">
        <v>563</v>
      </c>
      <c r="B564">
        <v>33</v>
      </c>
      <c r="C564" t="str">
        <f t="shared" si="34"/>
        <v>26-35</v>
      </c>
      <c r="D564" t="s">
        <v>31</v>
      </c>
      <c r="E564" t="s">
        <v>32</v>
      </c>
      <c r="F564" s="3">
        <v>1389</v>
      </c>
      <c r="G564" t="s">
        <v>40</v>
      </c>
      <c r="H564" s="1">
        <v>1</v>
      </c>
      <c r="I564" t="s">
        <v>60</v>
      </c>
      <c r="J564" t="s">
        <v>44</v>
      </c>
      <c r="K564" t="s">
        <v>62</v>
      </c>
      <c r="L564" t="s">
        <v>41</v>
      </c>
      <c r="M564" s="3">
        <v>63</v>
      </c>
      <c r="N564" t="s">
        <v>60</v>
      </c>
      <c r="O564" t="s">
        <v>59</v>
      </c>
      <c r="P564" t="s">
        <v>42</v>
      </c>
      <c r="Q564" t="s">
        <v>62</v>
      </c>
      <c r="R564" t="s">
        <v>37</v>
      </c>
      <c r="S564" s="3">
        <v>2686</v>
      </c>
      <c r="T564" s="3">
        <v>5207</v>
      </c>
      <c r="U564" s="3" t="str">
        <f t="shared" si="35"/>
        <v>Low</v>
      </c>
      <c r="V564">
        <v>1</v>
      </c>
      <c r="W564" t="s">
        <v>31</v>
      </c>
      <c r="X564" s="2">
        <v>13</v>
      </c>
      <c r="Y564" t="s">
        <v>60</v>
      </c>
      <c r="Z564" t="s">
        <v>60</v>
      </c>
      <c r="AA564">
        <v>0</v>
      </c>
      <c r="AB564">
        <v>10</v>
      </c>
      <c r="AC564">
        <v>2</v>
      </c>
      <c r="AD564">
        <v>2</v>
      </c>
      <c r="AE564">
        <v>10</v>
      </c>
      <c r="AF564">
        <v>9</v>
      </c>
      <c r="AG564">
        <v>7</v>
      </c>
      <c r="AH564">
        <v>8</v>
      </c>
      <c r="AI564" t="str">
        <f t="shared" si="32"/>
        <v>6-10 Years</v>
      </c>
      <c r="AJ564" t="str">
        <f t="shared" si="33"/>
        <v>6+</v>
      </c>
    </row>
    <row r="565" spans="1:36" x14ac:dyDescent="0.35">
      <c r="A565">
        <v>564</v>
      </c>
      <c r="B565">
        <v>25</v>
      </c>
      <c r="C565" t="str">
        <f t="shared" si="34"/>
        <v>18-25</v>
      </c>
      <c r="D565" t="s">
        <v>38</v>
      </c>
      <c r="E565" t="s">
        <v>32</v>
      </c>
      <c r="F565" s="3">
        <v>1389</v>
      </c>
      <c r="G565" t="s">
        <v>33</v>
      </c>
      <c r="H565" s="1">
        <v>26</v>
      </c>
      <c r="I565" t="s">
        <v>59</v>
      </c>
      <c r="J565" t="s">
        <v>46</v>
      </c>
      <c r="K565" t="s">
        <v>60</v>
      </c>
      <c r="L565" t="s">
        <v>35</v>
      </c>
      <c r="M565" s="3">
        <v>32</v>
      </c>
      <c r="N565" t="s">
        <v>60</v>
      </c>
      <c r="O565" t="s">
        <v>61</v>
      </c>
      <c r="P565" t="s">
        <v>36</v>
      </c>
      <c r="Q565" t="s">
        <v>62</v>
      </c>
      <c r="R565" t="s">
        <v>37</v>
      </c>
      <c r="S565" s="3">
        <v>6180</v>
      </c>
      <c r="T565" s="3">
        <v>22807</v>
      </c>
      <c r="U565" s="3" t="str">
        <f t="shared" si="35"/>
        <v>Medium</v>
      </c>
      <c r="V565">
        <v>1</v>
      </c>
      <c r="W565" t="s">
        <v>38</v>
      </c>
      <c r="X565" s="2">
        <v>23</v>
      </c>
      <c r="Y565" t="s">
        <v>62</v>
      </c>
      <c r="Z565" t="s">
        <v>61</v>
      </c>
      <c r="AA565">
        <v>0</v>
      </c>
      <c r="AB565">
        <v>6</v>
      </c>
      <c r="AC565">
        <v>5</v>
      </c>
      <c r="AD565">
        <v>2</v>
      </c>
      <c r="AE565">
        <v>6</v>
      </c>
      <c r="AF565">
        <v>5</v>
      </c>
      <c r="AG565">
        <v>1</v>
      </c>
      <c r="AH565">
        <v>4</v>
      </c>
      <c r="AI565" t="str">
        <f t="shared" si="32"/>
        <v>6-10 Years</v>
      </c>
      <c r="AJ565" t="str">
        <f t="shared" si="33"/>
        <v>0-2</v>
      </c>
    </row>
    <row r="566" spans="1:36" x14ac:dyDescent="0.35">
      <c r="A566">
        <v>565</v>
      </c>
      <c r="B566">
        <v>45</v>
      </c>
      <c r="C566" t="str">
        <f t="shared" si="34"/>
        <v>36-45</v>
      </c>
      <c r="D566" t="s">
        <v>38</v>
      </c>
      <c r="E566" t="s">
        <v>32</v>
      </c>
      <c r="F566" s="3">
        <v>1389</v>
      </c>
      <c r="G566" t="s">
        <v>33</v>
      </c>
      <c r="H566" s="1">
        <v>2</v>
      </c>
      <c r="I566" t="s">
        <v>58</v>
      </c>
      <c r="J566" t="s">
        <v>55</v>
      </c>
      <c r="K566" t="s">
        <v>61</v>
      </c>
      <c r="L566" t="s">
        <v>41</v>
      </c>
      <c r="M566" s="3">
        <v>46</v>
      </c>
      <c r="N566" t="s">
        <v>59</v>
      </c>
      <c r="O566" t="s">
        <v>61</v>
      </c>
      <c r="P566" t="s">
        <v>52</v>
      </c>
      <c r="Q566" t="s">
        <v>60</v>
      </c>
      <c r="R566" t="s">
        <v>37</v>
      </c>
      <c r="S566" s="3">
        <v>6632</v>
      </c>
      <c r="T566" s="3">
        <v>12388</v>
      </c>
      <c r="U566" s="3" t="str">
        <f t="shared" si="35"/>
        <v>Medium</v>
      </c>
      <c r="V566">
        <v>0</v>
      </c>
      <c r="W566" t="s">
        <v>38</v>
      </c>
      <c r="X566" s="2">
        <v>13</v>
      </c>
      <c r="Y566" t="s">
        <v>60</v>
      </c>
      <c r="Z566" t="s">
        <v>59</v>
      </c>
      <c r="AA566">
        <v>0</v>
      </c>
      <c r="AB566">
        <v>9</v>
      </c>
      <c r="AC566">
        <v>3</v>
      </c>
      <c r="AD566">
        <v>3</v>
      </c>
      <c r="AE566">
        <v>8</v>
      </c>
      <c r="AF566">
        <v>7</v>
      </c>
      <c r="AG566">
        <v>3</v>
      </c>
      <c r="AH566">
        <v>1</v>
      </c>
      <c r="AI566" t="str">
        <f t="shared" si="32"/>
        <v>6-10 Years</v>
      </c>
      <c r="AJ566" t="str">
        <f t="shared" si="33"/>
        <v>3-5</v>
      </c>
    </row>
    <row r="567" spans="1:36" x14ac:dyDescent="0.35">
      <c r="A567">
        <v>566</v>
      </c>
      <c r="B567">
        <v>23</v>
      </c>
      <c r="C567" t="str">
        <f t="shared" si="34"/>
        <v>18-25</v>
      </c>
      <c r="D567" t="s">
        <v>38</v>
      </c>
      <c r="E567" t="s">
        <v>32</v>
      </c>
      <c r="F567" s="3">
        <v>1389</v>
      </c>
      <c r="G567" t="s">
        <v>40</v>
      </c>
      <c r="H567" s="1">
        <v>10</v>
      </c>
      <c r="I567" t="s">
        <v>59</v>
      </c>
      <c r="J567" t="s">
        <v>46</v>
      </c>
      <c r="K567" t="s">
        <v>59</v>
      </c>
      <c r="L567" t="s">
        <v>41</v>
      </c>
      <c r="M567" s="3">
        <v>79</v>
      </c>
      <c r="N567" t="s">
        <v>62</v>
      </c>
      <c r="O567" t="s">
        <v>59</v>
      </c>
      <c r="P567" t="s">
        <v>42</v>
      </c>
      <c r="Q567" t="s">
        <v>60</v>
      </c>
      <c r="R567" t="s">
        <v>37</v>
      </c>
      <c r="S567" s="3">
        <v>3505</v>
      </c>
      <c r="T567" s="3">
        <v>19630</v>
      </c>
      <c r="U567" s="3" t="str">
        <f t="shared" si="35"/>
        <v>Low</v>
      </c>
      <c r="V567">
        <v>1</v>
      </c>
      <c r="W567" t="s">
        <v>38</v>
      </c>
      <c r="X567" s="2">
        <v>18</v>
      </c>
      <c r="Y567" t="s">
        <v>60</v>
      </c>
      <c r="Z567" t="s">
        <v>62</v>
      </c>
      <c r="AA567">
        <v>0</v>
      </c>
      <c r="AB567">
        <v>2</v>
      </c>
      <c r="AC567">
        <v>3</v>
      </c>
      <c r="AD567">
        <v>3</v>
      </c>
      <c r="AE567">
        <v>2</v>
      </c>
      <c r="AF567">
        <v>2</v>
      </c>
      <c r="AG567">
        <v>0</v>
      </c>
      <c r="AH567">
        <v>2</v>
      </c>
      <c r="AI567" t="str">
        <f t="shared" si="32"/>
        <v>0-2 Years</v>
      </c>
      <c r="AJ567" t="str">
        <f t="shared" si="33"/>
        <v>0-2</v>
      </c>
    </row>
    <row r="568" spans="1:36" x14ac:dyDescent="0.35">
      <c r="A568">
        <v>567</v>
      </c>
      <c r="B568">
        <v>47</v>
      </c>
      <c r="C568" t="str">
        <f t="shared" si="34"/>
        <v>46-55</v>
      </c>
      <c r="D568" t="s">
        <v>31</v>
      </c>
      <c r="E568" t="s">
        <v>39</v>
      </c>
      <c r="F568" s="3">
        <v>1389</v>
      </c>
      <c r="G568" t="s">
        <v>33</v>
      </c>
      <c r="H568" s="1">
        <v>27</v>
      </c>
      <c r="I568" t="s">
        <v>58</v>
      </c>
      <c r="J568" t="s">
        <v>34</v>
      </c>
      <c r="K568" t="s">
        <v>61</v>
      </c>
      <c r="L568" t="s">
        <v>35</v>
      </c>
      <c r="M568" s="3">
        <v>77</v>
      </c>
      <c r="N568" t="s">
        <v>62</v>
      </c>
      <c r="O568" t="s">
        <v>61</v>
      </c>
      <c r="P568" t="s">
        <v>36</v>
      </c>
      <c r="Q568" t="s">
        <v>60</v>
      </c>
      <c r="R568" t="s">
        <v>37</v>
      </c>
      <c r="S568" s="3">
        <v>6397</v>
      </c>
      <c r="T568" s="3">
        <v>10339</v>
      </c>
      <c r="U568" s="3" t="str">
        <f t="shared" si="35"/>
        <v>Medium</v>
      </c>
      <c r="V568">
        <v>4</v>
      </c>
      <c r="W568" t="s">
        <v>31</v>
      </c>
      <c r="X568" s="2">
        <v>12</v>
      </c>
      <c r="Y568" t="s">
        <v>60</v>
      </c>
      <c r="Z568" t="s">
        <v>62</v>
      </c>
      <c r="AA568">
        <v>0</v>
      </c>
      <c r="AB568">
        <v>8</v>
      </c>
      <c r="AC568">
        <v>2</v>
      </c>
      <c r="AD568">
        <v>3</v>
      </c>
      <c r="AE568">
        <v>5</v>
      </c>
      <c r="AF568">
        <v>4</v>
      </c>
      <c r="AG568">
        <v>1</v>
      </c>
      <c r="AH568">
        <v>3</v>
      </c>
      <c r="AI568" t="str">
        <f t="shared" si="32"/>
        <v>3-5 Years</v>
      </c>
      <c r="AJ568" t="str">
        <f t="shared" si="33"/>
        <v>0-2</v>
      </c>
    </row>
    <row r="569" spans="1:36" x14ac:dyDescent="0.35">
      <c r="A569">
        <v>568</v>
      </c>
      <c r="B569">
        <v>34</v>
      </c>
      <c r="C569" t="str">
        <f t="shared" si="34"/>
        <v>26-35</v>
      </c>
      <c r="D569" t="s">
        <v>38</v>
      </c>
      <c r="E569" t="s">
        <v>32</v>
      </c>
      <c r="F569" s="3">
        <v>1389</v>
      </c>
      <c r="G569" t="s">
        <v>33</v>
      </c>
      <c r="H569" s="1">
        <v>2</v>
      </c>
      <c r="I569" t="s">
        <v>61</v>
      </c>
      <c r="J569" t="s">
        <v>44</v>
      </c>
      <c r="K569" t="s">
        <v>62</v>
      </c>
      <c r="L569" t="s">
        <v>41</v>
      </c>
      <c r="M569" s="3">
        <v>60</v>
      </c>
      <c r="N569" t="s">
        <v>60</v>
      </c>
      <c r="O569" t="s">
        <v>61</v>
      </c>
      <c r="P569" t="s">
        <v>36</v>
      </c>
      <c r="Q569" t="s">
        <v>62</v>
      </c>
      <c r="R569" t="s">
        <v>37</v>
      </c>
      <c r="S569" s="3">
        <v>6274</v>
      </c>
      <c r="T569" s="3">
        <v>18686</v>
      </c>
      <c r="U569" s="3" t="str">
        <f t="shared" si="35"/>
        <v>Medium</v>
      </c>
      <c r="V569">
        <v>1</v>
      </c>
      <c r="W569" t="s">
        <v>38</v>
      </c>
      <c r="X569" s="2">
        <v>22</v>
      </c>
      <c r="Y569" t="s">
        <v>62</v>
      </c>
      <c r="Z569" t="s">
        <v>60</v>
      </c>
      <c r="AA569">
        <v>0</v>
      </c>
      <c r="AB569">
        <v>6</v>
      </c>
      <c r="AC569">
        <v>5</v>
      </c>
      <c r="AD569">
        <v>3</v>
      </c>
      <c r="AE569">
        <v>6</v>
      </c>
      <c r="AF569">
        <v>5</v>
      </c>
      <c r="AG569">
        <v>1</v>
      </c>
      <c r="AH569">
        <v>4</v>
      </c>
      <c r="AI569" t="str">
        <f t="shared" si="32"/>
        <v>6-10 Years</v>
      </c>
      <c r="AJ569" t="str">
        <f t="shared" si="33"/>
        <v>0-2</v>
      </c>
    </row>
    <row r="570" spans="1:36" x14ac:dyDescent="0.35">
      <c r="A570">
        <v>569</v>
      </c>
      <c r="B570">
        <v>55</v>
      </c>
      <c r="C570" t="str">
        <f t="shared" si="34"/>
        <v>46-55</v>
      </c>
      <c r="D570" t="s">
        <v>31</v>
      </c>
      <c r="E570" t="s">
        <v>32</v>
      </c>
      <c r="F570" s="3">
        <v>1389</v>
      </c>
      <c r="G570" t="s">
        <v>40</v>
      </c>
      <c r="H570" s="1">
        <v>2</v>
      </c>
      <c r="I570" t="s">
        <v>61</v>
      </c>
      <c r="J570" t="s">
        <v>46</v>
      </c>
      <c r="K570" t="s">
        <v>62</v>
      </c>
      <c r="L570" t="s">
        <v>41</v>
      </c>
      <c r="M570" s="3">
        <v>78</v>
      </c>
      <c r="N570" t="s">
        <v>60</v>
      </c>
      <c r="O570" t="e">
        <v>#N/A</v>
      </c>
      <c r="P570" t="s">
        <v>51</v>
      </c>
      <c r="Q570" t="s">
        <v>59</v>
      </c>
      <c r="R570" t="s">
        <v>43</v>
      </c>
      <c r="S570" s="3">
        <v>19859</v>
      </c>
      <c r="T570" s="3">
        <v>21199</v>
      </c>
      <c r="U570" s="3" t="str">
        <f t="shared" si="35"/>
        <v>High</v>
      </c>
      <c r="V570">
        <v>5</v>
      </c>
      <c r="W570" t="s">
        <v>31</v>
      </c>
      <c r="X570" s="2">
        <v>13</v>
      </c>
      <c r="Y570" t="s">
        <v>60</v>
      </c>
      <c r="Z570" t="s">
        <v>62</v>
      </c>
      <c r="AA570">
        <v>1</v>
      </c>
      <c r="AB570">
        <v>24</v>
      </c>
      <c r="AC570">
        <v>2</v>
      </c>
      <c r="AD570">
        <v>3</v>
      </c>
      <c r="AE570">
        <v>5</v>
      </c>
      <c r="AF570">
        <v>2</v>
      </c>
      <c r="AG570">
        <v>1</v>
      </c>
      <c r="AH570">
        <v>4</v>
      </c>
      <c r="AI570" t="str">
        <f t="shared" si="32"/>
        <v>3-5 Years</v>
      </c>
      <c r="AJ570" t="str">
        <f t="shared" si="33"/>
        <v>0-2</v>
      </c>
    </row>
    <row r="571" spans="1:36" x14ac:dyDescent="0.35">
      <c r="A571">
        <v>570</v>
      </c>
      <c r="B571">
        <v>36</v>
      </c>
      <c r="C571" t="str">
        <f t="shared" si="34"/>
        <v>36-45</v>
      </c>
      <c r="D571" t="s">
        <v>38</v>
      </c>
      <c r="E571" t="s">
        <v>50</v>
      </c>
      <c r="F571" s="3">
        <v>1389</v>
      </c>
      <c r="G571" t="s">
        <v>33</v>
      </c>
      <c r="H571" s="1">
        <v>8</v>
      </c>
      <c r="I571" t="s">
        <v>60</v>
      </c>
      <c r="J571" t="s">
        <v>34</v>
      </c>
      <c r="K571" t="s">
        <v>59</v>
      </c>
      <c r="L571" t="s">
        <v>41</v>
      </c>
      <c r="M571" s="3">
        <v>76</v>
      </c>
      <c r="N571" t="s">
        <v>61</v>
      </c>
      <c r="O571" t="s">
        <v>60</v>
      </c>
      <c r="P571" t="s">
        <v>36</v>
      </c>
      <c r="Q571" t="s">
        <v>59</v>
      </c>
      <c r="R571" t="s">
        <v>37</v>
      </c>
      <c r="S571" s="3">
        <v>7587</v>
      </c>
      <c r="T571" s="3">
        <v>14229</v>
      </c>
      <c r="U571" s="3" t="str">
        <f t="shared" si="35"/>
        <v>Medium</v>
      </c>
      <c r="V571">
        <v>1</v>
      </c>
      <c r="W571" t="s">
        <v>38</v>
      </c>
      <c r="X571" s="2">
        <v>15</v>
      </c>
      <c r="Y571" t="s">
        <v>60</v>
      </c>
      <c r="Z571" t="s">
        <v>61</v>
      </c>
      <c r="AA571">
        <v>0</v>
      </c>
      <c r="AB571">
        <v>10</v>
      </c>
      <c r="AC571">
        <v>1</v>
      </c>
      <c r="AD571">
        <v>3</v>
      </c>
      <c r="AE571">
        <v>10</v>
      </c>
      <c r="AF571">
        <v>7</v>
      </c>
      <c r="AG571">
        <v>0</v>
      </c>
      <c r="AH571">
        <v>9</v>
      </c>
      <c r="AI571" t="str">
        <f t="shared" si="32"/>
        <v>6-10 Years</v>
      </c>
      <c r="AJ571" t="str">
        <f t="shared" si="33"/>
        <v>0-2</v>
      </c>
    </row>
    <row r="572" spans="1:36" x14ac:dyDescent="0.35">
      <c r="A572">
        <v>571</v>
      </c>
      <c r="B572">
        <v>52</v>
      </c>
      <c r="C572" t="str">
        <f t="shared" si="34"/>
        <v>46-55</v>
      </c>
      <c r="D572" t="s">
        <v>38</v>
      </c>
      <c r="E572" t="s">
        <v>50</v>
      </c>
      <c r="F572" s="3">
        <v>1389</v>
      </c>
      <c r="G572" t="s">
        <v>40</v>
      </c>
      <c r="H572" s="1">
        <v>19</v>
      </c>
      <c r="I572" t="s">
        <v>60</v>
      </c>
      <c r="J572" t="s">
        <v>46</v>
      </c>
      <c r="K572" t="s">
        <v>62</v>
      </c>
      <c r="L572" t="s">
        <v>41</v>
      </c>
      <c r="M572" s="3">
        <v>41</v>
      </c>
      <c r="N572" t="s">
        <v>60</v>
      </c>
      <c r="O572" t="s">
        <v>59</v>
      </c>
      <c r="P572" t="s">
        <v>42</v>
      </c>
      <c r="Q572" t="s">
        <v>62</v>
      </c>
      <c r="R572" t="s">
        <v>43</v>
      </c>
      <c r="S572" s="3">
        <v>4258</v>
      </c>
      <c r="T572" s="3">
        <v>26589</v>
      </c>
      <c r="U572" s="3" t="str">
        <f t="shared" si="35"/>
        <v>Low</v>
      </c>
      <c r="V572">
        <v>0</v>
      </c>
      <c r="W572" t="s">
        <v>38</v>
      </c>
      <c r="X572" s="2">
        <v>18</v>
      </c>
      <c r="Y572" t="s">
        <v>60</v>
      </c>
      <c r="Z572" t="s">
        <v>59</v>
      </c>
      <c r="AA572">
        <v>1</v>
      </c>
      <c r="AB572">
        <v>5</v>
      </c>
      <c r="AC572">
        <v>3</v>
      </c>
      <c r="AD572">
        <v>3</v>
      </c>
      <c r="AE572">
        <v>4</v>
      </c>
      <c r="AF572">
        <v>3</v>
      </c>
      <c r="AG572">
        <v>1</v>
      </c>
      <c r="AH572">
        <v>2</v>
      </c>
      <c r="AI572" t="str">
        <f t="shared" si="32"/>
        <v>3-5 Years</v>
      </c>
      <c r="AJ572" t="str">
        <f t="shared" si="33"/>
        <v>0-2</v>
      </c>
    </row>
    <row r="573" spans="1:36" x14ac:dyDescent="0.35">
      <c r="A573">
        <v>572</v>
      </c>
      <c r="B573">
        <v>26</v>
      </c>
      <c r="C573" t="str">
        <f t="shared" si="34"/>
        <v>26-35</v>
      </c>
      <c r="D573" t="s">
        <v>38</v>
      </c>
      <c r="E573" t="s">
        <v>39</v>
      </c>
      <c r="F573" s="3">
        <v>1389</v>
      </c>
      <c r="G573" t="s">
        <v>40</v>
      </c>
      <c r="H573" s="1">
        <v>1</v>
      </c>
      <c r="I573" t="s">
        <v>58</v>
      </c>
      <c r="J573" t="s">
        <v>34</v>
      </c>
      <c r="K573" t="s">
        <v>59</v>
      </c>
      <c r="L573" t="s">
        <v>35</v>
      </c>
      <c r="M573" s="3">
        <v>71</v>
      </c>
      <c r="N573" t="s">
        <v>59</v>
      </c>
      <c r="O573" t="s">
        <v>59</v>
      </c>
      <c r="P573" t="s">
        <v>45</v>
      </c>
      <c r="Q573" t="s">
        <v>62</v>
      </c>
      <c r="R573" t="s">
        <v>47</v>
      </c>
      <c r="S573" s="3">
        <v>4364</v>
      </c>
      <c r="T573" s="3">
        <v>5288</v>
      </c>
      <c r="U573" s="3" t="str">
        <f t="shared" si="35"/>
        <v>Low</v>
      </c>
      <c r="V573">
        <v>3</v>
      </c>
      <c r="W573" t="s">
        <v>38</v>
      </c>
      <c r="X573" s="2">
        <v>14</v>
      </c>
      <c r="Y573" t="s">
        <v>60</v>
      </c>
      <c r="Z573" t="s">
        <v>59</v>
      </c>
      <c r="AA573">
        <v>1</v>
      </c>
      <c r="AB573">
        <v>5</v>
      </c>
      <c r="AC573">
        <v>2</v>
      </c>
      <c r="AD573">
        <v>3</v>
      </c>
      <c r="AE573">
        <v>2</v>
      </c>
      <c r="AF573">
        <v>2</v>
      </c>
      <c r="AG573">
        <v>2</v>
      </c>
      <c r="AH573">
        <v>0</v>
      </c>
      <c r="AI573" t="str">
        <f t="shared" si="32"/>
        <v>0-2 Years</v>
      </c>
      <c r="AJ573" t="str">
        <f t="shared" si="33"/>
        <v>0-2</v>
      </c>
    </row>
    <row r="574" spans="1:36" x14ac:dyDescent="0.35">
      <c r="A574">
        <v>573</v>
      </c>
      <c r="B574">
        <v>29</v>
      </c>
      <c r="C574" t="str">
        <f t="shared" si="34"/>
        <v>26-35</v>
      </c>
      <c r="D574" t="s">
        <v>38</v>
      </c>
      <c r="E574" t="s">
        <v>32</v>
      </c>
      <c r="F574" s="3">
        <v>1389</v>
      </c>
      <c r="G574" t="s">
        <v>40</v>
      </c>
      <c r="H574" s="1">
        <v>27</v>
      </c>
      <c r="I574" t="s">
        <v>61</v>
      </c>
      <c r="J574" t="s">
        <v>46</v>
      </c>
      <c r="K574" t="s">
        <v>61</v>
      </c>
      <c r="L574" t="s">
        <v>35</v>
      </c>
      <c r="M574" s="3">
        <v>66</v>
      </c>
      <c r="N574" t="s">
        <v>60</v>
      </c>
      <c r="O574" t="s">
        <v>61</v>
      </c>
      <c r="P574" t="s">
        <v>49</v>
      </c>
      <c r="Q574" t="s">
        <v>60</v>
      </c>
      <c r="R574" t="s">
        <v>43</v>
      </c>
      <c r="S574" s="3">
        <v>4335</v>
      </c>
      <c r="T574" s="3">
        <v>25549</v>
      </c>
      <c r="U574" s="3" t="str">
        <f t="shared" si="35"/>
        <v>Low</v>
      </c>
      <c r="V574">
        <v>4</v>
      </c>
      <c r="W574" t="s">
        <v>38</v>
      </c>
      <c r="X574" s="2">
        <v>12</v>
      </c>
      <c r="Y574" t="s">
        <v>60</v>
      </c>
      <c r="Z574" t="s">
        <v>59</v>
      </c>
      <c r="AA574">
        <v>1</v>
      </c>
      <c r="AB574">
        <v>11</v>
      </c>
      <c r="AC574">
        <v>3</v>
      </c>
      <c r="AD574">
        <v>2</v>
      </c>
      <c r="AE574">
        <v>8</v>
      </c>
      <c r="AF574">
        <v>7</v>
      </c>
      <c r="AG574">
        <v>1</v>
      </c>
      <c r="AH574">
        <v>1</v>
      </c>
      <c r="AI574" t="str">
        <f t="shared" si="32"/>
        <v>6-10 Years</v>
      </c>
      <c r="AJ574" t="str">
        <f t="shared" si="33"/>
        <v>0-2</v>
      </c>
    </row>
    <row r="575" spans="1:36" x14ac:dyDescent="0.35">
      <c r="A575">
        <v>574</v>
      </c>
      <c r="B575">
        <v>26</v>
      </c>
      <c r="C575" t="str">
        <f t="shared" si="34"/>
        <v>26-35</v>
      </c>
      <c r="D575" t="s">
        <v>31</v>
      </c>
      <c r="E575" t="s">
        <v>32</v>
      </c>
      <c r="F575" s="3">
        <v>1389</v>
      </c>
      <c r="G575" t="s">
        <v>33</v>
      </c>
      <c r="H575" s="1">
        <v>8</v>
      </c>
      <c r="I575" t="s">
        <v>61</v>
      </c>
      <c r="J575" t="s">
        <v>55</v>
      </c>
      <c r="K575" t="s">
        <v>62</v>
      </c>
      <c r="L575" t="s">
        <v>41</v>
      </c>
      <c r="M575" s="3">
        <v>38</v>
      </c>
      <c r="N575" t="s">
        <v>61</v>
      </c>
      <c r="O575" t="s">
        <v>61</v>
      </c>
      <c r="P575" t="s">
        <v>36</v>
      </c>
      <c r="Q575" t="s">
        <v>59</v>
      </c>
      <c r="R575" t="s">
        <v>37</v>
      </c>
      <c r="S575" s="3">
        <v>5326</v>
      </c>
      <c r="T575" s="3">
        <v>3064</v>
      </c>
      <c r="U575" s="3" t="str">
        <f t="shared" si="35"/>
        <v>Medium</v>
      </c>
      <c r="V575">
        <v>6</v>
      </c>
      <c r="W575" t="s">
        <v>38</v>
      </c>
      <c r="X575" s="2">
        <v>17</v>
      </c>
      <c r="Y575" t="s">
        <v>60</v>
      </c>
      <c r="Z575" t="s">
        <v>60</v>
      </c>
      <c r="AA575">
        <v>0</v>
      </c>
      <c r="AB575">
        <v>6</v>
      </c>
      <c r="AC575">
        <v>2</v>
      </c>
      <c r="AD575">
        <v>2</v>
      </c>
      <c r="AE575">
        <v>4</v>
      </c>
      <c r="AF575">
        <v>3</v>
      </c>
      <c r="AG575">
        <v>1</v>
      </c>
      <c r="AH575">
        <v>2</v>
      </c>
      <c r="AI575" t="str">
        <f t="shared" si="32"/>
        <v>3-5 Years</v>
      </c>
      <c r="AJ575" t="str">
        <f t="shared" si="33"/>
        <v>0-2</v>
      </c>
    </row>
    <row r="576" spans="1:36" x14ac:dyDescent="0.35">
      <c r="A576">
        <v>575</v>
      </c>
      <c r="B576">
        <v>34</v>
      </c>
      <c r="C576" t="str">
        <f t="shared" si="34"/>
        <v>26-35</v>
      </c>
      <c r="D576" t="s">
        <v>38</v>
      </c>
      <c r="E576" t="s">
        <v>32</v>
      </c>
      <c r="F576" s="3">
        <v>1389</v>
      </c>
      <c r="G576" t="s">
        <v>40</v>
      </c>
      <c r="H576" s="1">
        <v>1</v>
      </c>
      <c r="I576" t="s">
        <v>60</v>
      </c>
      <c r="J576" t="s">
        <v>34</v>
      </c>
      <c r="K576" t="s">
        <v>61</v>
      </c>
      <c r="L576" t="s">
        <v>35</v>
      </c>
      <c r="M576" s="3">
        <v>72</v>
      </c>
      <c r="N576" t="s">
        <v>62</v>
      </c>
      <c r="O576" t="s">
        <v>59</v>
      </c>
      <c r="P576" t="s">
        <v>42</v>
      </c>
      <c r="Q576" t="s">
        <v>62</v>
      </c>
      <c r="R576" t="s">
        <v>37</v>
      </c>
      <c r="S576" s="3">
        <v>3280</v>
      </c>
      <c r="T576" s="3">
        <v>13551</v>
      </c>
      <c r="U576" s="3" t="str">
        <f t="shared" si="35"/>
        <v>Low</v>
      </c>
      <c r="V576">
        <v>2</v>
      </c>
      <c r="W576" t="s">
        <v>38</v>
      </c>
      <c r="X576" s="2">
        <v>16</v>
      </c>
      <c r="Y576" t="s">
        <v>60</v>
      </c>
      <c r="Z576" t="s">
        <v>60</v>
      </c>
      <c r="AA576">
        <v>0</v>
      </c>
      <c r="AB576">
        <v>10</v>
      </c>
      <c r="AC576">
        <v>2</v>
      </c>
      <c r="AD576">
        <v>3</v>
      </c>
      <c r="AE576">
        <v>4</v>
      </c>
      <c r="AF576">
        <v>2</v>
      </c>
      <c r="AG576">
        <v>1</v>
      </c>
      <c r="AH576">
        <v>3</v>
      </c>
      <c r="AI576" t="str">
        <f t="shared" si="32"/>
        <v>3-5 Years</v>
      </c>
      <c r="AJ576" t="str">
        <f t="shared" si="33"/>
        <v>0-2</v>
      </c>
    </row>
    <row r="577" spans="1:36" x14ac:dyDescent="0.35">
      <c r="A577">
        <v>576</v>
      </c>
      <c r="B577">
        <v>54</v>
      </c>
      <c r="C577" t="str">
        <f t="shared" si="34"/>
        <v>46-55</v>
      </c>
      <c r="D577" t="s">
        <v>38</v>
      </c>
      <c r="E577" t="s">
        <v>32</v>
      </c>
      <c r="F577" s="3">
        <v>1389</v>
      </c>
      <c r="G577" t="s">
        <v>40</v>
      </c>
      <c r="H577" s="1">
        <v>19</v>
      </c>
      <c r="I577" t="s">
        <v>60</v>
      </c>
      <c r="J577" t="s">
        <v>46</v>
      </c>
      <c r="K577" t="s">
        <v>62</v>
      </c>
      <c r="L577" t="s">
        <v>35</v>
      </c>
      <c r="M577" s="3">
        <v>95</v>
      </c>
      <c r="N577" t="s">
        <v>60</v>
      </c>
      <c r="O577" t="s">
        <v>61</v>
      </c>
      <c r="P577" t="s">
        <v>48</v>
      </c>
      <c r="Q577" t="s">
        <v>59</v>
      </c>
      <c r="R577" t="s">
        <v>47</v>
      </c>
      <c r="S577" s="3">
        <v>5485</v>
      </c>
      <c r="T577" s="3">
        <v>22670</v>
      </c>
      <c r="U577" s="3" t="str">
        <f t="shared" si="35"/>
        <v>Medium</v>
      </c>
      <c r="V577">
        <v>9</v>
      </c>
      <c r="W577" t="s">
        <v>31</v>
      </c>
      <c r="X577" s="2">
        <v>11</v>
      </c>
      <c r="Y577" t="s">
        <v>60</v>
      </c>
      <c r="Z577" t="s">
        <v>61</v>
      </c>
      <c r="AA577">
        <v>2</v>
      </c>
      <c r="AB577">
        <v>9</v>
      </c>
      <c r="AC577">
        <v>4</v>
      </c>
      <c r="AD577">
        <v>3</v>
      </c>
      <c r="AE577">
        <v>5</v>
      </c>
      <c r="AF577">
        <v>3</v>
      </c>
      <c r="AG577">
        <v>1</v>
      </c>
      <c r="AH577">
        <v>4</v>
      </c>
      <c r="AI577" t="str">
        <f t="shared" si="32"/>
        <v>3-5 Years</v>
      </c>
      <c r="AJ577" t="str">
        <f t="shared" si="33"/>
        <v>0-2</v>
      </c>
    </row>
    <row r="578" spans="1:36" x14ac:dyDescent="0.35">
      <c r="A578">
        <v>577</v>
      </c>
      <c r="B578">
        <v>27</v>
      </c>
      <c r="C578" t="str">
        <f t="shared" si="34"/>
        <v>26-35</v>
      </c>
      <c r="D578" t="s">
        <v>38</v>
      </c>
      <c r="E578" t="s">
        <v>39</v>
      </c>
      <c r="F578" s="3">
        <v>1389</v>
      </c>
      <c r="G578" t="s">
        <v>33</v>
      </c>
      <c r="H578" s="1">
        <v>8</v>
      </c>
      <c r="I578" t="s">
        <v>59</v>
      </c>
      <c r="J578" t="s">
        <v>54</v>
      </c>
      <c r="K578" t="s">
        <v>60</v>
      </c>
      <c r="L578" t="s">
        <v>41</v>
      </c>
      <c r="M578" s="3">
        <v>84</v>
      </c>
      <c r="N578" t="s">
        <v>60</v>
      </c>
      <c r="O578" t="s">
        <v>61</v>
      </c>
      <c r="P578" t="s">
        <v>36</v>
      </c>
      <c r="Q578" t="s">
        <v>62</v>
      </c>
      <c r="R578" t="s">
        <v>43</v>
      </c>
      <c r="S578" s="3">
        <v>4342</v>
      </c>
      <c r="T578" s="3">
        <v>24008</v>
      </c>
      <c r="U578" s="3" t="str">
        <f t="shared" si="35"/>
        <v>Low</v>
      </c>
      <c r="V578">
        <v>0</v>
      </c>
      <c r="W578" t="s">
        <v>38</v>
      </c>
      <c r="X578" s="2">
        <v>19</v>
      </c>
      <c r="Y578" t="s">
        <v>60</v>
      </c>
      <c r="Z578" t="s">
        <v>61</v>
      </c>
      <c r="AA578">
        <v>1</v>
      </c>
      <c r="AB578">
        <v>5</v>
      </c>
      <c r="AC578">
        <v>3</v>
      </c>
      <c r="AD578">
        <v>3</v>
      </c>
      <c r="AE578">
        <v>4</v>
      </c>
      <c r="AF578">
        <v>2</v>
      </c>
      <c r="AG578">
        <v>1</v>
      </c>
      <c r="AH578">
        <v>1</v>
      </c>
      <c r="AI578" t="str">
        <f t="shared" ref="AI578:AI641" si="36">IF(AE578&lt;=2,"0-2 Years",
IF(AE578&lt;=5,"3-5 Years",
IF(AE578&lt;=10,"6-10 Years","10+ Years")))</f>
        <v>3-5 Years</v>
      </c>
      <c r="AJ578" t="str">
        <f t="shared" ref="AJ578:AJ641" si="37">IF(AG578&lt;=2,"0-2",
IF(AG578&lt;=5,"3-5","6+"))</f>
        <v>0-2</v>
      </c>
    </row>
    <row r="579" spans="1:36" x14ac:dyDescent="0.35">
      <c r="A579">
        <v>578</v>
      </c>
      <c r="B579">
        <v>37</v>
      </c>
      <c r="C579" t="str">
        <f t="shared" ref="C579:C642" si="38">IF(B579&lt;=25,"18-25",
IF(B579&lt;=35,"26-35",
IF(B579&lt;=45,"36-45",
IF(B579&lt;=55,"46-55","55+"))))</f>
        <v>36-45</v>
      </c>
      <c r="D579" t="s">
        <v>38</v>
      </c>
      <c r="E579" t="s">
        <v>32</v>
      </c>
      <c r="F579" s="3">
        <v>1389</v>
      </c>
      <c r="G579" t="s">
        <v>40</v>
      </c>
      <c r="H579" s="1">
        <v>10</v>
      </c>
      <c r="I579" t="s">
        <v>59</v>
      </c>
      <c r="J579" t="s">
        <v>34</v>
      </c>
      <c r="K579" t="s">
        <v>62</v>
      </c>
      <c r="L579" t="s">
        <v>35</v>
      </c>
      <c r="M579" s="3">
        <v>82</v>
      </c>
      <c r="N579" t="s">
        <v>60</v>
      </c>
      <c r="O579" t="s">
        <v>59</v>
      </c>
      <c r="P579" t="s">
        <v>42</v>
      </c>
      <c r="Q579" t="s">
        <v>59</v>
      </c>
      <c r="R579" t="s">
        <v>47</v>
      </c>
      <c r="S579" s="3">
        <v>2782</v>
      </c>
      <c r="T579" s="3">
        <v>19905</v>
      </c>
      <c r="U579" s="3" t="str">
        <f t="shared" ref="U579:U642" si="39">_xlfn.IFS(S579&lt;5000,"Low",S579&lt;10000,"Medium",S579&gt;10000,"High")</f>
        <v>Low</v>
      </c>
      <c r="V579">
        <v>0</v>
      </c>
      <c r="W579" t="s">
        <v>31</v>
      </c>
      <c r="X579" s="2">
        <v>13</v>
      </c>
      <c r="Y579" t="s">
        <v>60</v>
      </c>
      <c r="Z579" t="s">
        <v>61</v>
      </c>
      <c r="AA579">
        <v>2</v>
      </c>
      <c r="AB579">
        <v>6</v>
      </c>
      <c r="AC579">
        <v>3</v>
      </c>
      <c r="AD579">
        <v>2</v>
      </c>
      <c r="AE579">
        <v>5</v>
      </c>
      <c r="AF579">
        <v>3</v>
      </c>
      <c r="AG579">
        <v>4</v>
      </c>
      <c r="AH579">
        <v>3</v>
      </c>
      <c r="AI579" t="str">
        <f t="shared" si="36"/>
        <v>3-5 Years</v>
      </c>
      <c r="AJ579" t="str">
        <f t="shared" si="37"/>
        <v>3-5</v>
      </c>
    </row>
    <row r="580" spans="1:36" x14ac:dyDescent="0.35">
      <c r="A580">
        <v>579</v>
      </c>
      <c r="B580">
        <v>38</v>
      </c>
      <c r="C580" t="str">
        <f t="shared" si="38"/>
        <v>36-45</v>
      </c>
      <c r="D580" t="s">
        <v>38</v>
      </c>
      <c r="E580" t="s">
        <v>39</v>
      </c>
      <c r="F580" s="3">
        <v>1389</v>
      </c>
      <c r="G580" t="s">
        <v>40</v>
      </c>
      <c r="H580" s="1">
        <v>2</v>
      </c>
      <c r="I580" t="s">
        <v>60</v>
      </c>
      <c r="J580" t="s">
        <v>34</v>
      </c>
      <c r="K580" t="s">
        <v>59</v>
      </c>
      <c r="L580" t="s">
        <v>35</v>
      </c>
      <c r="M580" s="3">
        <v>75</v>
      </c>
      <c r="N580" t="s">
        <v>62</v>
      </c>
      <c r="O580" t="s">
        <v>61</v>
      </c>
      <c r="P580" t="s">
        <v>48</v>
      </c>
      <c r="Q580" t="s">
        <v>59</v>
      </c>
      <c r="R580" t="s">
        <v>37</v>
      </c>
      <c r="S580" s="3">
        <v>5980</v>
      </c>
      <c r="T580" s="3">
        <v>26085</v>
      </c>
      <c r="U580" s="3" t="str">
        <f t="shared" si="39"/>
        <v>Medium</v>
      </c>
      <c r="V580">
        <v>6</v>
      </c>
      <c r="W580" t="s">
        <v>31</v>
      </c>
      <c r="X580" s="2">
        <v>12</v>
      </c>
      <c r="Y580" t="s">
        <v>60</v>
      </c>
      <c r="Z580" t="s">
        <v>62</v>
      </c>
      <c r="AA580">
        <v>0</v>
      </c>
      <c r="AB580">
        <v>17</v>
      </c>
      <c r="AC580">
        <v>2</v>
      </c>
      <c r="AD580">
        <v>3</v>
      </c>
      <c r="AE580">
        <v>15</v>
      </c>
      <c r="AF580">
        <v>7</v>
      </c>
      <c r="AG580">
        <v>4</v>
      </c>
      <c r="AH580">
        <v>12</v>
      </c>
      <c r="AI580" t="str">
        <f t="shared" si="36"/>
        <v>10+ Years</v>
      </c>
      <c r="AJ580" t="str">
        <f t="shared" si="37"/>
        <v>3-5</v>
      </c>
    </row>
    <row r="581" spans="1:36" x14ac:dyDescent="0.35">
      <c r="A581">
        <v>580</v>
      </c>
      <c r="B581">
        <v>34</v>
      </c>
      <c r="C581" t="str">
        <f t="shared" si="38"/>
        <v>26-35</v>
      </c>
      <c r="D581" t="s">
        <v>38</v>
      </c>
      <c r="E581" t="s">
        <v>32</v>
      </c>
      <c r="F581" s="3">
        <v>1389</v>
      </c>
      <c r="G581" t="s">
        <v>40</v>
      </c>
      <c r="H581" s="1">
        <v>2</v>
      </c>
      <c r="I581" t="s">
        <v>60</v>
      </c>
      <c r="J581" t="s">
        <v>46</v>
      </c>
      <c r="K581" t="s">
        <v>60</v>
      </c>
      <c r="L581" t="s">
        <v>35</v>
      </c>
      <c r="M581" s="3">
        <v>86</v>
      </c>
      <c r="N581" t="s">
        <v>61</v>
      </c>
      <c r="O581" t="s">
        <v>59</v>
      </c>
      <c r="P581" t="s">
        <v>42</v>
      </c>
      <c r="Q581" t="s">
        <v>59</v>
      </c>
      <c r="R581" t="s">
        <v>37</v>
      </c>
      <c r="S581" s="3">
        <v>4381</v>
      </c>
      <c r="T581" s="3">
        <v>7530</v>
      </c>
      <c r="U581" s="3" t="str">
        <f t="shared" si="39"/>
        <v>Low</v>
      </c>
      <c r="V581">
        <v>1</v>
      </c>
      <c r="W581" t="s">
        <v>38</v>
      </c>
      <c r="X581" s="2">
        <v>11</v>
      </c>
      <c r="Y581" t="s">
        <v>60</v>
      </c>
      <c r="Z581" t="s">
        <v>60</v>
      </c>
      <c r="AA581">
        <v>0</v>
      </c>
      <c r="AB581">
        <v>6</v>
      </c>
      <c r="AC581">
        <v>3</v>
      </c>
      <c r="AD581">
        <v>3</v>
      </c>
      <c r="AE581">
        <v>6</v>
      </c>
      <c r="AF581">
        <v>5</v>
      </c>
      <c r="AG581">
        <v>1</v>
      </c>
      <c r="AH581">
        <v>3</v>
      </c>
      <c r="AI581" t="str">
        <f t="shared" si="36"/>
        <v>6-10 Years</v>
      </c>
      <c r="AJ581" t="str">
        <f t="shared" si="37"/>
        <v>0-2</v>
      </c>
    </row>
    <row r="582" spans="1:36" x14ac:dyDescent="0.35">
      <c r="A582">
        <v>581</v>
      </c>
      <c r="B582">
        <v>35</v>
      </c>
      <c r="C582" t="str">
        <f t="shared" si="38"/>
        <v>26-35</v>
      </c>
      <c r="D582" t="s">
        <v>38</v>
      </c>
      <c r="E582" t="s">
        <v>32</v>
      </c>
      <c r="F582" s="3">
        <v>1389</v>
      </c>
      <c r="G582" t="s">
        <v>33</v>
      </c>
      <c r="H582" s="1">
        <v>8</v>
      </c>
      <c r="I582" t="s">
        <v>60</v>
      </c>
      <c r="J582" t="s">
        <v>34</v>
      </c>
      <c r="K582" t="s">
        <v>59</v>
      </c>
      <c r="L582" t="s">
        <v>35</v>
      </c>
      <c r="M582" s="3">
        <v>72</v>
      </c>
      <c r="N582" t="s">
        <v>60</v>
      </c>
      <c r="O582" t="s">
        <v>59</v>
      </c>
      <c r="P582" t="s">
        <v>52</v>
      </c>
      <c r="Q582" t="s">
        <v>62</v>
      </c>
      <c r="R582" t="s">
        <v>43</v>
      </c>
      <c r="S582" s="3">
        <v>2572</v>
      </c>
      <c r="T582" s="3">
        <v>20317</v>
      </c>
      <c r="U582" s="3" t="str">
        <f t="shared" si="39"/>
        <v>Low</v>
      </c>
      <c r="V582">
        <v>1</v>
      </c>
      <c r="W582" t="s">
        <v>38</v>
      </c>
      <c r="X582" s="2">
        <v>16</v>
      </c>
      <c r="Y582" t="s">
        <v>60</v>
      </c>
      <c r="Z582" t="s">
        <v>61</v>
      </c>
      <c r="AA582">
        <v>1</v>
      </c>
      <c r="AB582">
        <v>3</v>
      </c>
      <c r="AC582">
        <v>1</v>
      </c>
      <c r="AD582">
        <v>2</v>
      </c>
      <c r="AE582">
        <v>3</v>
      </c>
      <c r="AF582">
        <v>2</v>
      </c>
      <c r="AG582">
        <v>0</v>
      </c>
      <c r="AH582">
        <v>2</v>
      </c>
      <c r="AI582" t="str">
        <f t="shared" si="36"/>
        <v>3-5 Years</v>
      </c>
      <c r="AJ582" t="str">
        <f t="shared" si="37"/>
        <v>0-2</v>
      </c>
    </row>
    <row r="583" spans="1:36" x14ac:dyDescent="0.35">
      <c r="A583">
        <v>582</v>
      </c>
      <c r="B583">
        <v>30</v>
      </c>
      <c r="C583" t="str">
        <f t="shared" si="38"/>
        <v>26-35</v>
      </c>
      <c r="D583" t="s">
        <v>38</v>
      </c>
      <c r="E583" t="s">
        <v>32</v>
      </c>
      <c r="F583" s="3">
        <v>1389</v>
      </c>
      <c r="G583" t="s">
        <v>40</v>
      </c>
      <c r="H583" s="1">
        <v>1</v>
      </c>
      <c r="I583" t="s">
        <v>61</v>
      </c>
      <c r="J583" t="s">
        <v>34</v>
      </c>
      <c r="K583" t="s">
        <v>62</v>
      </c>
      <c r="L583" t="s">
        <v>41</v>
      </c>
      <c r="M583" s="3">
        <v>38</v>
      </c>
      <c r="N583" t="s">
        <v>59</v>
      </c>
      <c r="O583" t="s">
        <v>59</v>
      </c>
      <c r="P583" t="s">
        <v>45</v>
      </c>
      <c r="Q583" t="s">
        <v>60</v>
      </c>
      <c r="R583" t="s">
        <v>43</v>
      </c>
      <c r="S583" s="3">
        <v>3833</v>
      </c>
      <c r="T583" s="3">
        <v>24375</v>
      </c>
      <c r="U583" s="3" t="str">
        <f t="shared" si="39"/>
        <v>Low</v>
      </c>
      <c r="V583">
        <v>3</v>
      </c>
      <c r="W583" t="s">
        <v>38</v>
      </c>
      <c r="X583" s="2">
        <v>21</v>
      </c>
      <c r="Y583" t="s">
        <v>62</v>
      </c>
      <c r="Z583" t="s">
        <v>60</v>
      </c>
      <c r="AA583">
        <v>2</v>
      </c>
      <c r="AB583">
        <v>7</v>
      </c>
      <c r="AC583">
        <v>2</v>
      </c>
      <c r="AD583">
        <v>3</v>
      </c>
      <c r="AE583">
        <v>2</v>
      </c>
      <c r="AF583">
        <v>2</v>
      </c>
      <c r="AG583">
        <v>0</v>
      </c>
      <c r="AH583">
        <v>2</v>
      </c>
      <c r="AI583" t="str">
        <f t="shared" si="36"/>
        <v>0-2 Years</v>
      </c>
      <c r="AJ583" t="str">
        <f t="shared" si="37"/>
        <v>0-2</v>
      </c>
    </row>
    <row r="584" spans="1:36" x14ac:dyDescent="0.35">
      <c r="A584">
        <v>583</v>
      </c>
      <c r="B584">
        <v>40</v>
      </c>
      <c r="C584" t="str">
        <f t="shared" si="38"/>
        <v>36-45</v>
      </c>
      <c r="D584" t="s">
        <v>38</v>
      </c>
      <c r="E584" t="s">
        <v>39</v>
      </c>
      <c r="F584" s="3">
        <v>1389</v>
      </c>
      <c r="G584" t="s">
        <v>40</v>
      </c>
      <c r="H584" s="1">
        <v>2</v>
      </c>
      <c r="I584" t="s">
        <v>58</v>
      </c>
      <c r="J584" t="s">
        <v>46</v>
      </c>
      <c r="K584" t="s">
        <v>60</v>
      </c>
      <c r="L584" t="s">
        <v>35</v>
      </c>
      <c r="M584" s="3">
        <v>38</v>
      </c>
      <c r="N584" t="s">
        <v>62</v>
      </c>
      <c r="O584" t="s">
        <v>61</v>
      </c>
      <c r="P584" t="s">
        <v>49</v>
      </c>
      <c r="Q584" t="s">
        <v>61</v>
      </c>
      <c r="R584" t="s">
        <v>43</v>
      </c>
      <c r="S584" s="3">
        <v>4244</v>
      </c>
      <c r="T584" s="3">
        <v>9931</v>
      </c>
      <c r="U584" s="3" t="str">
        <f t="shared" si="39"/>
        <v>Low</v>
      </c>
      <c r="V584">
        <v>1</v>
      </c>
      <c r="W584" t="s">
        <v>38</v>
      </c>
      <c r="X584" s="2">
        <v>24</v>
      </c>
      <c r="Y584" t="s">
        <v>62</v>
      </c>
      <c r="Z584" t="s">
        <v>62</v>
      </c>
      <c r="AA584">
        <v>1</v>
      </c>
      <c r="AB584">
        <v>8</v>
      </c>
      <c r="AC584">
        <v>2</v>
      </c>
      <c r="AD584">
        <v>3</v>
      </c>
      <c r="AE584">
        <v>8</v>
      </c>
      <c r="AF584">
        <v>7</v>
      </c>
      <c r="AG584">
        <v>3</v>
      </c>
      <c r="AH584">
        <v>7</v>
      </c>
      <c r="AI584" t="str">
        <f t="shared" si="36"/>
        <v>6-10 Years</v>
      </c>
      <c r="AJ584" t="str">
        <f t="shared" si="37"/>
        <v>3-5</v>
      </c>
    </row>
    <row r="585" spans="1:36" x14ac:dyDescent="0.35">
      <c r="A585">
        <v>584</v>
      </c>
      <c r="B585">
        <v>34</v>
      </c>
      <c r="C585" t="str">
        <f t="shared" si="38"/>
        <v>26-35</v>
      </c>
      <c r="D585" t="s">
        <v>38</v>
      </c>
      <c r="E585" t="s">
        <v>32</v>
      </c>
      <c r="F585" s="3">
        <v>1389</v>
      </c>
      <c r="G585" t="s">
        <v>33</v>
      </c>
      <c r="H585" s="1">
        <v>8</v>
      </c>
      <c r="I585" t="s">
        <v>58</v>
      </c>
      <c r="J585" t="s">
        <v>34</v>
      </c>
      <c r="K585" t="s">
        <v>60</v>
      </c>
      <c r="L585" t="s">
        <v>35</v>
      </c>
      <c r="M585" s="3">
        <v>93</v>
      </c>
      <c r="N585" t="s">
        <v>60</v>
      </c>
      <c r="O585" t="s">
        <v>61</v>
      </c>
      <c r="P585" t="s">
        <v>36</v>
      </c>
      <c r="Q585" t="s">
        <v>59</v>
      </c>
      <c r="R585" t="s">
        <v>43</v>
      </c>
      <c r="S585" s="3">
        <v>6500</v>
      </c>
      <c r="T585" s="3">
        <v>13305</v>
      </c>
      <c r="U585" s="3" t="str">
        <f t="shared" si="39"/>
        <v>Medium</v>
      </c>
      <c r="V585">
        <v>5</v>
      </c>
      <c r="W585" t="s">
        <v>38</v>
      </c>
      <c r="X585" s="2">
        <v>17</v>
      </c>
      <c r="Y585" t="s">
        <v>60</v>
      </c>
      <c r="Z585" t="s">
        <v>61</v>
      </c>
      <c r="AA585">
        <v>1</v>
      </c>
      <c r="AB585">
        <v>6</v>
      </c>
      <c r="AC585">
        <v>1</v>
      </c>
      <c r="AD585">
        <v>3</v>
      </c>
      <c r="AE585">
        <v>3</v>
      </c>
      <c r="AF585">
        <v>2</v>
      </c>
      <c r="AG585">
        <v>1</v>
      </c>
      <c r="AH585">
        <v>2</v>
      </c>
      <c r="AI585" t="str">
        <f t="shared" si="36"/>
        <v>3-5 Years</v>
      </c>
      <c r="AJ585" t="str">
        <f t="shared" si="37"/>
        <v>0-2</v>
      </c>
    </row>
    <row r="586" spans="1:36" x14ac:dyDescent="0.35">
      <c r="A586">
        <v>585</v>
      </c>
      <c r="B586">
        <v>42</v>
      </c>
      <c r="C586" t="str">
        <f t="shared" si="38"/>
        <v>36-45</v>
      </c>
      <c r="D586" t="s">
        <v>38</v>
      </c>
      <c r="E586" t="s">
        <v>39</v>
      </c>
      <c r="F586" s="3">
        <v>1389</v>
      </c>
      <c r="G586" t="s">
        <v>40</v>
      </c>
      <c r="H586" s="1">
        <v>8</v>
      </c>
      <c r="I586" t="s">
        <v>61</v>
      </c>
      <c r="J586" t="s">
        <v>34</v>
      </c>
      <c r="K586" t="s">
        <v>61</v>
      </c>
      <c r="L586" t="s">
        <v>41</v>
      </c>
      <c r="M586" s="3">
        <v>66</v>
      </c>
      <c r="N586" t="s">
        <v>60</v>
      </c>
      <c r="O586" t="e">
        <v>#N/A</v>
      </c>
      <c r="P586" t="s">
        <v>51</v>
      </c>
      <c r="Q586" t="s">
        <v>62</v>
      </c>
      <c r="R586" t="s">
        <v>47</v>
      </c>
      <c r="S586" s="3">
        <v>18430</v>
      </c>
      <c r="T586" s="3">
        <v>16225</v>
      </c>
      <c r="U586" s="3" t="str">
        <f t="shared" si="39"/>
        <v>High</v>
      </c>
      <c r="V586">
        <v>1</v>
      </c>
      <c r="W586" t="s">
        <v>38</v>
      </c>
      <c r="X586" s="2">
        <v>13</v>
      </c>
      <c r="Y586" t="s">
        <v>60</v>
      </c>
      <c r="Z586" t="s">
        <v>61</v>
      </c>
      <c r="AA586">
        <v>1</v>
      </c>
      <c r="AB586">
        <v>24</v>
      </c>
      <c r="AC586">
        <v>4</v>
      </c>
      <c r="AD586">
        <v>2</v>
      </c>
      <c r="AE586">
        <v>24</v>
      </c>
      <c r="AF586">
        <v>7</v>
      </c>
      <c r="AG586">
        <v>14</v>
      </c>
      <c r="AH586">
        <v>9</v>
      </c>
      <c r="AI586" t="str">
        <f t="shared" si="36"/>
        <v>10+ Years</v>
      </c>
      <c r="AJ586" t="str">
        <f t="shared" si="37"/>
        <v>6+</v>
      </c>
    </row>
    <row r="587" spans="1:36" x14ac:dyDescent="0.35">
      <c r="A587">
        <v>586</v>
      </c>
      <c r="B587">
        <v>23</v>
      </c>
      <c r="C587" t="str">
        <f t="shared" si="38"/>
        <v>18-25</v>
      </c>
      <c r="D587" t="s">
        <v>31</v>
      </c>
      <c r="E587" t="s">
        <v>32</v>
      </c>
      <c r="F587" s="3">
        <v>1389</v>
      </c>
      <c r="G587" t="s">
        <v>40</v>
      </c>
      <c r="H587" s="1">
        <v>6</v>
      </c>
      <c r="I587" t="s">
        <v>61</v>
      </c>
      <c r="J587" t="s">
        <v>34</v>
      </c>
      <c r="K587" t="s">
        <v>60</v>
      </c>
      <c r="L587" t="s">
        <v>41</v>
      </c>
      <c r="M587" s="3">
        <v>63</v>
      </c>
      <c r="N587" t="s">
        <v>62</v>
      </c>
      <c r="O587" t="s">
        <v>59</v>
      </c>
      <c r="P587" t="s">
        <v>45</v>
      </c>
      <c r="Q587" t="s">
        <v>59</v>
      </c>
      <c r="R587" t="s">
        <v>43</v>
      </c>
      <c r="S587" s="3">
        <v>1601</v>
      </c>
      <c r="T587" s="3">
        <v>3445</v>
      </c>
      <c r="U587" s="3" t="str">
        <f t="shared" si="39"/>
        <v>Low</v>
      </c>
      <c r="V587">
        <v>1</v>
      </c>
      <c r="W587" t="s">
        <v>31</v>
      </c>
      <c r="X587" s="2">
        <v>21</v>
      </c>
      <c r="Y587" t="s">
        <v>62</v>
      </c>
      <c r="Z587" t="s">
        <v>60</v>
      </c>
      <c r="AA587">
        <v>2</v>
      </c>
      <c r="AB587">
        <v>1</v>
      </c>
      <c r="AC587">
        <v>2</v>
      </c>
      <c r="AD587">
        <v>3</v>
      </c>
      <c r="AE587">
        <v>0</v>
      </c>
      <c r="AF587">
        <v>0</v>
      </c>
      <c r="AG587">
        <v>0</v>
      </c>
      <c r="AH587">
        <v>0</v>
      </c>
      <c r="AI587" t="str">
        <f t="shared" si="36"/>
        <v>0-2 Years</v>
      </c>
      <c r="AJ587" t="str">
        <f t="shared" si="37"/>
        <v>0-2</v>
      </c>
    </row>
    <row r="588" spans="1:36" x14ac:dyDescent="0.35">
      <c r="A588">
        <v>587</v>
      </c>
      <c r="B588">
        <v>24</v>
      </c>
      <c r="C588" t="str">
        <f t="shared" si="38"/>
        <v>18-25</v>
      </c>
      <c r="D588" t="s">
        <v>38</v>
      </c>
      <c r="E588" t="s">
        <v>50</v>
      </c>
      <c r="F588" s="3">
        <v>1389</v>
      </c>
      <c r="G588" t="s">
        <v>40</v>
      </c>
      <c r="H588" s="1">
        <v>9</v>
      </c>
      <c r="I588" t="s">
        <v>61</v>
      </c>
      <c r="J588" t="s">
        <v>34</v>
      </c>
      <c r="K588" t="s">
        <v>60</v>
      </c>
      <c r="L588" t="s">
        <v>41</v>
      </c>
      <c r="M588" s="3">
        <v>60</v>
      </c>
      <c r="N588" t="s">
        <v>61</v>
      </c>
      <c r="O588" t="s">
        <v>59</v>
      </c>
      <c r="P588" t="s">
        <v>45</v>
      </c>
      <c r="Q588" t="s">
        <v>61</v>
      </c>
      <c r="R588" t="s">
        <v>47</v>
      </c>
      <c r="S588" s="3">
        <v>2694</v>
      </c>
      <c r="T588" s="3">
        <v>26551</v>
      </c>
      <c r="U588" s="3" t="str">
        <f t="shared" si="39"/>
        <v>Low</v>
      </c>
      <c r="V588">
        <v>1</v>
      </c>
      <c r="W588" t="s">
        <v>38</v>
      </c>
      <c r="X588" s="2">
        <v>11</v>
      </c>
      <c r="Y588" t="s">
        <v>60</v>
      </c>
      <c r="Z588" t="s">
        <v>60</v>
      </c>
      <c r="AA588">
        <v>3</v>
      </c>
      <c r="AB588">
        <v>1</v>
      </c>
      <c r="AC588">
        <v>4</v>
      </c>
      <c r="AD588">
        <v>3</v>
      </c>
      <c r="AE588">
        <v>1</v>
      </c>
      <c r="AF588">
        <v>0</v>
      </c>
      <c r="AG588">
        <v>0</v>
      </c>
      <c r="AH588">
        <v>0</v>
      </c>
      <c r="AI588" t="str">
        <f t="shared" si="36"/>
        <v>0-2 Years</v>
      </c>
      <c r="AJ588" t="str">
        <f t="shared" si="37"/>
        <v>0-2</v>
      </c>
    </row>
    <row r="589" spans="1:36" x14ac:dyDescent="0.35">
      <c r="A589">
        <v>588</v>
      </c>
      <c r="B589">
        <v>52</v>
      </c>
      <c r="C589" t="str">
        <f t="shared" si="38"/>
        <v>46-55</v>
      </c>
      <c r="D589" t="s">
        <v>38</v>
      </c>
      <c r="E589" t="s">
        <v>32</v>
      </c>
      <c r="F589" s="3">
        <v>1389</v>
      </c>
      <c r="G589" t="s">
        <v>40</v>
      </c>
      <c r="H589" s="1">
        <v>11</v>
      </c>
      <c r="I589" t="s">
        <v>60</v>
      </c>
      <c r="J589" t="s">
        <v>34</v>
      </c>
      <c r="K589" t="s">
        <v>62</v>
      </c>
      <c r="L589" t="s">
        <v>35</v>
      </c>
      <c r="M589" s="3">
        <v>82</v>
      </c>
      <c r="N589" t="s">
        <v>60</v>
      </c>
      <c r="O589" t="s">
        <v>61</v>
      </c>
      <c r="P589" t="s">
        <v>45</v>
      </c>
      <c r="Q589" t="s">
        <v>60</v>
      </c>
      <c r="R589" t="s">
        <v>43</v>
      </c>
      <c r="S589" s="3">
        <v>3149</v>
      </c>
      <c r="T589" s="3">
        <v>21821</v>
      </c>
      <c r="U589" s="3" t="str">
        <f t="shared" si="39"/>
        <v>Low</v>
      </c>
      <c r="V589">
        <v>8</v>
      </c>
      <c r="W589" t="s">
        <v>38</v>
      </c>
      <c r="X589" s="2">
        <v>20</v>
      </c>
      <c r="Y589" t="s">
        <v>62</v>
      </c>
      <c r="Z589" t="s">
        <v>61</v>
      </c>
      <c r="AA589">
        <v>1</v>
      </c>
      <c r="AB589">
        <v>9</v>
      </c>
      <c r="AC589">
        <v>3</v>
      </c>
      <c r="AD589">
        <v>3</v>
      </c>
      <c r="AE589">
        <v>5</v>
      </c>
      <c r="AF589">
        <v>2</v>
      </c>
      <c r="AG589">
        <v>1</v>
      </c>
      <c r="AH589">
        <v>4</v>
      </c>
      <c r="AI589" t="str">
        <f t="shared" si="36"/>
        <v>3-5 Years</v>
      </c>
      <c r="AJ589" t="str">
        <f t="shared" si="37"/>
        <v>0-2</v>
      </c>
    </row>
    <row r="590" spans="1:36" x14ac:dyDescent="0.35">
      <c r="A590">
        <v>589</v>
      </c>
      <c r="B590">
        <v>50</v>
      </c>
      <c r="C590" t="str">
        <f t="shared" si="38"/>
        <v>46-55</v>
      </c>
      <c r="D590" t="s">
        <v>38</v>
      </c>
      <c r="E590" t="s">
        <v>32</v>
      </c>
      <c r="F590" s="3">
        <v>1389</v>
      </c>
      <c r="G590" t="s">
        <v>40</v>
      </c>
      <c r="H590" s="1">
        <v>2</v>
      </c>
      <c r="I590" t="s">
        <v>61</v>
      </c>
      <c r="J590" t="s">
        <v>46</v>
      </c>
      <c r="K590" t="s">
        <v>60</v>
      </c>
      <c r="L590" t="s">
        <v>41</v>
      </c>
      <c r="M590" s="3">
        <v>64</v>
      </c>
      <c r="N590" t="s">
        <v>60</v>
      </c>
      <c r="O590" t="s">
        <v>62</v>
      </c>
      <c r="P590" t="s">
        <v>53</v>
      </c>
      <c r="Q590" t="s">
        <v>60</v>
      </c>
      <c r="R590" t="s">
        <v>43</v>
      </c>
      <c r="S590" s="3">
        <v>17639</v>
      </c>
      <c r="T590" s="3">
        <v>6881</v>
      </c>
      <c r="U590" s="3" t="str">
        <f t="shared" si="39"/>
        <v>High</v>
      </c>
      <c r="V590">
        <v>5</v>
      </c>
      <c r="W590" t="s">
        <v>38</v>
      </c>
      <c r="X590" s="2">
        <v>16</v>
      </c>
      <c r="Y590" t="s">
        <v>60</v>
      </c>
      <c r="Z590" t="s">
        <v>62</v>
      </c>
      <c r="AA590">
        <v>0</v>
      </c>
      <c r="AB590">
        <v>30</v>
      </c>
      <c r="AC590">
        <v>3</v>
      </c>
      <c r="AD590">
        <v>3</v>
      </c>
      <c r="AE590">
        <v>4</v>
      </c>
      <c r="AF590">
        <v>3</v>
      </c>
      <c r="AG590">
        <v>0</v>
      </c>
      <c r="AH590">
        <v>3</v>
      </c>
      <c r="AI590" t="str">
        <f t="shared" si="36"/>
        <v>3-5 Years</v>
      </c>
      <c r="AJ590" t="str">
        <f t="shared" si="37"/>
        <v>0-2</v>
      </c>
    </row>
    <row r="591" spans="1:36" x14ac:dyDescent="0.35">
      <c r="A591">
        <v>590</v>
      </c>
      <c r="B591">
        <v>29</v>
      </c>
      <c r="C591" t="str">
        <f t="shared" si="38"/>
        <v>26-35</v>
      </c>
      <c r="D591" t="s">
        <v>31</v>
      </c>
      <c r="E591" t="s">
        <v>32</v>
      </c>
      <c r="F591" s="3">
        <v>1389</v>
      </c>
      <c r="G591" t="s">
        <v>40</v>
      </c>
      <c r="H591" s="1">
        <v>1</v>
      </c>
      <c r="I591" t="s">
        <v>58</v>
      </c>
      <c r="J591" t="s">
        <v>34</v>
      </c>
      <c r="K591" t="s">
        <v>61</v>
      </c>
      <c r="L591" t="s">
        <v>35</v>
      </c>
      <c r="M591" s="3">
        <v>36</v>
      </c>
      <c r="N591" t="s">
        <v>61</v>
      </c>
      <c r="O591" t="s">
        <v>59</v>
      </c>
      <c r="P591" t="s">
        <v>45</v>
      </c>
      <c r="Q591" t="s">
        <v>59</v>
      </c>
      <c r="R591" t="s">
        <v>43</v>
      </c>
      <c r="S591" s="3">
        <v>2319</v>
      </c>
      <c r="T591" s="3">
        <v>6689</v>
      </c>
      <c r="U591" s="3" t="str">
        <f t="shared" si="39"/>
        <v>Low</v>
      </c>
      <c r="V591">
        <v>1</v>
      </c>
      <c r="W591" t="s">
        <v>31</v>
      </c>
      <c r="X591" s="2">
        <v>11</v>
      </c>
      <c r="Y591" t="s">
        <v>60</v>
      </c>
      <c r="Z591" t="s">
        <v>62</v>
      </c>
      <c r="AA591">
        <v>1</v>
      </c>
      <c r="AB591">
        <v>1</v>
      </c>
      <c r="AC591">
        <v>1</v>
      </c>
      <c r="AD591">
        <v>3</v>
      </c>
      <c r="AE591">
        <v>1</v>
      </c>
      <c r="AF591">
        <v>0</v>
      </c>
      <c r="AG591">
        <v>0</v>
      </c>
      <c r="AH591">
        <v>0</v>
      </c>
      <c r="AI591" t="str">
        <f t="shared" si="36"/>
        <v>0-2 Years</v>
      </c>
      <c r="AJ591" t="str">
        <f t="shared" si="37"/>
        <v>0-2</v>
      </c>
    </row>
    <row r="592" spans="1:36" x14ac:dyDescent="0.35">
      <c r="A592">
        <v>591</v>
      </c>
      <c r="B592">
        <v>33</v>
      </c>
      <c r="C592" t="str">
        <f t="shared" si="38"/>
        <v>26-35</v>
      </c>
      <c r="D592" t="s">
        <v>38</v>
      </c>
      <c r="E592" t="s">
        <v>32</v>
      </c>
      <c r="F592" s="3">
        <v>1389</v>
      </c>
      <c r="G592" t="s">
        <v>40</v>
      </c>
      <c r="H592" s="1">
        <v>7</v>
      </c>
      <c r="I592" t="s">
        <v>61</v>
      </c>
      <c r="J592" t="s">
        <v>46</v>
      </c>
      <c r="K592" t="s">
        <v>60</v>
      </c>
      <c r="L592" t="s">
        <v>41</v>
      </c>
      <c r="M592" s="3">
        <v>49</v>
      </c>
      <c r="N592" t="s">
        <v>60</v>
      </c>
      <c r="O592" t="s">
        <v>60</v>
      </c>
      <c r="P592" t="s">
        <v>53</v>
      </c>
      <c r="Q592" t="s">
        <v>60</v>
      </c>
      <c r="R592" t="s">
        <v>43</v>
      </c>
      <c r="S592" s="3">
        <v>11691</v>
      </c>
      <c r="T592" s="3">
        <v>25995</v>
      </c>
      <c r="U592" s="3" t="str">
        <f t="shared" si="39"/>
        <v>High</v>
      </c>
      <c r="V592">
        <v>0</v>
      </c>
      <c r="W592" t="s">
        <v>38</v>
      </c>
      <c r="X592" s="2">
        <v>11</v>
      </c>
      <c r="Y592" t="s">
        <v>60</v>
      </c>
      <c r="Z592" t="s">
        <v>62</v>
      </c>
      <c r="AA592">
        <v>0</v>
      </c>
      <c r="AB592">
        <v>14</v>
      </c>
      <c r="AC592">
        <v>3</v>
      </c>
      <c r="AD592">
        <v>4</v>
      </c>
      <c r="AE592">
        <v>13</v>
      </c>
      <c r="AF592">
        <v>9</v>
      </c>
      <c r="AG592">
        <v>3</v>
      </c>
      <c r="AH592">
        <v>7</v>
      </c>
      <c r="AI592" t="str">
        <f t="shared" si="36"/>
        <v>10+ Years</v>
      </c>
      <c r="AJ592" t="str">
        <f t="shared" si="37"/>
        <v>3-5</v>
      </c>
    </row>
    <row r="593" spans="1:36" x14ac:dyDescent="0.35">
      <c r="A593">
        <v>592</v>
      </c>
      <c r="B593">
        <v>33</v>
      </c>
      <c r="C593" t="str">
        <f t="shared" si="38"/>
        <v>26-35</v>
      </c>
      <c r="D593" t="s">
        <v>31</v>
      </c>
      <c r="E593" t="s">
        <v>32</v>
      </c>
      <c r="F593" s="3">
        <v>1389</v>
      </c>
      <c r="G593" t="s">
        <v>33</v>
      </c>
      <c r="H593" s="1">
        <v>16</v>
      </c>
      <c r="I593" t="s">
        <v>61</v>
      </c>
      <c r="J593" t="s">
        <v>54</v>
      </c>
      <c r="K593" t="s">
        <v>59</v>
      </c>
      <c r="L593" t="s">
        <v>35</v>
      </c>
      <c r="M593" s="3">
        <v>69</v>
      </c>
      <c r="N593" t="s">
        <v>60</v>
      </c>
      <c r="O593" t="s">
        <v>61</v>
      </c>
      <c r="P593" t="s">
        <v>36</v>
      </c>
      <c r="Q593" t="s">
        <v>59</v>
      </c>
      <c r="R593" t="s">
        <v>37</v>
      </c>
      <c r="S593" s="3">
        <v>5324</v>
      </c>
      <c r="T593" s="3">
        <v>26507</v>
      </c>
      <c r="U593" s="3" t="str">
        <f t="shared" si="39"/>
        <v>Medium</v>
      </c>
      <c r="V593">
        <v>5</v>
      </c>
      <c r="W593" t="s">
        <v>38</v>
      </c>
      <c r="X593" s="2">
        <v>15</v>
      </c>
      <c r="Y593" t="s">
        <v>60</v>
      </c>
      <c r="Z593" t="s">
        <v>60</v>
      </c>
      <c r="AA593">
        <v>0</v>
      </c>
      <c r="AB593">
        <v>6</v>
      </c>
      <c r="AC593">
        <v>3</v>
      </c>
      <c r="AD593">
        <v>3</v>
      </c>
      <c r="AE593">
        <v>3</v>
      </c>
      <c r="AF593">
        <v>2</v>
      </c>
      <c r="AG593">
        <v>0</v>
      </c>
      <c r="AH593">
        <v>2</v>
      </c>
      <c r="AI593" t="str">
        <f t="shared" si="36"/>
        <v>3-5 Years</v>
      </c>
      <c r="AJ593" t="str">
        <f t="shared" si="37"/>
        <v>0-2</v>
      </c>
    </row>
    <row r="594" spans="1:36" x14ac:dyDescent="0.35">
      <c r="A594">
        <v>593</v>
      </c>
      <c r="B594">
        <v>47</v>
      </c>
      <c r="C594" t="str">
        <f t="shared" si="38"/>
        <v>46-55</v>
      </c>
      <c r="D594" t="s">
        <v>38</v>
      </c>
      <c r="E594" t="s">
        <v>32</v>
      </c>
      <c r="F594" s="3">
        <v>1389</v>
      </c>
      <c r="G594" t="s">
        <v>40</v>
      </c>
      <c r="H594" s="1">
        <v>2</v>
      </c>
      <c r="I594" t="s">
        <v>58</v>
      </c>
      <c r="J594" t="s">
        <v>44</v>
      </c>
      <c r="K594" t="s">
        <v>60</v>
      </c>
      <c r="L594" t="s">
        <v>35</v>
      </c>
      <c r="M594" s="3">
        <v>33</v>
      </c>
      <c r="N594" t="s">
        <v>60</v>
      </c>
      <c r="O594" t="s">
        <v>62</v>
      </c>
      <c r="P594" t="s">
        <v>51</v>
      </c>
      <c r="Q594" t="s">
        <v>62</v>
      </c>
      <c r="R594" t="s">
        <v>43</v>
      </c>
      <c r="S594" s="3">
        <v>16752</v>
      </c>
      <c r="T594" s="3">
        <v>12982</v>
      </c>
      <c r="U594" s="3" t="str">
        <f t="shared" si="39"/>
        <v>High</v>
      </c>
      <c r="V594">
        <v>1</v>
      </c>
      <c r="W594" t="s">
        <v>31</v>
      </c>
      <c r="X594" s="2">
        <v>11</v>
      </c>
      <c r="Y594" t="s">
        <v>60</v>
      </c>
      <c r="Z594" t="s">
        <v>60</v>
      </c>
      <c r="AA594">
        <v>1</v>
      </c>
      <c r="AB594">
        <v>26</v>
      </c>
      <c r="AC594">
        <v>3</v>
      </c>
      <c r="AD594">
        <v>2</v>
      </c>
      <c r="AE594">
        <v>26</v>
      </c>
      <c r="AF594">
        <v>14</v>
      </c>
      <c r="AG594">
        <v>3</v>
      </c>
      <c r="AH594">
        <v>0</v>
      </c>
      <c r="AI594" t="str">
        <f t="shared" si="36"/>
        <v>10+ Years</v>
      </c>
      <c r="AJ594" t="str">
        <f t="shared" si="37"/>
        <v>3-5</v>
      </c>
    </row>
    <row r="595" spans="1:36" x14ac:dyDescent="0.35">
      <c r="A595">
        <v>594</v>
      </c>
      <c r="B595">
        <v>36</v>
      </c>
      <c r="C595" t="str">
        <f t="shared" si="38"/>
        <v>36-45</v>
      </c>
      <c r="D595" t="s">
        <v>38</v>
      </c>
      <c r="E595" t="s">
        <v>32</v>
      </c>
      <c r="F595" s="3">
        <v>1389</v>
      </c>
      <c r="G595" t="s">
        <v>40</v>
      </c>
      <c r="H595" s="1">
        <v>1</v>
      </c>
      <c r="I595" t="s">
        <v>61</v>
      </c>
      <c r="J595" t="s">
        <v>44</v>
      </c>
      <c r="K595" t="s">
        <v>60</v>
      </c>
      <c r="L595" t="s">
        <v>35</v>
      </c>
      <c r="M595" s="3">
        <v>35</v>
      </c>
      <c r="N595" t="s">
        <v>60</v>
      </c>
      <c r="O595" t="s">
        <v>61</v>
      </c>
      <c r="P595" t="s">
        <v>48</v>
      </c>
      <c r="Q595" t="s">
        <v>61</v>
      </c>
      <c r="R595" t="s">
        <v>43</v>
      </c>
      <c r="S595" s="3">
        <v>5228</v>
      </c>
      <c r="T595" s="3">
        <v>23361</v>
      </c>
      <c r="U595" s="3" t="str">
        <f t="shared" si="39"/>
        <v>Medium</v>
      </c>
      <c r="V595">
        <v>0</v>
      </c>
      <c r="W595" t="s">
        <v>38</v>
      </c>
      <c r="X595" s="2">
        <v>15</v>
      </c>
      <c r="Y595" t="s">
        <v>60</v>
      </c>
      <c r="Z595" t="s">
        <v>59</v>
      </c>
      <c r="AA595">
        <v>1</v>
      </c>
      <c r="AB595">
        <v>10</v>
      </c>
      <c r="AC595">
        <v>2</v>
      </c>
      <c r="AD595">
        <v>3</v>
      </c>
      <c r="AE595">
        <v>9</v>
      </c>
      <c r="AF595">
        <v>7</v>
      </c>
      <c r="AG595">
        <v>0</v>
      </c>
      <c r="AH595">
        <v>5</v>
      </c>
      <c r="AI595" t="str">
        <f t="shared" si="36"/>
        <v>6-10 Years</v>
      </c>
      <c r="AJ595" t="str">
        <f t="shared" si="37"/>
        <v>0-2</v>
      </c>
    </row>
    <row r="596" spans="1:36" x14ac:dyDescent="0.35">
      <c r="A596">
        <v>595</v>
      </c>
      <c r="B596">
        <v>29</v>
      </c>
      <c r="C596" t="str">
        <f t="shared" si="38"/>
        <v>26-35</v>
      </c>
      <c r="D596" t="s">
        <v>38</v>
      </c>
      <c r="E596" t="s">
        <v>32</v>
      </c>
      <c r="F596" s="3">
        <v>1389</v>
      </c>
      <c r="G596" t="s">
        <v>40</v>
      </c>
      <c r="H596" s="1">
        <v>23</v>
      </c>
      <c r="I596" t="s">
        <v>58</v>
      </c>
      <c r="J596" t="s">
        <v>34</v>
      </c>
      <c r="K596" t="s">
        <v>60</v>
      </c>
      <c r="L596" t="s">
        <v>41</v>
      </c>
      <c r="M596" s="3">
        <v>81</v>
      </c>
      <c r="N596" t="s">
        <v>62</v>
      </c>
      <c r="O596" t="s">
        <v>59</v>
      </c>
      <c r="P596" t="s">
        <v>42</v>
      </c>
      <c r="Q596" t="s">
        <v>60</v>
      </c>
      <c r="R596" t="s">
        <v>43</v>
      </c>
      <c r="S596" s="3">
        <v>2700</v>
      </c>
      <c r="T596" s="3">
        <v>23779</v>
      </c>
      <c r="U596" s="3" t="str">
        <f t="shared" si="39"/>
        <v>Low</v>
      </c>
      <c r="V596">
        <v>1</v>
      </c>
      <c r="W596" t="s">
        <v>38</v>
      </c>
      <c r="X596" s="2">
        <v>24</v>
      </c>
      <c r="Y596" t="s">
        <v>62</v>
      </c>
      <c r="Z596" t="s">
        <v>60</v>
      </c>
      <c r="AA596">
        <v>1</v>
      </c>
      <c r="AB596">
        <v>10</v>
      </c>
      <c r="AC596">
        <v>3</v>
      </c>
      <c r="AD596">
        <v>3</v>
      </c>
      <c r="AE596">
        <v>10</v>
      </c>
      <c r="AF596">
        <v>7</v>
      </c>
      <c r="AG596">
        <v>0</v>
      </c>
      <c r="AH596">
        <v>7</v>
      </c>
      <c r="AI596" t="str">
        <f t="shared" si="36"/>
        <v>6-10 Years</v>
      </c>
      <c r="AJ596" t="str">
        <f t="shared" si="37"/>
        <v>0-2</v>
      </c>
    </row>
    <row r="597" spans="1:36" x14ac:dyDescent="0.35">
      <c r="A597">
        <v>596</v>
      </c>
      <c r="B597">
        <v>58</v>
      </c>
      <c r="C597" t="str">
        <f t="shared" si="38"/>
        <v>55+</v>
      </c>
      <c r="D597" t="s">
        <v>31</v>
      </c>
      <c r="E597" t="s">
        <v>32</v>
      </c>
      <c r="F597" s="3">
        <v>1389</v>
      </c>
      <c r="G597" t="s">
        <v>40</v>
      </c>
      <c r="H597" s="1">
        <v>2</v>
      </c>
      <c r="I597" t="s">
        <v>60</v>
      </c>
      <c r="J597" t="s">
        <v>34</v>
      </c>
      <c r="K597" t="s">
        <v>62</v>
      </c>
      <c r="L597" t="s">
        <v>41</v>
      </c>
      <c r="M597" s="3">
        <v>31</v>
      </c>
      <c r="N597" t="s">
        <v>60</v>
      </c>
      <c r="O597" t="e">
        <v>#N/A</v>
      </c>
      <c r="P597" t="s">
        <v>53</v>
      </c>
      <c r="Q597" t="s">
        <v>61</v>
      </c>
      <c r="R597" t="s">
        <v>37</v>
      </c>
      <c r="S597" s="3">
        <v>19246</v>
      </c>
      <c r="T597" s="3">
        <v>25761</v>
      </c>
      <c r="U597" s="3" t="str">
        <f t="shared" si="39"/>
        <v>High</v>
      </c>
      <c r="V597">
        <v>7</v>
      </c>
      <c r="W597" t="s">
        <v>31</v>
      </c>
      <c r="X597" s="2">
        <v>12</v>
      </c>
      <c r="Y597" t="s">
        <v>60</v>
      </c>
      <c r="Z597" t="s">
        <v>62</v>
      </c>
      <c r="AA597">
        <v>0</v>
      </c>
      <c r="AB597">
        <v>40</v>
      </c>
      <c r="AC597">
        <v>2</v>
      </c>
      <c r="AD597">
        <v>3</v>
      </c>
      <c r="AE597">
        <v>31</v>
      </c>
      <c r="AF597">
        <v>15</v>
      </c>
      <c r="AG597">
        <v>13</v>
      </c>
      <c r="AH597">
        <v>8</v>
      </c>
      <c r="AI597" t="str">
        <f t="shared" si="36"/>
        <v>10+ Years</v>
      </c>
      <c r="AJ597" t="str">
        <f t="shared" si="37"/>
        <v>6+</v>
      </c>
    </row>
    <row r="598" spans="1:36" x14ac:dyDescent="0.35">
      <c r="A598">
        <v>597</v>
      </c>
      <c r="B598">
        <v>35</v>
      </c>
      <c r="C598" t="str">
        <f t="shared" si="38"/>
        <v>26-35</v>
      </c>
      <c r="D598" t="s">
        <v>38</v>
      </c>
      <c r="E598" t="s">
        <v>32</v>
      </c>
      <c r="F598" s="3">
        <v>1389</v>
      </c>
      <c r="G598" t="s">
        <v>40</v>
      </c>
      <c r="H598" s="1">
        <v>1</v>
      </c>
      <c r="I598" t="s">
        <v>60</v>
      </c>
      <c r="J598" t="s">
        <v>34</v>
      </c>
      <c r="K598" t="s">
        <v>62</v>
      </c>
      <c r="L598" t="s">
        <v>35</v>
      </c>
      <c r="M598" s="3">
        <v>40</v>
      </c>
      <c r="N598" t="s">
        <v>62</v>
      </c>
      <c r="O598" t="s">
        <v>59</v>
      </c>
      <c r="P598" t="s">
        <v>42</v>
      </c>
      <c r="Q598" t="s">
        <v>60</v>
      </c>
      <c r="R598" t="s">
        <v>37</v>
      </c>
      <c r="S598" s="3">
        <v>2506</v>
      </c>
      <c r="T598" s="3">
        <v>13301</v>
      </c>
      <c r="U598" s="3" t="str">
        <f t="shared" si="39"/>
        <v>Low</v>
      </c>
      <c r="V598">
        <v>3</v>
      </c>
      <c r="W598" t="s">
        <v>38</v>
      </c>
      <c r="X598" s="2">
        <v>13</v>
      </c>
      <c r="Y598" t="s">
        <v>60</v>
      </c>
      <c r="Z598" t="s">
        <v>60</v>
      </c>
      <c r="AA598">
        <v>0</v>
      </c>
      <c r="AB598">
        <v>7</v>
      </c>
      <c r="AC598">
        <v>0</v>
      </c>
      <c r="AD598">
        <v>3</v>
      </c>
      <c r="AE598">
        <v>2</v>
      </c>
      <c r="AF598">
        <v>2</v>
      </c>
      <c r="AG598">
        <v>2</v>
      </c>
      <c r="AH598">
        <v>2</v>
      </c>
      <c r="AI598" t="str">
        <f t="shared" si="36"/>
        <v>0-2 Years</v>
      </c>
      <c r="AJ598" t="str">
        <f t="shared" si="37"/>
        <v>0-2</v>
      </c>
    </row>
    <row r="599" spans="1:36" x14ac:dyDescent="0.35">
      <c r="A599">
        <v>598</v>
      </c>
      <c r="B599">
        <v>42</v>
      </c>
      <c r="C599" t="str">
        <f t="shared" si="38"/>
        <v>36-45</v>
      </c>
      <c r="D599" t="s">
        <v>38</v>
      </c>
      <c r="E599" t="s">
        <v>32</v>
      </c>
      <c r="F599" s="3">
        <v>1389</v>
      </c>
      <c r="G599" t="s">
        <v>40</v>
      </c>
      <c r="H599" s="1">
        <v>1</v>
      </c>
      <c r="I599" t="s">
        <v>58</v>
      </c>
      <c r="J599" t="s">
        <v>34</v>
      </c>
      <c r="K599" t="s">
        <v>62</v>
      </c>
      <c r="L599" t="s">
        <v>35</v>
      </c>
      <c r="M599" s="3">
        <v>43</v>
      </c>
      <c r="N599" t="s">
        <v>61</v>
      </c>
      <c r="O599" t="s">
        <v>61</v>
      </c>
      <c r="P599" t="s">
        <v>48</v>
      </c>
      <c r="Q599" t="s">
        <v>62</v>
      </c>
      <c r="R599" t="s">
        <v>43</v>
      </c>
      <c r="S599" s="3">
        <v>6062</v>
      </c>
      <c r="T599" s="3">
        <v>4051</v>
      </c>
      <c r="U599" s="3" t="str">
        <f t="shared" si="39"/>
        <v>Medium</v>
      </c>
      <c r="V599">
        <v>9</v>
      </c>
      <c r="W599" t="s">
        <v>31</v>
      </c>
      <c r="X599" s="2">
        <v>13</v>
      </c>
      <c r="Y599" t="s">
        <v>60</v>
      </c>
      <c r="Z599" t="s">
        <v>62</v>
      </c>
      <c r="AA599">
        <v>1</v>
      </c>
      <c r="AB599">
        <v>8</v>
      </c>
      <c r="AC599">
        <v>4</v>
      </c>
      <c r="AD599">
        <v>3</v>
      </c>
      <c r="AE599">
        <v>4</v>
      </c>
      <c r="AF599">
        <v>3</v>
      </c>
      <c r="AG599">
        <v>0</v>
      </c>
      <c r="AH599">
        <v>2</v>
      </c>
      <c r="AI599" t="str">
        <f t="shared" si="36"/>
        <v>3-5 Years</v>
      </c>
      <c r="AJ599" t="str">
        <f t="shared" si="37"/>
        <v>0-2</v>
      </c>
    </row>
    <row r="600" spans="1:36" x14ac:dyDescent="0.35">
      <c r="A600">
        <v>599</v>
      </c>
      <c r="B600">
        <v>28</v>
      </c>
      <c r="C600" t="str">
        <f t="shared" si="38"/>
        <v>26-35</v>
      </c>
      <c r="D600" t="s">
        <v>31</v>
      </c>
      <c r="E600" t="s">
        <v>32</v>
      </c>
      <c r="F600" s="3">
        <v>1389</v>
      </c>
      <c r="G600" t="s">
        <v>40</v>
      </c>
      <c r="H600" s="1">
        <v>2</v>
      </c>
      <c r="I600" t="s">
        <v>60</v>
      </c>
      <c r="J600" t="s">
        <v>46</v>
      </c>
      <c r="K600" t="s">
        <v>60</v>
      </c>
      <c r="L600" t="s">
        <v>41</v>
      </c>
      <c r="M600" s="3">
        <v>46</v>
      </c>
      <c r="N600" t="s">
        <v>60</v>
      </c>
      <c r="O600" t="s">
        <v>59</v>
      </c>
      <c r="P600" t="s">
        <v>42</v>
      </c>
      <c r="Q600" t="s">
        <v>60</v>
      </c>
      <c r="R600" t="s">
        <v>37</v>
      </c>
      <c r="S600" s="3">
        <v>4382</v>
      </c>
      <c r="T600" s="3">
        <v>16374</v>
      </c>
      <c r="U600" s="3" t="str">
        <f t="shared" si="39"/>
        <v>Low</v>
      </c>
      <c r="V600">
        <v>6</v>
      </c>
      <c r="W600" t="s">
        <v>38</v>
      </c>
      <c r="X600" s="2">
        <v>17</v>
      </c>
      <c r="Y600" t="s">
        <v>60</v>
      </c>
      <c r="Z600" t="s">
        <v>62</v>
      </c>
      <c r="AA600">
        <v>0</v>
      </c>
      <c r="AB600">
        <v>5</v>
      </c>
      <c r="AC600">
        <v>3</v>
      </c>
      <c r="AD600">
        <v>2</v>
      </c>
      <c r="AE600">
        <v>2</v>
      </c>
      <c r="AF600">
        <v>2</v>
      </c>
      <c r="AG600">
        <v>2</v>
      </c>
      <c r="AH600">
        <v>1</v>
      </c>
      <c r="AI600" t="str">
        <f t="shared" si="36"/>
        <v>0-2 Years</v>
      </c>
      <c r="AJ600" t="str">
        <f t="shared" si="37"/>
        <v>0-2</v>
      </c>
    </row>
    <row r="601" spans="1:36" x14ac:dyDescent="0.35">
      <c r="A601">
        <v>600</v>
      </c>
      <c r="B601">
        <v>36</v>
      </c>
      <c r="C601" t="str">
        <f t="shared" si="38"/>
        <v>36-45</v>
      </c>
      <c r="D601" t="s">
        <v>38</v>
      </c>
      <c r="E601" t="s">
        <v>32</v>
      </c>
      <c r="F601" s="3">
        <v>1389</v>
      </c>
      <c r="G601" t="s">
        <v>56</v>
      </c>
      <c r="H601" s="1">
        <v>13</v>
      </c>
      <c r="I601" t="s">
        <v>61</v>
      </c>
      <c r="J601" t="s">
        <v>56</v>
      </c>
      <c r="K601" t="s">
        <v>60</v>
      </c>
      <c r="L601" t="s">
        <v>41</v>
      </c>
      <c r="M601" s="3">
        <v>36</v>
      </c>
      <c r="N601" t="s">
        <v>60</v>
      </c>
      <c r="O601" t="s">
        <v>59</v>
      </c>
      <c r="P601" t="s">
        <v>56</v>
      </c>
      <c r="Q601" t="s">
        <v>61</v>
      </c>
      <c r="R601" t="s">
        <v>43</v>
      </c>
      <c r="S601" s="3">
        <v>2143</v>
      </c>
      <c r="T601" s="3">
        <v>25527</v>
      </c>
      <c r="U601" s="3" t="str">
        <f t="shared" si="39"/>
        <v>Low</v>
      </c>
      <c r="V601">
        <v>4</v>
      </c>
      <c r="W601" t="s">
        <v>38</v>
      </c>
      <c r="X601" s="2">
        <v>13</v>
      </c>
      <c r="Y601" t="s">
        <v>60</v>
      </c>
      <c r="Z601" t="s">
        <v>61</v>
      </c>
      <c r="AA601">
        <v>1</v>
      </c>
      <c r="AB601">
        <v>8</v>
      </c>
      <c r="AC601">
        <v>2</v>
      </c>
      <c r="AD601">
        <v>3</v>
      </c>
      <c r="AE601">
        <v>5</v>
      </c>
      <c r="AF601">
        <v>2</v>
      </c>
      <c r="AG601">
        <v>0</v>
      </c>
      <c r="AH601">
        <v>4</v>
      </c>
      <c r="AI601" t="str">
        <f t="shared" si="36"/>
        <v>3-5 Years</v>
      </c>
      <c r="AJ601" t="str">
        <f t="shared" si="37"/>
        <v>0-2</v>
      </c>
    </row>
    <row r="602" spans="1:36" x14ac:dyDescent="0.35">
      <c r="A602">
        <v>601</v>
      </c>
      <c r="B602">
        <v>32</v>
      </c>
      <c r="C602" t="str">
        <f t="shared" si="38"/>
        <v>26-35</v>
      </c>
      <c r="D602" t="s">
        <v>38</v>
      </c>
      <c r="E602" t="s">
        <v>32</v>
      </c>
      <c r="F602" s="3">
        <v>1389</v>
      </c>
      <c r="G602" t="s">
        <v>40</v>
      </c>
      <c r="H602" s="1">
        <v>4</v>
      </c>
      <c r="I602" t="s">
        <v>61</v>
      </c>
      <c r="J602" t="s">
        <v>34</v>
      </c>
      <c r="K602" t="s">
        <v>60</v>
      </c>
      <c r="L602" t="s">
        <v>35</v>
      </c>
      <c r="M602" s="3">
        <v>98</v>
      </c>
      <c r="N602" t="s">
        <v>61</v>
      </c>
      <c r="O602" t="s">
        <v>61</v>
      </c>
      <c r="P602" t="s">
        <v>48</v>
      </c>
      <c r="Q602" t="s">
        <v>60</v>
      </c>
      <c r="R602" t="s">
        <v>43</v>
      </c>
      <c r="S602" s="3">
        <v>6162</v>
      </c>
      <c r="T602" s="3">
        <v>19124</v>
      </c>
      <c r="U602" s="3" t="str">
        <f t="shared" si="39"/>
        <v>Medium</v>
      </c>
      <c r="V602">
        <v>1</v>
      </c>
      <c r="W602" t="s">
        <v>38</v>
      </c>
      <c r="X602" s="2">
        <v>12</v>
      </c>
      <c r="Y602" t="s">
        <v>60</v>
      </c>
      <c r="Z602" t="s">
        <v>60</v>
      </c>
      <c r="AA602">
        <v>1</v>
      </c>
      <c r="AB602">
        <v>14</v>
      </c>
      <c r="AC602">
        <v>3</v>
      </c>
      <c r="AD602">
        <v>3</v>
      </c>
      <c r="AE602">
        <v>14</v>
      </c>
      <c r="AF602">
        <v>13</v>
      </c>
      <c r="AG602">
        <v>6</v>
      </c>
      <c r="AH602">
        <v>8</v>
      </c>
      <c r="AI602" t="str">
        <f t="shared" si="36"/>
        <v>10+ Years</v>
      </c>
      <c r="AJ602" t="str">
        <f t="shared" si="37"/>
        <v>6+</v>
      </c>
    </row>
    <row r="603" spans="1:36" x14ac:dyDescent="0.35">
      <c r="A603">
        <v>602</v>
      </c>
      <c r="B603">
        <v>40</v>
      </c>
      <c r="C603" t="str">
        <f t="shared" si="38"/>
        <v>36-45</v>
      </c>
      <c r="D603" t="s">
        <v>38</v>
      </c>
      <c r="E603" t="s">
        <v>39</v>
      </c>
      <c r="F603" s="3">
        <v>1389</v>
      </c>
      <c r="G603" t="s">
        <v>40</v>
      </c>
      <c r="H603" s="1">
        <v>16</v>
      </c>
      <c r="I603" t="s">
        <v>60</v>
      </c>
      <c r="J603" t="s">
        <v>46</v>
      </c>
      <c r="K603" t="s">
        <v>59</v>
      </c>
      <c r="L603" t="s">
        <v>41</v>
      </c>
      <c r="M603" s="3">
        <v>51</v>
      </c>
      <c r="N603" t="s">
        <v>61</v>
      </c>
      <c r="O603" t="s">
        <v>61</v>
      </c>
      <c r="P603" t="s">
        <v>45</v>
      </c>
      <c r="Q603" t="s">
        <v>60</v>
      </c>
      <c r="R603" t="s">
        <v>37</v>
      </c>
      <c r="S603" s="3">
        <v>5094</v>
      </c>
      <c r="T603" s="3">
        <v>11983</v>
      </c>
      <c r="U603" s="3" t="str">
        <f t="shared" si="39"/>
        <v>Medium</v>
      </c>
      <c r="V603">
        <v>6</v>
      </c>
      <c r="W603" t="s">
        <v>38</v>
      </c>
      <c r="X603" s="2">
        <v>14</v>
      </c>
      <c r="Y603" t="s">
        <v>60</v>
      </c>
      <c r="Z603" t="s">
        <v>62</v>
      </c>
      <c r="AA603">
        <v>0</v>
      </c>
      <c r="AB603">
        <v>10</v>
      </c>
      <c r="AC603">
        <v>6</v>
      </c>
      <c r="AD603">
        <v>3</v>
      </c>
      <c r="AE603">
        <v>1</v>
      </c>
      <c r="AF603">
        <v>0</v>
      </c>
      <c r="AG603">
        <v>0</v>
      </c>
      <c r="AH603">
        <v>0</v>
      </c>
      <c r="AI603" t="str">
        <f t="shared" si="36"/>
        <v>0-2 Years</v>
      </c>
      <c r="AJ603" t="str">
        <f t="shared" si="37"/>
        <v>0-2</v>
      </c>
    </row>
    <row r="604" spans="1:36" x14ac:dyDescent="0.35">
      <c r="A604">
        <v>603</v>
      </c>
      <c r="B604">
        <v>30</v>
      </c>
      <c r="C604" t="str">
        <f t="shared" si="38"/>
        <v>26-35</v>
      </c>
      <c r="D604" t="s">
        <v>38</v>
      </c>
      <c r="E604" t="s">
        <v>32</v>
      </c>
      <c r="F604" s="3">
        <v>1389</v>
      </c>
      <c r="G604" t="s">
        <v>40</v>
      </c>
      <c r="H604" s="1">
        <v>2</v>
      </c>
      <c r="I604" t="s">
        <v>61</v>
      </c>
      <c r="J604" t="s">
        <v>46</v>
      </c>
      <c r="K604" t="s">
        <v>60</v>
      </c>
      <c r="L604" t="s">
        <v>35</v>
      </c>
      <c r="M604" s="3">
        <v>52</v>
      </c>
      <c r="N604" t="s">
        <v>61</v>
      </c>
      <c r="O604" t="s">
        <v>61</v>
      </c>
      <c r="P604" t="s">
        <v>48</v>
      </c>
      <c r="Q604" t="s">
        <v>62</v>
      </c>
      <c r="R604" t="s">
        <v>37</v>
      </c>
      <c r="S604" s="3">
        <v>6877</v>
      </c>
      <c r="T604" s="3">
        <v>20234</v>
      </c>
      <c r="U604" s="3" t="str">
        <f t="shared" si="39"/>
        <v>Medium</v>
      </c>
      <c r="V604">
        <v>5</v>
      </c>
      <c r="W604" t="s">
        <v>31</v>
      </c>
      <c r="X604" s="2">
        <v>24</v>
      </c>
      <c r="Y604" t="s">
        <v>62</v>
      </c>
      <c r="Z604" t="s">
        <v>61</v>
      </c>
      <c r="AA604">
        <v>0</v>
      </c>
      <c r="AB604">
        <v>12</v>
      </c>
      <c r="AC604">
        <v>4</v>
      </c>
      <c r="AD604">
        <v>2</v>
      </c>
      <c r="AE604">
        <v>0</v>
      </c>
      <c r="AF604">
        <v>0</v>
      </c>
      <c r="AG604">
        <v>0</v>
      </c>
      <c r="AH604">
        <v>0</v>
      </c>
      <c r="AI604" t="str">
        <f t="shared" si="36"/>
        <v>0-2 Years</v>
      </c>
      <c r="AJ604" t="str">
        <f t="shared" si="37"/>
        <v>0-2</v>
      </c>
    </row>
    <row r="605" spans="1:36" x14ac:dyDescent="0.35">
      <c r="A605">
        <v>604</v>
      </c>
      <c r="B605">
        <v>45</v>
      </c>
      <c r="C605" t="str">
        <f t="shared" si="38"/>
        <v>36-45</v>
      </c>
      <c r="D605" t="s">
        <v>38</v>
      </c>
      <c r="E605" t="s">
        <v>32</v>
      </c>
      <c r="F605" s="3">
        <v>1389</v>
      </c>
      <c r="G605" t="s">
        <v>40</v>
      </c>
      <c r="H605" s="1">
        <v>2</v>
      </c>
      <c r="I605" t="s">
        <v>61</v>
      </c>
      <c r="J605" t="s">
        <v>34</v>
      </c>
      <c r="K605" t="s">
        <v>61</v>
      </c>
      <c r="L605" t="s">
        <v>35</v>
      </c>
      <c r="M605" s="3">
        <v>95</v>
      </c>
      <c r="N605" t="s">
        <v>61</v>
      </c>
      <c r="O605" t="s">
        <v>59</v>
      </c>
      <c r="P605" t="s">
        <v>42</v>
      </c>
      <c r="Q605" t="s">
        <v>60</v>
      </c>
      <c r="R605" t="s">
        <v>37</v>
      </c>
      <c r="S605" s="3">
        <v>2274</v>
      </c>
      <c r="T605" s="3">
        <v>6153</v>
      </c>
      <c r="U605" s="3" t="str">
        <f t="shared" si="39"/>
        <v>Low</v>
      </c>
      <c r="V605">
        <v>1</v>
      </c>
      <c r="W605" t="s">
        <v>38</v>
      </c>
      <c r="X605" s="2">
        <v>14</v>
      </c>
      <c r="Y605" t="s">
        <v>60</v>
      </c>
      <c r="Z605" t="s">
        <v>62</v>
      </c>
      <c r="AA605">
        <v>0</v>
      </c>
      <c r="AB605">
        <v>1</v>
      </c>
      <c r="AC605">
        <v>3</v>
      </c>
      <c r="AD605">
        <v>3</v>
      </c>
      <c r="AE605">
        <v>1</v>
      </c>
      <c r="AF605">
        <v>0</v>
      </c>
      <c r="AG605">
        <v>0</v>
      </c>
      <c r="AH605">
        <v>0</v>
      </c>
      <c r="AI605" t="str">
        <f t="shared" si="36"/>
        <v>0-2 Years</v>
      </c>
      <c r="AJ605" t="str">
        <f t="shared" si="37"/>
        <v>0-2</v>
      </c>
    </row>
    <row r="606" spans="1:36" x14ac:dyDescent="0.35">
      <c r="A606">
        <v>605</v>
      </c>
      <c r="B606">
        <v>42</v>
      </c>
      <c r="C606" t="str">
        <f t="shared" si="38"/>
        <v>36-45</v>
      </c>
      <c r="D606" t="s">
        <v>38</v>
      </c>
      <c r="E606" t="s">
        <v>32</v>
      </c>
      <c r="F606" s="3">
        <v>1389</v>
      </c>
      <c r="G606" t="s">
        <v>40</v>
      </c>
      <c r="H606" s="1">
        <v>29</v>
      </c>
      <c r="I606" t="s">
        <v>61</v>
      </c>
      <c r="J606" t="s">
        <v>34</v>
      </c>
      <c r="K606" t="s">
        <v>61</v>
      </c>
      <c r="L606" t="s">
        <v>41</v>
      </c>
      <c r="M606" s="3">
        <v>98</v>
      </c>
      <c r="N606" t="s">
        <v>60</v>
      </c>
      <c r="O606" t="s">
        <v>61</v>
      </c>
      <c r="P606" t="s">
        <v>48</v>
      </c>
      <c r="Q606" t="s">
        <v>61</v>
      </c>
      <c r="R606" t="s">
        <v>43</v>
      </c>
      <c r="S606" s="3">
        <v>4434</v>
      </c>
      <c r="T606" s="3">
        <v>11806</v>
      </c>
      <c r="U606" s="3" t="str">
        <f t="shared" si="39"/>
        <v>Low</v>
      </c>
      <c r="V606">
        <v>1</v>
      </c>
      <c r="W606" t="s">
        <v>38</v>
      </c>
      <c r="X606" s="2">
        <v>13</v>
      </c>
      <c r="Y606" t="s">
        <v>60</v>
      </c>
      <c r="Z606" t="s">
        <v>62</v>
      </c>
      <c r="AA606">
        <v>1</v>
      </c>
      <c r="AB606">
        <v>10</v>
      </c>
      <c r="AC606">
        <v>3</v>
      </c>
      <c r="AD606">
        <v>2</v>
      </c>
      <c r="AE606">
        <v>9</v>
      </c>
      <c r="AF606">
        <v>8</v>
      </c>
      <c r="AG606">
        <v>7</v>
      </c>
      <c r="AH606">
        <v>8</v>
      </c>
      <c r="AI606" t="str">
        <f t="shared" si="36"/>
        <v>6-10 Years</v>
      </c>
      <c r="AJ606" t="str">
        <f t="shared" si="37"/>
        <v>6+</v>
      </c>
    </row>
    <row r="607" spans="1:36" x14ac:dyDescent="0.35">
      <c r="A607">
        <v>606</v>
      </c>
      <c r="B607">
        <v>38</v>
      </c>
      <c r="C607" t="str">
        <f t="shared" si="38"/>
        <v>36-45</v>
      </c>
      <c r="D607" t="s">
        <v>38</v>
      </c>
      <c r="E607" t="s">
        <v>39</v>
      </c>
      <c r="F607" s="3">
        <v>1389</v>
      </c>
      <c r="G607" t="s">
        <v>40</v>
      </c>
      <c r="H607" s="1">
        <v>12</v>
      </c>
      <c r="I607" t="s">
        <v>61</v>
      </c>
      <c r="J607" t="s">
        <v>34</v>
      </c>
      <c r="K607" t="s">
        <v>59</v>
      </c>
      <c r="L607" t="s">
        <v>41</v>
      </c>
      <c r="M607" s="3">
        <v>45</v>
      </c>
      <c r="N607" t="s">
        <v>61</v>
      </c>
      <c r="O607" t="s">
        <v>61</v>
      </c>
      <c r="P607" t="s">
        <v>49</v>
      </c>
      <c r="Q607" t="s">
        <v>59</v>
      </c>
      <c r="R607" t="s">
        <v>47</v>
      </c>
      <c r="S607" s="3">
        <v>6288</v>
      </c>
      <c r="T607" s="3">
        <v>4284</v>
      </c>
      <c r="U607" s="3" t="str">
        <f t="shared" si="39"/>
        <v>Medium</v>
      </c>
      <c r="V607">
        <v>2</v>
      </c>
      <c r="W607" t="s">
        <v>38</v>
      </c>
      <c r="X607" s="2">
        <v>15</v>
      </c>
      <c r="Y607" t="s">
        <v>60</v>
      </c>
      <c r="Z607" t="s">
        <v>60</v>
      </c>
      <c r="AA607">
        <v>1</v>
      </c>
      <c r="AB607">
        <v>13</v>
      </c>
      <c r="AC607">
        <v>3</v>
      </c>
      <c r="AD607">
        <v>2</v>
      </c>
      <c r="AE607">
        <v>4</v>
      </c>
      <c r="AF607">
        <v>3</v>
      </c>
      <c r="AG607">
        <v>1</v>
      </c>
      <c r="AH607">
        <v>2</v>
      </c>
      <c r="AI607" t="str">
        <f t="shared" si="36"/>
        <v>3-5 Years</v>
      </c>
      <c r="AJ607" t="str">
        <f t="shared" si="37"/>
        <v>0-2</v>
      </c>
    </row>
    <row r="608" spans="1:36" x14ac:dyDescent="0.35">
      <c r="A608">
        <v>607</v>
      </c>
      <c r="B608">
        <v>34</v>
      </c>
      <c r="C608" t="str">
        <f t="shared" si="38"/>
        <v>26-35</v>
      </c>
      <c r="D608" t="s">
        <v>38</v>
      </c>
      <c r="E608" t="s">
        <v>39</v>
      </c>
      <c r="F608" s="3">
        <v>1389</v>
      </c>
      <c r="G608" t="s">
        <v>40</v>
      </c>
      <c r="H608" s="1">
        <v>16</v>
      </c>
      <c r="I608" t="s">
        <v>60</v>
      </c>
      <c r="J608" t="s">
        <v>34</v>
      </c>
      <c r="K608" t="s">
        <v>60</v>
      </c>
      <c r="L608" t="s">
        <v>35</v>
      </c>
      <c r="M608" s="3">
        <v>100</v>
      </c>
      <c r="N608" t="s">
        <v>61</v>
      </c>
      <c r="O608" t="s">
        <v>59</v>
      </c>
      <c r="P608" t="s">
        <v>42</v>
      </c>
      <c r="Q608" t="s">
        <v>62</v>
      </c>
      <c r="R608" t="s">
        <v>37</v>
      </c>
      <c r="S608" s="3">
        <v>2553</v>
      </c>
      <c r="T608" s="3">
        <v>8306</v>
      </c>
      <c r="U608" s="3" t="str">
        <f t="shared" si="39"/>
        <v>Low</v>
      </c>
      <c r="V608">
        <v>1</v>
      </c>
      <c r="W608" t="s">
        <v>38</v>
      </c>
      <c r="X608" s="2">
        <v>16</v>
      </c>
      <c r="Y608" t="s">
        <v>60</v>
      </c>
      <c r="Z608" t="s">
        <v>60</v>
      </c>
      <c r="AA608">
        <v>0</v>
      </c>
      <c r="AB608">
        <v>6</v>
      </c>
      <c r="AC608">
        <v>3</v>
      </c>
      <c r="AD608">
        <v>3</v>
      </c>
      <c r="AE608">
        <v>5</v>
      </c>
      <c r="AF608">
        <v>2</v>
      </c>
      <c r="AG608">
        <v>1</v>
      </c>
      <c r="AH608">
        <v>3</v>
      </c>
      <c r="AI608" t="str">
        <f t="shared" si="36"/>
        <v>3-5 Years</v>
      </c>
      <c r="AJ608" t="str">
        <f t="shared" si="37"/>
        <v>0-2</v>
      </c>
    </row>
    <row r="609" spans="1:36" x14ac:dyDescent="0.35">
      <c r="A609">
        <v>608</v>
      </c>
      <c r="B609">
        <v>49</v>
      </c>
      <c r="C609" t="str">
        <f t="shared" si="38"/>
        <v>46-55</v>
      </c>
      <c r="D609" t="s">
        <v>31</v>
      </c>
      <c r="E609" t="s">
        <v>32</v>
      </c>
      <c r="F609" s="3">
        <v>1389</v>
      </c>
      <c r="G609" t="s">
        <v>33</v>
      </c>
      <c r="H609" s="1">
        <v>11</v>
      </c>
      <c r="I609" t="s">
        <v>61</v>
      </c>
      <c r="J609" t="s">
        <v>54</v>
      </c>
      <c r="K609" t="s">
        <v>60</v>
      </c>
      <c r="L609" t="s">
        <v>35</v>
      </c>
      <c r="M609" s="3">
        <v>43</v>
      </c>
      <c r="N609" t="s">
        <v>60</v>
      </c>
      <c r="O609" t="s">
        <v>60</v>
      </c>
      <c r="P609" t="s">
        <v>36</v>
      </c>
      <c r="Q609" t="s">
        <v>62</v>
      </c>
      <c r="R609" t="s">
        <v>43</v>
      </c>
      <c r="S609" s="3">
        <v>7654</v>
      </c>
      <c r="T609" s="3">
        <v>5860</v>
      </c>
      <c r="U609" s="3" t="str">
        <f t="shared" si="39"/>
        <v>Medium</v>
      </c>
      <c r="V609">
        <v>1</v>
      </c>
      <c r="W609" t="s">
        <v>38</v>
      </c>
      <c r="X609" s="2">
        <v>18</v>
      </c>
      <c r="Y609" t="s">
        <v>60</v>
      </c>
      <c r="Z609" t="s">
        <v>59</v>
      </c>
      <c r="AA609">
        <v>2</v>
      </c>
      <c r="AB609">
        <v>9</v>
      </c>
      <c r="AC609">
        <v>3</v>
      </c>
      <c r="AD609">
        <v>4</v>
      </c>
      <c r="AE609">
        <v>9</v>
      </c>
      <c r="AF609">
        <v>8</v>
      </c>
      <c r="AG609">
        <v>7</v>
      </c>
      <c r="AH609">
        <v>7</v>
      </c>
      <c r="AI609" t="str">
        <f t="shared" si="36"/>
        <v>6-10 Years</v>
      </c>
      <c r="AJ609" t="str">
        <f t="shared" si="37"/>
        <v>6+</v>
      </c>
    </row>
    <row r="610" spans="1:36" x14ac:dyDescent="0.35">
      <c r="A610">
        <v>609</v>
      </c>
      <c r="B610">
        <v>55</v>
      </c>
      <c r="C610" t="str">
        <f t="shared" si="38"/>
        <v>46-55</v>
      </c>
      <c r="D610" t="s">
        <v>31</v>
      </c>
      <c r="E610" t="s">
        <v>32</v>
      </c>
      <c r="F610" s="3">
        <v>1389</v>
      </c>
      <c r="G610" t="s">
        <v>33</v>
      </c>
      <c r="H610" s="1">
        <v>2</v>
      </c>
      <c r="I610" t="s">
        <v>59</v>
      </c>
      <c r="J610" t="s">
        <v>46</v>
      </c>
      <c r="K610" t="s">
        <v>60</v>
      </c>
      <c r="L610" t="s">
        <v>41</v>
      </c>
      <c r="M610" s="3">
        <v>37</v>
      </c>
      <c r="N610" t="s">
        <v>60</v>
      </c>
      <c r="O610" t="s">
        <v>61</v>
      </c>
      <c r="P610" t="s">
        <v>36</v>
      </c>
      <c r="Q610" t="s">
        <v>62</v>
      </c>
      <c r="R610" t="s">
        <v>37</v>
      </c>
      <c r="S610" s="3">
        <v>5160</v>
      </c>
      <c r="T610" s="3">
        <v>21519</v>
      </c>
      <c r="U610" s="3" t="str">
        <f t="shared" si="39"/>
        <v>Medium</v>
      </c>
      <c r="V610">
        <v>4</v>
      </c>
      <c r="W610" t="s">
        <v>38</v>
      </c>
      <c r="X610" s="2">
        <v>16</v>
      </c>
      <c r="Y610" t="s">
        <v>60</v>
      </c>
      <c r="Z610" t="s">
        <v>60</v>
      </c>
      <c r="AA610">
        <v>0</v>
      </c>
      <c r="AB610">
        <v>12</v>
      </c>
      <c r="AC610">
        <v>3</v>
      </c>
      <c r="AD610">
        <v>2</v>
      </c>
      <c r="AE610">
        <v>9</v>
      </c>
      <c r="AF610">
        <v>7</v>
      </c>
      <c r="AG610">
        <v>7</v>
      </c>
      <c r="AH610">
        <v>3</v>
      </c>
      <c r="AI610" t="str">
        <f t="shared" si="36"/>
        <v>6-10 Years</v>
      </c>
      <c r="AJ610" t="str">
        <f t="shared" si="37"/>
        <v>6+</v>
      </c>
    </row>
    <row r="611" spans="1:36" x14ac:dyDescent="0.35">
      <c r="A611">
        <v>610</v>
      </c>
      <c r="B611">
        <v>43</v>
      </c>
      <c r="C611" t="str">
        <f t="shared" si="38"/>
        <v>36-45</v>
      </c>
      <c r="D611" t="s">
        <v>38</v>
      </c>
      <c r="E611" t="s">
        <v>32</v>
      </c>
      <c r="F611" s="3">
        <v>1389</v>
      </c>
      <c r="G611" t="s">
        <v>40</v>
      </c>
      <c r="H611" s="1">
        <v>14</v>
      </c>
      <c r="I611" t="s">
        <v>58</v>
      </c>
      <c r="J611" t="s">
        <v>34</v>
      </c>
      <c r="K611" t="s">
        <v>61</v>
      </c>
      <c r="L611" t="s">
        <v>41</v>
      </c>
      <c r="M611" s="3">
        <v>94</v>
      </c>
      <c r="N611" t="s">
        <v>60</v>
      </c>
      <c r="O611" t="s">
        <v>62</v>
      </c>
      <c r="P611" t="s">
        <v>53</v>
      </c>
      <c r="Q611" t="s">
        <v>59</v>
      </c>
      <c r="R611" t="s">
        <v>43</v>
      </c>
      <c r="S611" s="3">
        <v>17159</v>
      </c>
      <c r="T611" s="3">
        <v>5200</v>
      </c>
      <c r="U611" s="3" t="str">
        <f t="shared" si="39"/>
        <v>High</v>
      </c>
      <c r="V611">
        <v>6</v>
      </c>
      <c r="W611" t="s">
        <v>38</v>
      </c>
      <c r="X611" s="2">
        <v>24</v>
      </c>
      <c r="Y611" t="s">
        <v>62</v>
      </c>
      <c r="Z611" t="s">
        <v>60</v>
      </c>
      <c r="AA611">
        <v>1</v>
      </c>
      <c r="AB611">
        <v>22</v>
      </c>
      <c r="AC611">
        <v>3</v>
      </c>
      <c r="AD611">
        <v>3</v>
      </c>
      <c r="AE611">
        <v>4</v>
      </c>
      <c r="AF611">
        <v>1</v>
      </c>
      <c r="AG611">
        <v>1</v>
      </c>
      <c r="AH611">
        <v>0</v>
      </c>
      <c r="AI611" t="str">
        <f t="shared" si="36"/>
        <v>3-5 Years</v>
      </c>
      <c r="AJ611" t="str">
        <f t="shared" si="37"/>
        <v>0-2</v>
      </c>
    </row>
    <row r="612" spans="1:36" x14ac:dyDescent="0.35">
      <c r="A612">
        <v>611</v>
      </c>
      <c r="B612">
        <v>27</v>
      </c>
      <c r="C612" t="str">
        <f t="shared" si="38"/>
        <v>26-35</v>
      </c>
      <c r="D612" t="s">
        <v>38</v>
      </c>
      <c r="E612" t="s">
        <v>32</v>
      </c>
      <c r="F612" s="3">
        <v>1389</v>
      </c>
      <c r="G612" t="s">
        <v>40</v>
      </c>
      <c r="H612" s="1">
        <v>5</v>
      </c>
      <c r="I612" t="s">
        <v>59</v>
      </c>
      <c r="J612" t="s">
        <v>55</v>
      </c>
      <c r="K612" t="s">
        <v>60</v>
      </c>
      <c r="L612" t="s">
        <v>41</v>
      </c>
      <c r="M612" s="3">
        <v>42</v>
      </c>
      <c r="N612" t="s">
        <v>61</v>
      </c>
      <c r="O612" t="s">
        <v>60</v>
      </c>
      <c r="P612" t="s">
        <v>53</v>
      </c>
      <c r="Q612" t="s">
        <v>62</v>
      </c>
      <c r="R612" t="s">
        <v>47</v>
      </c>
      <c r="S612" s="3">
        <v>12808</v>
      </c>
      <c r="T612" s="3">
        <v>8842</v>
      </c>
      <c r="U612" s="3" t="str">
        <f t="shared" si="39"/>
        <v>High</v>
      </c>
      <c r="V612">
        <v>1</v>
      </c>
      <c r="W612" t="s">
        <v>31</v>
      </c>
      <c r="X612" s="2">
        <v>16</v>
      </c>
      <c r="Y612" t="s">
        <v>60</v>
      </c>
      <c r="Z612" t="s">
        <v>61</v>
      </c>
      <c r="AA612">
        <v>1</v>
      </c>
      <c r="AB612">
        <v>9</v>
      </c>
      <c r="AC612">
        <v>3</v>
      </c>
      <c r="AD612">
        <v>3</v>
      </c>
      <c r="AE612">
        <v>9</v>
      </c>
      <c r="AF612">
        <v>8</v>
      </c>
      <c r="AG612">
        <v>0</v>
      </c>
      <c r="AH612">
        <v>8</v>
      </c>
      <c r="AI612" t="str">
        <f t="shared" si="36"/>
        <v>6-10 Years</v>
      </c>
      <c r="AJ612" t="str">
        <f t="shared" si="37"/>
        <v>0-2</v>
      </c>
    </row>
    <row r="613" spans="1:36" x14ac:dyDescent="0.35">
      <c r="A613">
        <v>612</v>
      </c>
      <c r="B613">
        <v>35</v>
      </c>
      <c r="C613" t="str">
        <f t="shared" si="38"/>
        <v>26-35</v>
      </c>
      <c r="D613" t="s">
        <v>38</v>
      </c>
      <c r="E613" t="s">
        <v>32</v>
      </c>
      <c r="F613" s="3">
        <v>1389</v>
      </c>
      <c r="G613" t="s">
        <v>40</v>
      </c>
      <c r="H613" s="1">
        <v>7</v>
      </c>
      <c r="I613" t="s">
        <v>61</v>
      </c>
      <c r="J613" t="s">
        <v>44</v>
      </c>
      <c r="K613" t="s">
        <v>60</v>
      </c>
      <c r="L613" t="s">
        <v>41</v>
      </c>
      <c r="M613" s="3">
        <v>59</v>
      </c>
      <c r="N613" t="s">
        <v>60</v>
      </c>
      <c r="O613" t="s">
        <v>60</v>
      </c>
      <c r="P613" t="s">
        <v>48</v>
      </c>
      <c r="Q613" t="s">
        <v>60</v>
      </c>
      <c r="R613" t="s">
        <v>37</v>
      </c>
      <c r="S613" s="3">
        <v>10221</v>
      </c>
      <c r="T613" s="3">
        <v>18869</v>
      </c>
      <c r="U613" s="3" t="str">
        <f t="shared" si="39"/>
        <v>High</v>
      </c>
      <c r="V613">
        <v>3</v>
      </c>
      <c r="W613" t="s">
        <v>38</v>
      </c>
      <c r="X613" s="2">
        <v>21</v>
      </c>
      <c r="Y613" t="s">
        <v>62</v>
      </c>
      <c r="Z613" t="s">
        <v>61</v>
      </c>
      <c r="AA613">
        <v>0</v>
      </c>
      <c r="AB613">
        <v>17</v>
      </c>
      <c r="AC613">
        <v>3</v>
      </c>
      <c r="AD613">
        <v>4</v>
      </c>
      <c r="AE613">
        <v>8</v>
      </c>
      <c r="AF613">
        <v>5</v>
      </c>
      <c r="AG613">
        <v>1</v>
      </c>
      <c r="AH613">
        <v>6</v>
      </c>
      <c r="AI613" t="str">
        <f t="shared" si="36"/>
        <v>6-10 Years</v>
      </c>
      <c r="AJ613" t="str">
        <f t="shared" si="37"/>
        <v>0-2</v>
      </c>
    </row>
    <row r="614" spans="1:36" x14ac:dyDescent="0.35">
      <c r="A614">
        <v>613</v>
      </c>
      <c r="B614">
        <v>28</v>
      </c>
      <c r="C614" t="str">
        <f t="shared" si="38"/>
        <v>26-35</v>
      </c>
      <c r="D614" t="s">
        <v>38</v>
      </c>
      <c r="E614" t="s">
        <v>32</v>
      </c>
      <c r="F614" s="3">
        <v>1389</v>
      </c>
      <c r="G614" t="s">
        <v>33</v>
      </c>
      <c r="H614" s="1">
        <v>2</v>
      </c>
      <c r="I614" t="s">
        <v>60</v>
      </c>
      <c r="J614" t="s">
        <v>54</v>
      </c>
      <c r="K614" t="s">
        <v>61</v>
      </c>
      <c r="L614" t="s">
        <v>35</v>
      </c>
      <c r="M614" s="3">
        <v>81</v>
      </c>
      <c r="N614" t="s">
        <v>60</v>
      </c>
      <c r="O614" t="s">
        <v>61</v>
      </c>
      <c r="P614" t="s">
        <v>36</v>
      </c>
      <c r="Q614" t="s">
        <v>61</v>
      </c>
      <c r="R614" t="s">
        <v>43</v>
      </c>
      <c r="S614" s="3">
        <v>4779</v>
      </c>
      <c r="T614" s="3">
        <v>3698</v>
      </c>
      <c r="U614" s="3" t="str">
        <f t="shared" si="39"/>
        <v>Low</v>
      </c>
      <c r="V614">
        <v>1</v>
      </c>
      <c r="W614" t="s">
        <v>31</v>
      </c>
      <c r="X614" s="2">
        <v>20</v>
      </c>
      <c r="Y614" t="s">
        <v>62</v>
      </c>
      <c r="Z614" t="s">
        <v>59</v>
      </c>
      <c r="AA614">
        <v>0</v>
      </c>
      <c r="AB614">
        <v>8</v>
      </c>
      <c r="AC614">
        <v>2</v>
      </c>
      <c r="AD614">
        <v>3</v>
      </c>
      <c r="AE614">
        <v>8</v>
      </c>
      <c r="AF614">
        <v>7</v>
      </c>
      <c r="AG614">
        <v>7</v>
      </c>
      <c r="AH614">
        <v>5</v>
      </c>
      <c r="AI614" t="str">
        <f t="shared" si="36"/>
        <v>6-10 Years</v>
      </c>
      <c r="AJ614" t="str">
        <f t="shared" si="37"/>
        <v>6+</v>
      </c>
    </row>
    <row r="615" spans="1:36" x14ac:dyDescent="0.35">
      <c r="A615">
        <v>614</v>
      </c>
      <c r="B615">
        <v>34</v>
      </c>
      <c r="C615" t="str">
        <f t="shared" si="38"/>
        <v>26-35</v>
      </c>
      <c r="D615" t="s">
        <v>38</v>
      </c>
      <c r="E615" t="s">
        <v>32</v>
      </c>
      <c r="F615" s="3">
        <v>1389</v>
      </c>
      <c r="G615" t="s">
        <v>56</v>
      </c>
      <c r="H615" s="1">
        <v>3</v>
      </c>
      <c r="I615" t="s">
        <v>58</v>
      </c>
      <c r="J615" t="s">
        <v>56</v>
      </c>
      <c r="K615" t="s">
        <v>60</v>
      </c>
      <c r="L615" t="s">
        <v>41</v>
      </c>
      <c r="M615" s="3">
        <v>88</v>
      </c>
      <c r="N615" t="s">
        <v>60</v>
      </c>
      <c r="O615" t="s">
        <v>59</v>
      </c>
      <c r="P615" t="s">
        <v>56</v>
      </c>
      <c r="Q615" t="s">
        <v>62</v>
      </c>
      <c r="R615" t="s">
        <v>43</v>
      </c>
      <c r="S615" s="3">
        <v>3737</v>
      </c>
      <c r="T615" s="3">
        <v>2243</v>
      </c>
      <c r="U615" s="3" t="str">
        <f t="shared" si="39"/>
        <v>Low</v>
      </c>
      <c r="V615">
        <v>0</v>
      </c>
      <c r="W615" t="s">
        <v>38</v>
      </c>
      <c r="X615" s="2">
        <v>19</v>
      </c>
      <c r="Y615" t="s">
        <v>60</v>
      </c>
      <c r="Z615" t="s">
        <v>60</v>
      </c>
      <c r="AA615">
        <v>1</v>
      </c>
      <c r="AB615">
        <v>4</v>
      </c>
      <c r="AC615">
        <v>1</v>
      </c>
      <c r="AD615">
        <v>1</v>
      </c>
      <c r="AE615">
        <v>3</v>
      </c>
      <c r="AF615">
        <v>2</v>
      </c>
      <c r="AG615">
        <v>0</v>
      </c>
      <c r="AH615">
        <v>2</v>
      </c>
      <c r="AI615" t="str">
        <f t="shared" si="36"/>
        <v>3-5 Years</v>
      </c>
      <c r="AJ615" t="str">
        <f t="shared" si="37"/>
        <v>0-2</v>
      </c>
    </row>
    <row r="616" spans="1:36" x14ac:dyDescent="0.35">
      <c r="A616">
        <v>615</v>
      </c>
      <c r="B616">
        <v>26</v>
      </c>
      <c r="C616" t="str">
        <f t="shared" si="38"/>
        <v>26-35</v>
      </c>
      <c r="D616" t="s">
        <v>31</v>
      </c>
      <c r="E616" t="s">
        <v>39</v>
      </c>
      <c r="F616" s="3">
        <v>1389</v>
      </c>
      <c r="G616" t="s">
        <v>40</v>
      </c>
      <c r="H616" s="1">
        <v>5</v>
      </c>
      <c r="I616" t="s">
        <v>58</v>
      </c>
      <c r="J616" t="s">
        <v>46</v>
      </c>
      <c r="K616" t="s">
        <v>60</v>
      </c>
      <c r="L616" t="s">
        <v>35</v>
      </c>
      <c r="M616" s="3">
        <v>88</v>
      </c>
      <c r="N616" t="s">
        <v>61</v>
      </c>
      <c r="O616" t="s">
        <v>59</v>
      </c>
      <c r="P616" t="s">
        <v>42</v>
      </c>
      <c r="Q616" t="s">
        <v>60</v>
      </c>
      <c r="R616" t="s">
        <v>43</v>
      </c>
      <c r="S616" s="3">
        <v>2366</v>
      </c>
      <c r="T616" s="3">
        <v>20898</v>
      </c>
      <c r="U616" s="3" t="str">
        <f t="shared" si="39"/>
        <v>Low</v>
      </c>
      <c r="V616">
        <v>1</v>
      </c>
      <c r="W616" t="s">
        <v>31</v>
      </c>
      <c r="X616" s="2">
        <v>14</v>
      </c>
      <c r="Y616" t="s">
        <v>60</v>
      </c>
      <c r="Z616" t="s">
        <v>59</v>
      </c>
      <c r="AA616">
        <v>1</v>
      </c>
      <c r="AB616">
        <v>8</v>
      </c>
      <c r="AC616">
        <v>2</v>
      </c>
      <c r="AD616">
        <v>3</v>
      </c>
      <c r="AE616">
        <v>8</v>
      </c>
      <c r="AF616">
        <v>7</v>
      </c>
      <c r="AG616">
        <v>1</v>
      </c>
      <c r="AH616">
        <v>7</v>
      </c>
      <c r="AI616" t="str">
        <f t="shared" si="36"/>
        <v>6-10 Years</v>
      </c>
      <c r="AJ616" t="str">
        <f t="shared" si="37"/>
        <v>0-2</v>
      </c>
    </row>
    <row r="617" spans="1:36" x14ac:dyDescent="0.35">
      <c r="A617">
        <v>616</v>
      </c>
      <c r="B617">
        <v>27</v>
      </c>
      <c r="C617" t="str">
        <f t="shared" si="38"/>
        <v>26-35</v>
      </c>
      <c r="D617" t="s">
        <v>38</v>
      </c>
      <c r="E617" t="s">
        <v>50</v>
      </c>
      <c r="F617" s="3">
        <v>1389</v>
      </c>
      <c r="G617" t="s">
        <v>40</v>
      </c>
      <c r="H617" s="1">
        <v>3</v>
      </c>
      <c r="I617" t="s">
        <v>61</v>
      </c>
      <c r="J617" t="s">
        <v>46</v>
      </c>
      <c r="K617" t="s">
        <v>62</v>
      </c>
      <c r="L617" t="s">
        <v>41</v>
      </c>
      <c r="M617" s="3">
        <v>50</v>
      </c>
      <c r="N617" t="s">
        <v>60</v>
      </c>
      <c r="O617" t="s">
        <v>59</v>
      </c>
      <c r="P617" t="s">
        <v>42</v>
      </c>
      <c r="Q617" t="s">
        <v>62</v>
      </c>
      <c r="R617" t="s">
        <v>43</v>
      </c>
      <c r="S617" s="3">
        <v>1706</v>
      </c>
      <c r="T617" s="3">
        <v>16571</v>
      </c>
      <c r="U617" s="3" t="str">
        <f t="shared" si="39"/>
        <v>Low</v>
      </c>
      <c r="V617">
        <v>1</v>
      </c>
      <c r="W617" t="s">
        <v>38</v>
      </c>
      <c r="X617" s="2">
        <v>11</v>
      </c>
      <c r="Y617" t="s">
        <v>60</v>
      </c>
      <c r="Z617" t="s">
        <v>60</v>
      </c>
      <c r="AA617">
        <v>3</v>
      </c>
      <c r="AB617">
        <v>0</v>
      </c>
      <c r="AC617">
        <v>6</v>
      </c>
      <c r="AD617">
        <v>2</v>
      </c>
      <c r="AE617">
        <v>0</v>
      </c>
      <c r="AF617">
        <v>0</v>
      </c>
      <c r="AG617">
        <v>0</v>
      </c>
      <c r="AH617">
        <v>0</v>
      </c>
      <c r="AI617" t="str">
        <f t="shared" si="36"/>
        <v>0-2 Years</v>
      </c>
      <c r="AJ617" t="str">
        <f t="shared" si="37"/>
        <v>0-2</v>
      </c>
    </row>
    <row r="618" spans="1:36" x14ac:dyDescent="0.35">
      <c r="A618">
        <v>617</v>
      </c>
      <c r="B618">
        <v>51</v>
      </c>
      <c r="C618" t="str">
        <f t="shared" si="38"/>
        <v>46-55</v>
      </c>
      <c r="D618" t="s">
        <v>38</v>
      </c>
      <c r="E618" t="s">
        <v>32</v>
      </c>
      <c r="F618" s="3">
        <v>1389</v>
      </c>
      <c r="G618" t="s">
        <v>33</v>
      </c>
      <c r="H618" s="1">
        <v>26</v>
      </c>
      <c r="I618" t="s">
        <v>60</v>
      </c>
      <c r="J618" t="s">
        <v>54</v>
      </c>
      <c r="K618" t="s">
        <v>59</v>
      </c>
      <c r="L618" t="s">
        <v>35</v>
      </c>
      <c r="M618" s="3">
        <v>66</v>
      </c>
      <c r="N618" t="s">
        <v>60</v>
      </c>
      <c r="O618" t="s">
        <v>62</v>
      </c>
      <c r="P618" t="s">
        <v>51</v>
      </c>
      <c r="Q618" t="s">
        <v>60</v>
      </c>
      <c r="R618" t="s">
        <v>43</v>
      </c>
      <c r="S618" s="3">
        <v>16307</v>
      </c>
      <c r="T618" s="3">
        <v>5594</v>
      </c>
      <c r="U618" s="3" t="str">
        <f t="shared" si="39"/>
        <v>High</v>
      </c>
      <c r="V618">
        <v>2</v>
      </c>
      <c r="W618" t="s">
        <v>38</v>
      </c>
      <c r="X618" s="2">
        <v>14</v>
      </c>
      <c r="Y618" t="s">
        <v>60</v>
      </c>
      <c r="Z618" t="s">
        <v>60</v>
      </c>
      <c r="AA618">
        <v>1</v>
      </c>
      <c r="AB618">
        <v>29</v>
      </c>
      <c r="AC618">
        <v>2</v>
      </c>
      <c r="AD618">
        <v>2</v>
      </c>
      <c r="AE618">
        <v>20</v>
      </c>
      <c r="AF618">
        <v>6</v>
      </c>
      <c r="AG618">
        <v>4</v>
      </c>
      <c r="AH618">
        <v>17</v>
      </c>
      <c r="AI618" t="str">
        <f t="shared" si="36"/>
        <v>10+ Years</v>
      </c>
      <c r="AJ618" t="str">
        <f t="shared" si="37"/>
        <v>3-5</v>
      </c>
    </row>
    <row r="619" spans="1:36" x14ac:dyDescent="0.35">
      <c r="A619">
        <v>618</v>
      </c>
      <c r="B619">
        <v>44</v>
      </c>
      <c r="C619" t="str">
        <f t="shared" si="38"/>
        <v>36-45</v>
      </c>
      <c r="D619" t="s">
        <v>38</v>
      </c>
      <c r="E619" t="s">
        <v>32</v>
      </c>
      <c r="F619" s="3">
        <v>1389</v>
      </c>
      <c r="G619" t="s">
        <v>40</v>
      </c>
      <c r="H619" s="1">
        <v>4</v>
      </c>
      <c r="I619" t="s">
        <v>61</v>
      </c>
      <c r="J619" t="s">
        <v>46</v>
      </c>
      <c r="K619" t="s">
        <v>62</v>
      </c>
      <c r="L619" t="s">
        <v>41</v>
      </c>
      <c r="M619" s="3">
        <v>50</v>
      </c>
      <c r="N619" t="s">
        <v>60</v>
      </c>
      <c r="O619" t="s">
        <v>61</v>
      </c>
      <c r="P619" t="s">
        <v>49</v>
      </c>
      <c r="Q619" t="s">
        <v>61</v>
      </c>
      <c r="R619" t="s">
        <v>37</v>
      </c>
      <c r="S619" s="3">
        <v>5933</v>
      </c>
      <c r="T619" s="3">
        <v>5197</v>
      </c>
      <c r="U619" s="3" t="str">
        <f t="shared" si="39"/>
        <v>Medium</v>
      </c>
      <c r="V619">
        <v>9</v>
      </c>
      <c r="W619" t="s">
        <v>38</v>
      </c>
      <c r="X619" s="2">
        <v>12</v>
      </c>
      <c r="Y619" t="s">
        <v>60</v>
      </c>
      <c r="Z619" t="s">
        <v>62</v>
      </c>
      <c r="AA619">
        <v>0</v>
      </c>
      <c r="AB619">
        <v>10</v>
      </c>
      <c r="AC619">
        <v>2</v>
      </c>
      <c r="AD619">
        <v>2</v>
      </c>
      <c r="AE619">
        <v>5</v>
      </c>
      <c r="AF619">
        <v>2</v>
      </c>
      <c r="AG619">
        <v>2</v>
      </c>
      <c r="AH619">
        <v>3</v>
      </c>
      <c r="AI619" t="str">
        <f t="shared" si="36"/>
        <v>3-5 Years</v>
      </c>
      <c r="AJ619" t="str">
        <f t="shared" si="37"/>
        <v>0-2</v>
      </c>
    </row>
    <row r="620" spans="1:36" x14ac:dyDescent="0.35">
      <c r="A620">
        <v>619</v>
      </c>
      <c r="B620">
        <v>25</v>
      </c>
      <c r="C620" t="str">
        <f t="shared" si="38"/>
        <v>18-25</v>
      </c>
      <c r="D620" t="s">
        <v>38</v>
      </c>
      <c r="E620" t="s">
        <v>32</v>
      </c>
      <c r="F620" s="3">
        <v>1389</v>
      </c>
      <c r="G620" t="s">
        <v>40</v>
      </c>
      <c r="H620" s="1">
        <v>2</v>
      </c>
      <c r="I620" t="s">
        <v>59</v>
      </c>
      <c r="J620" t="s">
        <v>46</v>
      </c>
      <c r="K620" t="s">
        <v>59</v>
      </c>
      <c r="L620" t="s">
        <v>41</v>
      </c>
      <c r="M620" s="3">
        <v>65</v>
      </c>
      <c r="N620" t="s">
        <v>62</v>
      </c>
      <c r="O620" t="s">
        <v>59</v>
      </c>
      <c r="P620" t="s">
        <v>42</v>
      </c>
      <c r="Q620" t="s">
        <v>59</v>
      </c>
      <c r="R620" t="s">
        <v>37</v>
      </c>
      <c r="S620" s="3">
        <v>3424</v>
      </c>
      <c r="T620" s="3">
        <v>21632</v>
      </c>
      <c r="U620" s="3" t="str">
        <f t="shared" si="39"/>
        <v>Low</v>
      </c>
      <c r="V620">
        <v>7</v>
      </c>
      <c r="W620" t="s">
        <v>38</v>
      </c>
      <c r="X620" s="2">
        <v>13</v>
      </c>
      <c r="Y620" t="s">
        <v>60</v>
      </c>
      <c r="Z620" t="s">
        <v>60</v>
      </c>
      <c r="AA620">
        <v>0</v>
      </c>
      <c r="AB620">
        <v>6</v>
      </c>
      <c r="AC620">
        <v>3</v>
      </c>
      <c r="AD620">
        <v>2</v>
      </c>
      <c r="AE620">
        <v>4</v>
      </c>
      <c r="AF620">
        <v>3</v>
      </c>
      <c r="AG620">
        <v>0</v>
      </c>
      <c r="AH620">
        <v>1</v>
      </c>
      <c r="AI620" t="str">
        <f t="shared" si="36"/>
        <v>3-5 Years</v>
      </c>
      <c r="AJ620" t="str">
        <f t="shared" si="37"/>
        <v>0-2</v>
      </c>
    </row>
    <row r="621" spans="1:36" x14ac:dyDescent="0.35">
      <c r="A621">
        <v>620</v>
      </c>
      <c r="B621">
        <v>33</v>
      </c>
      <c r="C621" t="str">
        <f t="shared" si="38"/>
        <v>26-35</v>
      </c>
      <c r="D621" t="s">
        <v>38</v>
      </c>
      <c r="E621" t="s">
        <v>32</v>
      </c>
      <c r="F621" s="3">
        <v>1389</v>
      </c>
      <c r="G621" t="s">
        <v>33</v>
      </c>
      <c r="H621" s="1">
        <v>1</v>
      </c>
      <c r="I621" t="s">
        <v>61</v>
      </c>
      <c r="J621" t="s">
        <v>46</v>
      </c>
      <c r="K621" t="s">
        <v>59</v>
      </c>
      <c r="L621" t="s">
        <v>41</v>
      </c>
      <c r="M621" s="3">
        <v>48</v>
      </c>
      <c r="N621" t="s">
        <v>62</v>
      </c>
      <c r="O621" t="s">
        <v>61</v>
      </c>
      <c r="P621" t="s">
        <v>36</v>
      </c>
      <c r="Q621" t="s">
        <v>59</v>
      </c>
      <c r="R621" t="s">
        <v>47</v>
      </c>
      <c r="S621" s="3">
        <v>4037</v>
      </c>
      <c r="T621" s="3">
        <v>21816</v>
      </c>
      <c r="U621" s="3" t="str">
        <f t="shared" si="39"/>
        <v>Low</v>
      </c>
      <c r="V621">
        <v>1</v>
      </c>
      <c r="W621" t="s">
        <v>38</v>
      </c>
      <c r="X621" s="2">
        <v>22</v>
      </c>
      <c r="Y621" t="s">
        <v>62</v>
      </c>
      <c r="Z621" t="s">
        <v>59</v>
      </c>
      <c r="AA621">
        <v>1</v>
      </c>
      <c r="AB621">
        <v>9</v>
      </c>
      <c r="AC621">
        <v>5</v>
      </c>
      <c r="AD621">
        <v>3</v>
      </c>
      <c r="AE621">
        <v>9</v>
      </c>
      <c r="AF621">
        <v>8</v>
      </c>
      <c r="AG621">
        <v>0</v>
      </c>
      <c r="AH621">
        <v>8</v>
      </c>
      <c r="AI621" t="str">
        <f t="shared" si="36"/>
        <v>6-10 Years</v>
      </c>
      <c r="AJ621" t="str">
        <f t="shared" si="37"/>
        <v>0-2</v>
      </c>
    </row>
    <row r="622" spans="1:36" x14ac:dyDescent="0.35">
      <c r="A622">
        <v>621</v>
      </c>
      <c r="B622">
        <v>35</v>
      </c>
      <c r="C622" t="str">
        <f t="shared" si="38"/>
        <v>26-35</v>
      </c>
      <c r="D622" t="s">
        <v>38</v>
      </c>
      <c r="E622" t="s">
        <v>32</v>
      </c>
      <c r="F622" s="3">
        <v>1389</v>
      </c>
      <c r="G622" t="s">
        <v>40</v>
      </c>
      <c r="H622" s="1">
        <v>27</v>
      </c>
      <c r="I622" t="s">
        <v>59</v>
      </c>
      <c r="J622" t="s">
        <v>46</v>
      </c>
      <c r="K622" t="s">
        <v>60</v>
      </c>
      <c r="L622" t="s">
        <v>35</v>
      </c>
      <c r="M622" s="3">
        <v>53</v>
      </c>
      <c r="N622" t="s">
        <v>61</v>
      </c>
      <c r="O622" t="s">
        <v>59</v>
      </c>
      <c r="P622" t="s">
        <v>42</v>
      </c>
      <c r="Q622" t="s">
        <v>59</v>
      </c>
      <c r="R622" t="s">
        <v>37</v>
      </c>
      <c r="S622" s="3">
        <v>2559</v>
      </c>
      <c r="T622" s="3">
        <v>17852</v>
      </c>
      <c r="U622" s="3" t="str">
        <f t="shared" si="39"/>
        <v>Low</v>
      </c>
      <c r="V622">
        <v>1</v>
      </c>
      <c r="W622" t="s">
        <v>38</v>
      </c>
      <c r="X622" s="2">
        <v>11</v>
      </c>
      <c r="Y622" t="s">
        <v>60</v>
      </c>
      <c r="Z622" t="s">
        <v>62</v>
      </c>
      <c r="AA622">
        <v>0</v>
      </c>
      <c r="AB622">
        <v>6</v>
      </c>
      <c r="AC622">
        <v>3</v>
      </c>
      <c r="AD622">
        <v>2</v>
      </c>
      <c r="AE622">
        <v>6</v>
      </c>
      <c r="AF622">
        <v>5</v>
      </c>
      <c r="AG622">
        <v>1</v>
      </c>
      <c r="AH622">
        <v>1</v>
      </c>
      <c r="AI622" t="str">
        <f t="shared" si="36"/>
        <v>6-10 Years</v>
      </c>
      <c r="AJ622" t="str">
        <f t="shared" si="37"/>
        <v>0-2</v>
      </c>
    </row>
    <row r="623" spans="1:36" x14ac:dyDescent="0.35">
      <c r="A623">
        <v>622</v>
      </c>
      <c r="B623">
        <v>36</v>
      </c>
      <c r="C623" t="str">
        <f t="shared" si="38"/>
        <v>36-45</v>
      </c>
      <c r="D623" t="s">
        <v>38</v>
      </c>
      <c r="E623" t="s">
        <v>32</v>
      </c>
      <c r="F623" s="3">
        <v>1389</v>
      </c>
      <c r="G623" t="s">
        <v>33</v>
      </c>
      <c r="H623" s="1">
        <v>1</v>
      </c>
      <c r="I623" t="s">
        <v>58</v>
      </c>
      <c r="J623" t="s">
        <v>34</v>
      </c>
      <c r="K623" t="s">
        <v>61</v>
      </c>
      <c r="L623" t="s">
        <v>41</v>
      </c>
      <c r="M623" s="3">
        <v>56</v>
      </c>
      <c r="N623" t="s">
        <v>60</v>
      </c>
      <c r="O623" t="s">
        <v>61</v>
      </c>
      <c r="P623" t="s">
        <v>36</v>
      </c>
      <c r="Q623" t="s">
        <v>62</v>
      </c>
      <c r="R623" t="s">
        <v>43</v>
      </c>
      <c r="S623" s="3">
        <v>6201</v>
      </c>
      <c r="T623" s="3">
        <v>2823</v>
      </c>
      <c r="U623" s="3" t="str">
        <f t="shared" si="39"/>
        <v>Medium</v>
      </c>
      <c r="V623">
        <v>1</v>
      </c>
      <c r="W623" t="s">
        <v>31</v>
      </c>
      <c r="X623" s="2">
        <v>14</v>
      </c>
      <c r="Y623" t="s">
        <v>60</v>
      </c>
      <c r="Z623" t="s">
        <v>62</v>
      </c>
      <c r="AA623">
        <v>1</v>
      </c>
      <c r="AB623">
        <v>18</v>
      </c>
      <c r="AC623">
        <v>1</v>
      </c>
      <c r="AD623">
        <v>2</v>
      </c>
      <c r="AE623">
        <v>18</v>
      </c>
      <c r="AF623">
        <v>14</v>
      </c>
      <c r="AG623">
        <v>4</v>
      </c>
      <c r="AH623">
        <v>11</v>
      </c>
      <c r="AI623" t="str">
        <f t="shared" si="36"/>
        <v>10+ Years</v>
      </c>
      <c r="AJ623" t="str">
        <f t="shared" si="37"/>
        <v>3-5</v>
      </c>
    </row>
    <row r="624" spans="1:36" x14ac:dyDescent="0.35">
      <c r="A624">
        <v>623</v>
      </c>
      <c r="B624">
        <v>32</v>
      </c>
      <c r="C624" t="str">
        <f t="shared" si="38"/>
        <v>26-35</v>
      </c>
      <c r="D624" t="s">
        <v>38</v>
      </c>
      <c r="E624" t="s">
        <v>32</v>
      </c>
      <c r="F624" s="3">
        <v>1389</v>
      </c>
      <c r="G624" t="s">
        <v>33</v>
      </c>
      <c r="H624" s="1">
        <v>13</v>
      </c>
      <c r="I624" t="s">
        <v>60</v>
      </c>
      <c r="J624" t="s">
        <v>34</v>
      </c>
      <c r="K624" t="s">
        <v>61</v>
      </c>
      <c r="L624" t="s">
        <v>41</v>
      </c>
      <c r="M624" s="3">
        <v>73</v>
      </c>
      <c r="N624" t="s">
        <v>60</v>
      </c>
      <c r="O624" t="s">
        <v>61</v>
      </c>
      <c r="P624" t="s">
        <v>36</v>
      </c>
      <c r="Q624" t="s">
        <v>62</v>
      </c>
      <c r="R624" t="s">
        <v>47</v>
      </c>
      <c r="S624" s="3">
        <v>4403</v>
      </c>
      <c r="T624" s="3">
        <v>9250</v>
      </c>
      <c r="U624" s="3" t="str">
        <f t="shared" si="39"/>
        <v>Low</v>
      </c>
      <c r="V624">
        <v>2</v>
      </c>
      <c r="W624" t="s">
        <v>38</v>
      </c>
      <c r="X624" s="2">
        <v>11</v>
      </c>
      <c r="Y624" t="s">
        <v>60</v>
      </c>
      <c r="Z624" t="s">
        <v>60</v>
      </c>
      <c r="AA624">
        <v>1</v>
      </c>
      <c r="AB624">
        <v>8</v>
      </c>
      <c r="AC624">
        <v>3</v>
      </c>
      <c r="AD624">
        <v>2</v>
      </c>
      <c r="AE624">
        <v>5</v>
      </c>
      <c r="AF624">
        <v>2</v>
      </c>
      <c r="AG624">
        <v>0</v>
      </c>
      <c r="AH624">
        <v>3</v>
      </c>
      <c r="AI624" t="str">
        <f t="shared" si="36"/>
        <v>3-5 Years</v>
      </c>
      <c r="AJ624" t="str">
        <f t="shared" si="37"/>
        <v>0-2</v>
      </c>
    </row>
    <row r="625" spans="1:36" x14ac:dyDescent="0.35">
      <c r="A625">
        <v>624</v>
      </c>
      <c r="B625">
        <v>30</v>
      </c>
      <c r="C625" t="str">
        <f t="shared" si="38"/>
        <v>26-35</v>
      </c>
      <c r="D625" t="s">
        <v>38</v>
      </c>
      <c r="E625" t="s">
        <v>39</v>
      </c>
      <c r="F625" s="3">
        <v>1389</v>
      </c>
      <c r="G625" t="s">
        <v>40</v>
      </c>
      <c r="H625" s="1">
        <v>5</v>
      </c>
      <c r="I625" t="s">
        <v>60</v>
      </c>
      <c r="J625" t="s">
        <v>34</v>
      </c>
      <c r="K625" t="s">
        <v>61</v>
      </c>
      <c r="L625" t="s">
        <v>41</v>
      </c>
      <c r="M625" s="3">
        <v>75</v>
      </c>
      <c r="N625" t="s">
        <v>61</v>
      </c>
      <c r="O625" t="s">
        <v>59</v>
      </c>
      <c r="P625" t="s">
        <v>42</v>
      </c>
      <c r="Q625" t="s">
        <v>62</v>
      </c>
      <c r="R625" t="s">
        <v>47</v>
      </c>
      <c r="S625" s="3">
        <v>3761</v>
      </c>
      <c r="T625" s="3">
        <v>2373</v>
      </c>
      <c r="U625" s="3" t="str">
        <f t="shared" si="39"/>
        <v>Low</v>
      </c>
      <c r="V625">
        <v>9</v>
      </c>
      <c r="W625" t="s">
        <v>38</v>
      </c>
      <c r="X625" s="2">
        <v>12</v>
      </c>
      <c r="Y625" t="s">
        <v>60</v>
      </c>
      <c r="Z625" t="s">
        <v>61</v>
      </c>
      <c r="AA625">
        <v>1</v>
      </c>
      <c r="AB625">
        <v>10</v>
      </c>
      <c r="AC625">
        <v>3</v>
      </c>
      <c r="AD625">
        <v>2</v>
      </c>
      <c r="AE625">
        <v>5</v>
      </c>
      <c r="AF625">
        <v>4</v>
      </c>
      <c r="AG625">
        <v>0</v>
      </c>
      <c r="AH625">
        <v>3</v>
      </c>
      <c r="AI625" t="str">
        <f t="shared" si="36"/>
        <v>3-5 Years</v>
      </c>
      <c r="AJ625" t="str">
        <f t="shared" si="37"/>
        <v>0-2</v>
      </c>
    </row>
    <row r="626" spans="1:36" x14ac:dyDescent="0.35">
      <c r="A626">
        <v>625</v>
      </c>
      <c r="B626">
        <v>53</v>
      </c>
      <c r="C626" t="str">
        <f t="shared" si="38"/>
        <v>46-55</v>
      </c>
      <c r="D626" t="s">
        <v>38</v>
      </c>
      <c r="E626" t="s">
        <v>32</v>
      </c>
      <c r="F626" s="3">
        <v>1389</v>
      </c>
      <c r="G626" t="s">
        <v>33</v>
      </c>
      <c r="H626" s="1">
        <v>7</v>
      </c>
      <c r="I626" t="s">
        <v>58</v>
      </c>
      <c r="J626" t="s">
        <v>54</v>
      </c>
      <c r="K626" t="s">
        <v>59</v>
      </c>
      <c r="L626" t="s">
        <v>35</v>
      </c>
      <c r="M626" s="3">
        <v>78</v>
      </c>
      <c r="N626" t="s">
        <v>61</v>
      </c>
      <c r="O626" t="s">
        <v>60</v>
      </c>
      <c r="P626" t="s">
        <v>36</v>
      </c>
      <c r="Q626" t="s">
        <v>62</v>
      </c>
      <c r="R626" t="s">
        <v>43</v>
      </c>
      <c r="S626" s="3">
        <v>10934</v>
      </c>
      <c r="T626" s="3">
        <v>20715</v>
      </c>
      <c r="U626" s="3" t="str">
        <f t="shared" si="39"/>
        <v>High</v>
      </c>
      <c r="V626">
        <v>7</v>
      </c>
      <c r="W626" t="s">
        <v>31</v>
      </c>
      <c r="X626" s="2">
        <v>18</v>
      </c>
      <c r="Y626" t="s">
        <v>60</v>
      </c>
      <c r="Z626" t="s">
        <v>62</v>
      </c>
      <c r="AA626">
        <v>1</v>
      </c>
      <c r="AB626">
        <v>35</v>
      </c>
      <c r="AC626">
        <v>3</v>
      </c>
      <c r="AD626">
        <v>3</v>
      </c>
      <c r="AE626">
        <v>5</v>
      </c>
      <c r="AF626">
        <v>2</v>
      </c>
      <c r="AG626">
        <v>0</v>
      </c>
      <c r="AH626">
        <v>4</v>
      </c>
      <c r="AI626" t="str">
        <f t="shared" si="36"/>
        <v>3-5 Years</v>
      </c>
      <c r="AJ626" t="str">
        <f t="shared" si="37"/>
        <v>0-2</v>
      </c>
    </row>
    <row r="627" spans="1:36" x14ac:dyDescent="0.35">
      <c r="A627">
        <v>626</v>
      </c>
      <c r="B627">
        <v>45</v>
      </c>
      <c r="C627" t="str">
        <f t="shared" si="38"/>
        <v>36-45</v>
      </c>
      <c r="D627" t="s">
        <v>38</v>
      </c>
      <c r="E627" t="s">
        <v>32</v>
      </c>
      <c r="F627" s="3">
        <v>1389</v>
      </c>
      <c r="G627" t="s">
        <v>33</v>
      </c>
      <c r="H627" s="1">
        <v>9</v>
      </c>
      <c r="I627" t="s">
        <v>61</v>
      </c>
      <c r="J627" t="s">
        <v>54</v>
      </c>
      <c r="K627" t="s">
        <v>62</v>
      </c>
      <c r="L627" t="s">
        <v>41</v>
      </c>
      <c r="M627" s="3">
        <v>74</v>
      </c>
      <c r="N627" t="s">
        <v>60</v>
      </c>
      <c r="O627" t="s">
        <v>60</v>
      </c>
      <c r="P627" t="s">
        <v>36</v>
      </c>
      <c r="Q627" t="s">
        <v>59</v>
      </c>
      <c r="R627" t="s">
        <v>47</v>
      </c>
      <c r="S627" s="3">
        <v>10761</v>
      </c>
      <c r="T627" s="3">
        <v>19239</v>
      </c>
      <c r="U627" s="3" t="str">
        <f t="shared" si="39"/>
        <v>High</v>
      </c>
      <c r="V627">
        <v>4</v>
      </c>
      <c r="W627" t="s">
        <v>31</v>
      </c>
      <c r="X627" s="2">
        <v>12</v>
      </c>
      <c r="Y627" t="s">
        <v>60</v>
      </c>
      <c r="Z627" t="s">
        <v>60</v>
      </c>
      <c r="AA627">
        <v>1</v>
      </c>
      <c r="AB627">
        <v>18</v>
      </c>
      <c r="AC627">
        <v>2</v>
      </c>
      <c r="AD627">
        <v>3</v>
      </c>
      <c r="AE627">
        <v>5</v>
      </c>
      <c r="AF627">
        <v>4</v>
      </c>
      <c r="AG627">
        <v>0</v>
      </c>
      <c r="AH627">
        <v>2</v>
      </c>
      <c r="AI627" t="str">
        <f t="shared" si="36"/>
        <v>3-5 Years</v>
      </c>
      <c r="AJ627" t="str">
        <f t="shared" si="37"/>
        <v>0-2</v>
      </c>
    </row>
    <row r="628" spans="1:36" x14ac:dyDescent="0.35">
      <c r="A628">
        <v>627</v>
      </c>
      <c r="B628">
        <v>32</v>
      </c>
      <c r="C628" t="str">
        <f t="shared" si="38"/>
        <v>26-35</v>
      </c>
      <c r="D628" t="s">
        <v>38</v>
      </c>
      <c r="E628" t="s">
        <v>32</v>
      </c>
      <c r="F628" s="3">
        <v>1389</v>
      </c>
      <c r="G628" t="s">
        <v>40</v>
      </c>
      <c r="H628" s="1">
        <v>8</v>
      </c>
      <c r="I628" t="s">
        <v>58</v>
      </c>
      <c r="J628" t="s">
        <v>46</v>
      </c>
      <c r="K628" t="s">
        <v>60</v>
      </c>
      <c r="L628" t="s">
        <v>35</v>
      </c>
      <c r="M628" s="3">
        <v>91</v>
      </c>
      <c r="N628" t="s">
        <v>62</v>
      </c>
      <c r="O628" t="s">
        <v>61</v>
      </c>
      <c r="P628" t="s">
        <v>42</v>
      </c>
      <c r="Q628" t="s">
        <v>60</v>
      </c>
      <c r="R628" t="s">
        <v>43</v>
      </c>
      <c r="S628" s="3">
        <v>5175</v>
      </c>
      <c r="T628" s="3">
        <v>22162</v>
      </c>
      <c r="U628" s="3" t="str">
        <f t="shared" si="39"/>
        <v>Medium</v>
      </c>
      <c r="V628">
        <v>5</v>
      </c>
      <c r="W628" t="s">
        <v>38</v>
      </c>
      <c r="X628" s="2">
        <v>12</v>
      </c>
      <c r="Y628" t="s">
        <v>60</v>
      </c>
      <c r="Z628" t="s">
        <v>60</v>
      </c>
      <c r="AA628">
        <v>1</v>
      </c>
      <c r="AB628">
        <v>9</v>
      </c>
      <c r="AC628">
        <v>3</v>
      </c>
      <c r="AD628">
        <v>2</v>
      </c>
      <c r="AE628">
        <v>5</v>
      </c>
      <c r="AF628">
        <v>3</v>
      </c>
      <c r="AG628">
        <v>1</v>
      </c>
      <c r="AH628">
        <v>3</v>
      </c>
      <c r="AI628" t="str">
        <f t="shared" si="36"/>
        <v>3-5 Years</v>
      </c>
      <c r="AJ628" t="str">
        <f t="shared" si="37"/>
        <v>0-2</v>
      </c>
    </row>
    <row r="629" spans="1:36" x14ac:dyDescent="0.35">
      <c r="A629">
        <v>628</v>
      </c>
      <c r="B629">
        <v>52</v>
      </c>
      <c r="C629" t="str">
        <f t="shared" si="38"/>
        <v>46-55</v>
      </c>
      <c r="D629" t="s">
        <v>38</v>
      </c>
      <c r="E629" t="s">
        <v>39</v>
      </c>
      <c r="F629" s="3">
        <v>1389</v>
      </c>
      <c r="G629" t="s">
        <v>40</v>
      </c>
      <c r="H629" s="1">
        <v>25</v>
      </c>
      <c r="I629" t="s">
        <v>60</v>
      </c>
      <c r="J629" t="s">
        <v>46</v>
      </c>
      <c r="K629" t="s">
        <v>60</v>
      </c>
      <c r="L629" t="s">
        <v>35</v>
      </c>
      <c r="M629" s="3">
        <v>81</v>
      </c>
      <c r="N629" t="s">
        <v>61</v>
      </c>
      <c r="O629" t="s">
        <v>62</v>
      </c>
      <c r="P629" t="s">
        <v>48</v>
      </c>
      <c r="Q629" t="s">
        <v>62</v>
      </c>
      <c r="R629" t="s">
        <v>43</v>
      </c>
      <c r="S629" s="3">
        <v>13826</v>
      </c>
      <c r="T629" s="3">
        <v>19028</v>
      </c>
      <c r="U629" s="3" t="str">
        <f t="shared" si="39"/>
        <v>High</v>
      </c>
      <c r="V629">
        <v>3</v>
      </c>
      <c r="W629" t="s">
        <v>38</v>
      </c>
      <c r="X629" s="2">
        <v>22</v>
      </c>
      <c r="Y629" t="s">
        <v>62</v>
      </c>
      <c r="Z629" t="s">
        <v>60</v>
      </c>
      <c r="AA629">
        <v>0</v>
      </c>
      <c r="AB629">
        <v>31</v>
      </c>
      <c r="AC629">
        <v>3</v>
      </c>
      <c r="AD629">
        <v>3</v>
      </c>
      <c r="AE629">
        <v>9</v>
      </c>
      <c r="AF629">
        <v>8</v>
      </c>
      <c r="AG629">
        <v>0</v>
      </c>
      <c r="AH629">
        <v>0</v>
      </c>
      <c r="AI629" t="str">
        <f t="shared" si="36"/>
        <v>6-10 Years</v>
      </c>
      <c r="AJ629" t="str">
        <f t="shared" si="37"/>
        <v>0-2</v>
      </c>
    </row>
    <row r="630" spans="1:36" x14ac:dyDescent="0.35">
      <c r="A630">
        <v>629</v>
      </c>
      <c r="B630">
        <v>37</v>
      </c>
      <c r="C630" t="str">
        <f t="shared" si="38"/>
        <v>36-45</v>
      </c>
      <c r="D630" t="s">
        <v>38</v>
      </c>
      <c r="E630" t="s">
        <v>32</v>
      </c>
      <c r="F630" s="3">
        <v>1389</v>
      </c>
      <c r="G630" t="s">
        <v>33</v>
      </c>
      <c r="H630" s="1">
        <v>16</v>
      </c>
      <c r="I630" t="s">
        <v>60</v>
      </c>
      <c r="J630" t="s">
        <v>54</v>
      </c>
      <c r="K630" t="s">
        <v>62</v>
      </c>
      <c r="L630" t="s">
        <v>41</v>
      </c>
      <c r="M630" s="3">
        <v>66</v>
      </c>
      <c r="N630" t="s">
        <v>61</v>
      </c>
      <c r="O630" t="s">
        <v>61</v>
      </c>
      <c r="P630" t="s">
        <v>36</v>
      </c>
      <c r="Q630" t="s">
        <v>60</v>
      </c>
      <c r="R630" t="s">
        <v>47</v>
      </c>
      <c r="S630" s="3">
        <v>6334</v>
      </c>
      <c r="T630" s="3">
        <v>24558</v>
      </c>
      <c r="U630" s="3" t="str">
        <f t="shared" si="39"/>
        <v>Medium</v>
      </c>
      <c r="V630">
        <v>4</v>
      </c>
      <c r="W630" t="s">
        <v>38</v>
      </c>
      <c r="X630" s="2">
        <v>19</v>
      </c>
      <c r="Y630" t="s">
        <v>60</v>
      </c>
      <c r="Z630" t="s">
        <v>62</v>
      </c>
      <c r="AA630">
        <v>2</v>
      </c>
      <c r="AB630">
        <v>9</v>
      </c>
      <c r="AC630">
        <v>2</v>
      </c>
      <c r="AD630">
        <v>3</v>
      </c>
      <c r="AE630">
        <v>1</v>
      </c>
      <c r="AF630">
        <v>0</v>
      </c>
      <c r="AG630">
        <v>0</v>
      </c>
      <c r="AH630">
        <v>0</v>
      </c>
      <c r="AI630" t="str">
        <f t="shared" si="36"/>
        <v>0-2 Years</v>
      </c>
      <c r="AJ630" t="str">
        <f t="shared" si="37"/>
        <v>0-2</v>
      </c>
    </row>
    <row r="631" spans="1:36" x14ac:dyDescent="0.35">
      <c r="A631">
        <v>630</v>
      </c>
      <c r="B631">
        <v>28</v>
      </c>
      <c r="C631" t="str">
        <f t="shared" si="38"/>
        <v>26-35</v>
      </c>
      <c r="D631" t="s">
        <v>38</v>
      </c>
      <c r="E631" t="s">
        <v>32</v>
      </c>
      <c r="F631" s="3">
        <v>1389</v>
      </c>
      <c r="G631" t="s">
        <v>56</v>
      </c>
      <c r="H631" s="1">
        <v>8</v>
      </c>
      <c r="I631" t="s">
        <v>58</v>
      </c>
      <c r="J631" t="s">
        <v>46</v>
      </c>
      <c r="K631" t="s">
        <v>61</v>
      </c>
      <c r="L631" t="s">
        <v>41</v>
      </c>
      <c r="M631" s="3">
        <v>63</v>
      </c>
      <c r="N631" t="s">
        <v>61</v>
      </c>
      <c r="O631" t="s">
        <v>59</v>
      </c>
      <c r="P631" t="s">
        <v>56</v>
      </c>
      <c r="Q631" t="s">
        <v>62</v>
      </c>
      <c r="R631" t="s">
        <v>47</v>
      </c>
      <c r="S631" s="3">
        <v>4936</v>
      </c>
      <c r="T631" s="3">
        <v>23965</v>
      </c>
      <c r="U631" s="3" t="str">
        <f t="shared" si="39"/>
        <v>Low</v>
      </c>
      <c r="V631">
        <v>1</v>
      </c>
      <c r="W631" t="s">
        <v>38</v>
      </c>
      <c r="X631" s="2">
        <v>13</v>
      </c>
      <c r="Y631" t="s">
        <v>60</v>
      </c>
      <c r="Z631" t="s">
        <v>62</v>
      </c>
      <c r="AA631">
        <v>1</v>
      </c>
      <c r="AB631">
        <v>6</v>
      </c>
      <c r="AC631">
        <v>6</v>
      </c>
      <c r="AD631">
        <v>3</v>
      </c>
      <c r="AE631">
        <v>5</v>
      </c>
      <c r="AF631">
        <v>1</v>
      </c>
      <c r="AG631">
        <v>0</v>
      </c>
      <c r="AH631">
        <v>4</v>
      </c>
      <c r="AI631" t="str">
        <f t="shared" si="36"/>
        <v>3-5 Years</v>
      </c>
      <c r="AJ631" t="str">
        <f t="shared" si="37"/>
        <v>0-2</v>
      </c>
    </row>
    <row r="632" spans="1:36" x14ac:dyDescent="0.35">
      <c r="A632">
        <v>631</v>
      </c>
      <c r="B632">
        <v>22</v>
      </c>
      <c r="C632" t="str">
        <f t="shared" si="38"/>
        <v>18-25</v>
      </c>
      <c r="D632" t="s">
        <v>38</v>
      </c>
      <c r="E632" t="s">
        <v>32</v>
      </c>
      <c r="F632" s="3">
        <v>1389</v>
      </c>
      <c r="G632" t="s">
        <v>40</v>
      </c>
      <c r="H632" s="1">
        <v>1</v>
      </c>
      <c r="I632" t="s">
        <v>58</v>
      </c>
      <c r="J632" t="s">
        <v>34</v>
      </c>
      <c r="K632" t="s">
        <v>62</v>
      </c>
      <c r="L632" t="s">
        <v>41</v>
      </c>
      <c r="M632" s="3">
        <v>33</v>
      </c>
      <c r="N632" t="s">
        <v>61</v>
      </c>
      <c r="O632" t="s">
        <v>61</v>
      </c>
      <c r="P632" t="s">
        <v>48</v>
      </c>
      <c r="Q632" t="s">
        <v>62</v>
      </c>
      <c r="R632" t="s">
        <v>43</v>
      </c>
      <c r="S632" s="3">
        <v>4775</v>
      </c>
      <c r="T632" s="3">
        <v>19146</v>
      </c>
      <c r="U632" s="3" t="str">
        <f t="shared" si="39"/>
        <v>Low</v>
      </c>
      <c r="V632">
        <v>6</v>
      </c>
      <c r="W632" t="s">
        <v>38</v>
      </c>
      <c r="X632" s="2">
        <v>22</v>
      </c>
      <c r="Y632" t="s">
        <v>62</v>
      </c>
      <c r="Z632" t="s">
        <v>59</v>
      </c>
      <c r="AA632">
        <v>2</v>
      </c>
      <c r="AB632">
        <v>4</v>
      </c>
      <c r="AC632">
        <v>2</v>
      </c>
      <c r="AD632">
        <v>1</v>
      </c>
      <c r="AE632">
        <v>2</v>
      </c>
      <c r="AF632">
        <v>2</v>
      </c>
      <c r="AG632">
        <v>2</v>
      </c>
      <c r="AH632">
        <v>2</v>
      </c>
      <c r="AI632" t="str">
        <f t="shared" si="36"/>
        <v>0-2 Years</v>
      </c>
      <c r="AJ632" t="str">
        <f t="shared" si="37"/>
        <v>0-2</v>
      </c>
    </row>
    <row r="633" spans="1:36" x14ac:dyDescent="0.35">
      <c r="A633">
        <v>632</v>
      </c>
      <c r="B633">
        <v>44</v>
      </c>
      <c r="C633" t="str">
        <f t="shared" si="38"/>
        <v>36-45</v>
      </c>
      <c r="D633" t="s">
        <v>38</v>
      </c>
      <c r="E633" t="s">
        <v>32</v>
      </c>
      <c r="F633" s="3">
        <v>1389</v>
      </c>
      <c r="G633" t="s">
        <v>40</v>
      </c>
      <c r="H633" s="1">
        <v>8</v>
      </c>
      <c r="I633" t="s">
        <v>60</v>
      </c>
      <c r="J633" t="s">
        <v>34</v>
      </c>
      <c r="K633" t="s">
        <v>59</v>
      </c>
      <c r="L633" t="s">
        <v>41</v>
      </c>
      <c r="M633" s="3">
        <v>62</v>
      </c>
      <c r="N633" t="s">
        <v>62</v>
      </c>
      <c r="O633" t="s">
        <v>59</v>
      </c>
      <c r="P633" t="s">
        <v>45</v>
      </c>
      <c r="Q633" t="s">
        <v>62</v>
      </c>
      <c r="R633" t="s">
        <v>43</v>
      </c>
      <c r="S633" s="3">
        <v>2818</v>
      </c>
      <c r="T633" s="3">
        <v>5044</v>
      </c>
      <c r="U633" s="3" t="str">
        <f t="shared" si="39"/>
        <v>Low</v>
      </c>
      <c r="V633">
        <v>2</v>
      </c>
      <c r="W633" t="s">
        <v>31</v>
      </c>
      <c r="X633" s="2">
        <v>24</v>
      </c>
      <c r="Y633" t="s">
        <v>62</v>
      </c>
      <c r="Z633" t="s">
        <v>60</v>
      </c>
      <c r="AA633">
        <v>1</v>
      </c>
      <c r="AB633">
        <v>10</v>
      </c>
      <c r="AC633">
        <v>2</v>
      </c>
      <c r="AD633">
        <v>2</v>
      </c>
      <c r="AE633">
        <v>3</v>
      </c>
      <c r="AF633">
        <v>2</v>
      </c>
      <c r="AG633">
        <v>0</v>
      </c>
      <c r="AH633">
        <v>2</v>
      </c>
      <c r="AI633" t="str">
        <f t="shared" si="36"/>
        <v>3-5 Years</v>
      </c>
      <c r="AJ633" t="str">
        <f t="shared" si="37"/>
        <v>0-2</v>
      </c>
    </row>
    <row r="634" spans="1:36" x14ac:dyDescent="0.35">
      <c r="A634">
        <v>633</v>
      </c>
      <c r="B634">
        <v>42</v>
      </c>
      <c r="C634" t="str">
        <f t="shared" si="38"/>
        <v>36-45</v>
      </c>
      <c r="D634" t="s">
        <v>38</v>
      </c>
      <c r="E634" t="s">
        <v>39</v>
      </c>
      <c r="F634" s="3">
        <v>1389</v>
      </c>
      <c r="G634" t="s">
        <v>40</v>
      </c>
      <c r="H634" s="1">
        <v>2</v>
      </c>
      <c r="I634" t="s">
        <v>59</v>
      </c>
      <c r="J634" t="s">
        <v>46</v>
      </c>
      <c r="K634" t="s">
        <v>61</v>
      </c>
      <c r="L634" t="s">
        <v>41</v>
      </c>
      <c r="M634" s="3">
        <v>35</v>
      </c>
      <c r="N634" t="s">
        <v>60</v>
      </c>
      <c r="O634" t="s">
        <v>59</v>
      </c>
      <c r="P634" t="s">
        <v>42</v>
      </c>
      <c r="Q634" t="s">
        <v>62</v>
      </c>
      <c r="R634" t="s">
        <v>37</v>
      </c>
      <c r="S634" s="3">
        <v>2515</v>
      </c>
      <c r="T634" s="3">
        <v>9068</v>
      </c>
      <c r="U634" s="3" t="str">
        <f t="shared" si="39"/>
        <v>Low</v>
      </c>
      <c r="V634">
        <v>5</v>
      </c>
      <c r="W634" t="s">
        <v>31</v>
      </c>
      <c r="X634" s="2">
        <v>14</v>
      </c>
      <c r="Y634" t="s">
        <v>60</v>
      </c>
      <c r="Z634" t="s">
        <v>62</v>
      </c>
      <c r="AA634">
        <v>0</v>
      </c>
      <c r="AB634">
        <v>8</v>
      </c>
      <c r="AC634">
        <v>2</v>
      </c>
      <c r="AD634">
        <v>3</v>
      </c>
      <c r="AE634">
        <v>2</v>
      </c>
      <c r="AF634">
        <v>1</v>
      </c>
      <c r="AG634">
        <v>2</v>
      </c>
      <c r="AH634">
        <v>2</v>
      </c>
      <c r="AI634" t="str">
        <f t="shared" si="36"/>
        <v>0-2 Years</v>
      </c>
      <c r="AJ634" t="str">
        <f t="shared" si="37"/>
        <v>0-2</v>
      </c>
    </row>
    <row r="635" spans="1:36" x14ac:dyDescent="0.35">
      <c r="A635">
        <v>634</v>
      </c>
      <c r="B635">
        <v>36</v>
      </c>
      <c r="C635" t="str">
        <f t="shared" si="38"/>
        <v>36-45</v>
      </c>
      <c r="D635" t="s">
        <v>38</v>
      </c>
      <c r="E635" t="s">
        <v>32</v>
      </c>
      <c r="F635" s="3">
        <v>1389</v>
      </c>
      <c r="G635" t="s">
        <v>56</v>
      </c>
      <c r="H635" s="1">
        <v>8</v>
      </c>
      <c r="I635" t="s">
        <v>61</v>
      </c>
      <c r="J635" t="s">
        <v>34</v>
      </c>
      <c r="K635" t="s">
        <v>59</v>
      </c>
      <c r="L635" t="s">
        <v>41</v>
      </c>
      <c r="M635" s="3">
        <v>77</v>
      </c>
      <c r="N635" t="s">
        <v>61</v>
      </c>
      <c r="O635" t="s">
        <v>59</v>
      </c>
      <c r="P635" t="s">
        <v>56</v>
      </c>
      <c r="Q635" t="s">
        <v>59</v>
      </c>
      <c r="R635" t="s">
        <v>43</v>
      </c>
      <c r="S635" s="3">
        <v>2342</v>
      </c>
      <c r="T635" s="3">
        <v>8635</v>
      </c>
      <c r="U635" s="3" t="str">
        <f t="shared" si="39"/>
        <v>Low</v>
      </c>
      <c r="V635">
        <v>0</v>
      </c>
      <c r="W635" t="s">
        <v>38</v>
      </c>
      <c r="X635" s="2">
        <v>21</v>
      </c>
      <c r="Y635" t="s">
        <v>62</v>
      </c>
      <c r="Z635" t="s">
        <v>60</v>
      </c>
      <c r="AA635">
        <v>0</v>
      </c>
      <c r="AB635">
        <v>6</v>
      </c>
      <c r="AC635">
        <v>3</v>
      </c>
      <c r="AD635">
        <v>3</v>
      </c>
      <c r="AE635">
        <v>5</v>
      </c>
      <c r="AF635">
        <v>4</v>
      </c>
      <c r="AG635">
        <v>0</v>
      </c>
      <c r="AH635">
        <v>3</v>
      </c>
      <c r="AI635" t="str">
        <f t="shared" si="36"/>
        <v>3-5 Years</v>
      </c>
      <c r="AJ635" t="str">
        <f t="shared" si="37"/>
        <v>0-2</v>
      </c>
    </row>
    <row r="636" spans="1:36" x14ac:dyDescent="0.35">
      <c r="A636">
        <v>635</v>
      </c>
      <c r="B636">
        <v>25</v>
      </c>
      <c r="C636" t="str">
        <f t="shared" si="38"/>
        <v>18-25</v>
      </c>
      <c r="D636" t="s">
        <v>38</v>
      </c>
      <c r="E636" t="s">
        <v>32</v>
      </c>
      <c r="F636" s="3">
        <v>1389</v>
      </c>
      <c r="G636" t="s">
        <v>33</v>
      </c>
      <c r="H636" s="1">
        <v>3</v>
      </c>
      <c r="I636" t="s">
        <v>59</v>
      </c>
      <c r="J636" t="s">
        <v>44</v>
      </c>
      <c r="K636" t="s">
        <v>60</v>
      </c>
      <c r="L636" t="s">
        <v>41</v>
      </c>
      <c r="M636" s="3">
        <v>98</v>
      </c>
      <c r="N636" t="s">
        <v>60</v>
      </c>
      <c r="O636" t="s">
        <v>61</v>
      </c>
      <c r="P636" t="s">
        <v>36</v>
      </c>
      <c r="Q636" t="s">
        <v>59</v>
      </c>
      <c r="R636" t="s">
        <v>43</v>
      </c>
      <c r="S636" s="3">
        <v>4194</v>
      </c>
      <c r="T636" s="3">
        <v>14363</v>
      </c>
      <c r="U636" s="3" t="str">
        <f t="shared" si="39"/>
        <v>Low</v>
      </c>
      <c r="V636">
        <v>1</v>
      </c>
      <c r="W636" t="s">
        <v>31</v>
      </c>
      <c r="X636" s="2">
        <v>18</v>
      </c>
      <c r="Y636" t="s">
        <v>60</v>
      </c>
      <c r="Z636" t="s">
        <v>62</v>
      </c>
      <c r="AA636">
        <v>0</v>
      </c>
      <c r="AB636">
        <v>5</v>
      </c>
      <c r="AC636">
        <v>3</v>
      </c>
      <c r="AD636">
        <v>3</v>
      </c>
      <c r="AE636">
        <v>5</v>
      </c>
      <c r="AF636">
        <v>3</v>
      </c>
      <c r="AG636">
        <v>0</v>
      </c>
      <c r="AH636">
        <v>3</v>
      </c>
      <c r="AI636" t="str">
        <f t="shared" si="36"/>
        <v>3-5 Years</v>
      </c>
      <c r="AJ636" t="str">
        <f t="shared" si="37"/>
        <v>0-2</v>
      </c>
    </row>
    <row r="637" spans="1:36" x14ac:dyDescent="0.35">
      <c r="A637">
        <v>636</v>
      </c>
      <c r="B637">
        <v>35</v>
      </c>
      <c r="C637" t="str">
        <f t="shared" si="38"/>
        <v>26-35</v>
      </c>
      <c r="D637" t="s">
        <v>38</v>
      </c>
      <c r="E637" t="s">
        <v>32</v>
      </c>
      <c r="F637" s="3">
        <v>1389</v>
      </c>
      <c r="G637" t="s">
        <v>40</v>
      </c>
      <c r="H637" s="1">
        <v>9</v>
      </c>
      <c r="I637" t="s">
        <v>61</v>
      </c>
      <c r="J637" t="s">
        <v>34</v>
      </c>
      <c r="K637" t="s">
        <v>62</v>
      </c>
      <c r="L637" t="s">
        <v>35</v>
      </c>
      <c r="M637" s="3">
        <v>66</v>
      </c>
      <c r="N637" t="s">
        <v>61</v>
      </c>
      <c r="O637" t="s">
        <v>60</v>
      </c>
      <c r="P637" t="s">
        <v>48</v>
      </c>
      <c r="Q637" t="s">
        <v>60</v>
      </c>
      <c r="R637" t="s">
        <v>43</v>
      </c>
      <c r="S637" s="3">
        <v>10685</v>
      </c>
      <c r="T637" s="3">
        <v>23457</v>
      </c>
      <c r="U637" s="3" t="str">
        <f t="shared" si="39"/>
        <v>High</v>
      </c>
      <c r="V637">
        <v>1</v>
      </c>
      <c r="W637" t="s">
        <v>31</v>
      </c>
      <c r="X637" s="2">
        <v>20</v>
      </c>
      <c r="Y637" t="s">
        <v>62</v>
      </c>
      <c r="Z637" t="s">
        <v>61</v>
      </c>
      <c r="AA637">
        <v>1</v>
      </c>
      <c r="AB637">
        <v>17</v>
      </c>
      <c r="AC637">
        <v>2</v>
      </c>
      <c r="AD637">
        <v>3</v>
      </c>
      <c r="AE637">
        <v>17</v>
      </c>
      <c r="AF637">
        <v>14</v>
      </c>
      <c r="AG637">
        <v>5</v>
      </c>
      <c r="AH637">
        <v>15</v>
      </c>
      <c r="AI637" t="str">
        <f t="shared" si="36"/>
        <v>10+ Years</v>
      </c>
      <c r="AJ637" t="str">
        <f t="shared" si="37"/>
        <v>3-5</v>
      </c>
    </row>
    <row r="638" spans="1:36" x14ac:dyDescent="0.35">
      <c r="A638">
        <v>637</v>
      </c>
      <c r="B638">
        <v>35</v>
      </c>
      <c r="C638" t="str">
        <f t="shared" si="38"/>
        <v>26-35</v>
      </c>
      <c r="D638" t="s">
        <v>31</v>
      </c>
      <c r="E638" t="s">
        <v>39</v>
      </c>
      <c r="F638" s="3">
        <v>1389</v>
      </c>
      <c r="G638" t="s">
        <v>40</v>
      </c>
      <c r="H638" s="1">
        <v>25</v>
      </c>
      <c r="I638" t="s">
        <v>60</v>
      </c>
      <c r="J638" t="s">
        <v>34</v>
      </c>
      <c r="K638" t="s">
        <v>62</v>
      </c>
      <c r="L638" t="s">
        <v>35</v>
      </c>
      <c r="M638" s="3">
        <v>96</v>
      </c>
      <c r="N638" t="s">
        <v>60</v>
      </c>
      <c r="O638" t="s">
        <v>59</v>
      </c>
      <c r="P638" t="s">
        <v>42</v>
      </c>
      <c r="Q638" t="s">
        <v>61</v>
      </c>
      <c r="R638" t="s">
        <v>47</v>
      </c>
      <c r="S638" s="3">
        <v>2022</v>
      </c>
      <c r="T638" s="3">
        <v>16612</v>
      </c>
      <c r="U638" s="3" t="str">
        <f t="shared" si="39"/>
        <v>Low</v>
      </c>
      <c r="V638">
        <v>1</v>
      </c>
      <c r="W638" t="s">
        <v>31</v>
      </c>
      <c r="X638" s="2">
        <v>19</v>
      </c>
      <c r="Y638" t="s">
        <v>60</v>
      </c>
      <c r="Z638" t="s">
        <v>59</v>
      </c>
      <c r="AA638">
        <v>1</v>
      </c>
      <c r="AB638">
        <v>10</v>
      </c>
      <c r="AC638">
        <v>3</v>
      </c>
      <c r="AD638">
        <v>2</v>
      </c>
      <c r="AE638">
        <v>10</v>
      </c>
      <c r="AF638">
        <v>2</v>
      </c>
      <c r="AG638">
        <v>7</v>
      </c>
      <c r="AH638">
        <v>8</v>
      </c>
      <c r="AI638" t="str">
        <f t="shared" si="36"/>
        <v>6-10 Years</v>
      </c>
      <c r="AJ638" t="str">
        <f t="shared" si="37"/>
        <v>6+</v>
      </c>
    </row>
    <row r="639" spans="1:36" x14ac:dyDescent="0.35">
      <c r="A639">
        <v>638</v>
      </c>
      <c r="B639">
        <v>32</v>
      </c>
      <c r="C639" t="str">
        <f t="shared" si="38"/>
        <v>26-35</v>
      </c>
      <c r="D639" t="s">
        <v>38</v>
      </c>
      <c r="E639" t="s">
        <v>50</v>
      </c>
      <c r="F639" s="3">
        <v>1389</v>
      </c>
      <c r="G639" t="s">
        <v>40</v>
      </c>
      <c r="H639" s="1">
        <v>1</v>
      </c>
      <c r="I639" t="s">
        <v>61</v>
      </c>
      <c r="J639" t="s">
        <v>34</v>
      </c>
      <c r="K639" t="s">
        <v>62</v>
      </c>
      <c r="L639" t="s">
        <v>41</v>
      </c>
      <c r="M639" s="3">
        <v>61</v>
      </c>
      <c r="N639" t="s">
        <v>60</v>
      </c>
      <c r="O639" t="s">
        <v>59</v>
      </c>
      <c r="P639" t="s">
        <v>45</v>
      </c>
      <c r="Q639" t="s">
        <v>62</v>
      </c>
      <c r="R639" t="s">
        <v>47</v>
      </c>
      <c r="S639" s="3">
        <v>2314</v>
      </c>
      <c r="T639" s="3">
        <v>9148</v>
      </c>
      <c r="U639" s="3" t="str">
        <f t="shared" si="39"/>
        <v>Low</v>
      </c>
      <c r="V639">
        <v>0</v>
      </c>
      <c r="W639" t="s">
        <v>38</v>
      </c>
      <c r="X639" s="2">
        <v>12</v>
      </c>
      <c r="Y639" t="s">
        <v>60</v>
      </c>
      <c r="Z639" t="s">
        <v>61</v>
      </c>
      <c r="AA639">
        <v>1</v>
      </c>
      <c r="AB639">
        <v>4</v>
      </c>
      <c r="AC639">
        <v>2</v>
      </c>
      <c r="AD639">
        <v>3</v>
      </c>
      <c r="AE639">
        <v>3</v>
      </c>
      <c r="AF639">
        <v>0</v>
      </c>
      <c r="AG639">
        <v>0</v>
      </c>
      <c r="AH639">
        <v>2</v>
      </c>
      <c r="AI639" t="str">
        <f t="shared" si="36"/>
        <v>3-5 Years</v>
      </c>
      <c r="AJ639" t="str">
        <f t="shared" si="37"/>
        <v>0-2</v>
      </c>
    </row>
    <row r="640" spans="1:36" x14ac:dyDescent="0.35">
      <c r="A640">
        <v>639</v>
      </c>
      <c r="B640">
        <v>25</v>
      </c>
      <c r="C640" t="str">
        <f t="shared" si="38"/>
        <v>18-25</v>
      </c>
      <c r="D640" t="s">
        <v>38</v>
      </c>
      <c r="E640" t="s">
        <v>32</v>
      </c>
      <c r="F640" s="3">
        <v>1389</v>
      </c>
      <c r="G640" t="s">
        <v>33</v>
      </c>
      <c r="H640" s="1">
        <v>4</v>
      </c>
      <c r="I640" t="s">
        <v>59</v>
      </c>
      <c r="J640" t="s">
        <v>54</v>
      </c>
      <c r="K640" t="s">
        <v>60</v>
      </c>
      <c r="L640" t="s">
        <v>41</v>
      </c>
      <c r="M640" s="3">
        <v>87</v>
      </c>
      <c r="N640" t="s">
        <v>61</v>
      </c>
      <c r="O640" t="s">
        <v>61</v>
      </c>
      <c r="P640" t="s">
        <v>36</v>
      </c>
      <c r="Q640" t="s">
        <v>59</v>
      </c>
      <c r="R640" t="s">
        <v>43</v>
      </c>
      <c r="S640" s="3">
        <v>4256</v>
      </c>
      <c r="T640" s="3">
        <v>18154</v>
      </c>
      <c r="U640" s="3" t="str">
        <f t="shared" si="39"/>
        <v>Low</v>
      </c>
      <c r="V640">
        <v>1</v>
      </c>
      <c r="W640" t="s">
        <v>38</v>
      </c>
      <c r="X640" s="2">
        <v>12</v>
      </c>
      <c r="Y640" t="s">
        <v>60</v>
      </c>
      <c r="Z640" t="s">
        <v>59</v>
      </c>
      <c r="AA640">
        <v>0</v>
      </c>
      <c r="AB640">
        <v>5</v>
      </c>
      <c r="AC640">
        <v>1</v>
      </c>
      <c r="AD640">
        <v>4</v>
      </c>
      <c r="AE640">
        <v>5</v>
      </c>
      <c r="AF640">
        <v>2</v>
      </c>
      <c r="AG640">
        <v>0</v>
      </c>
      <c r="AH640">
        <v>3</v>
      </c>
      <c r="AI640" t="str">
        <f t="shared" si="36"/>
        <v>3-5 Years</v>
      </c>
      <c r="AJ640" t="str">
        <f t="shared" si="37"/>
        <v>0-2</v>
      </c>
    </row>
    <row r="641" spans="1:36" x14ac:dyDescent="0.35">
      <c r="A641">
        <v>640</v>
      </c>
      <c r="B641">
        <v>49</v>
      </c>
      <c r="C641" t="str">
        <f t="shared" si="38"/>
        <v>46-55</v>
      </c>
      <c r="D641" t="s">
        <v>38</v>
      </c>
      <c r="E641" t="s">
        <v>32</v>
      </c>
      <c r="F641" s="3">
        <v>1389</v>
      </c>
      <c r="G641" t="s">
        <v>40</v>
      </c>
      <c r="H641" s="1">
        <v>1</v>
      </c>
      <c r="I641" t="s">
        <v>61</v>
      </c>
      <c r="J641" t="s">
        <v>55</v>
      </c>
      <c r="K641" t="s">
        <v>60</v>
      </c>
      <c r="L641" t="s">
        <v>35</v>
      </c>
      <c r="M641" s="3">
        <v>36</v>
      </c>
      <c r="N641" t="s">
        <v>60</v>
      </c>
      <c r="O641" t="s">
        <v>59</v>
      </c>
      <c r="P641" t="s">
        <v>42</v>
      </c>
      <c r="Q641" t="s">
        <v>59</v>
      </c>
      <c r="R641" t="s">
        <v>43</v>
      </c>
      <c r="S641" s="3">
        <v>3580</v>
      </c>
      <c r="T641" s="3">
        <v>10554</v>
      </c>
      <c r="U641" s="3" t="str">
        <f t="shared" si="39"/>
        <v>Low</v>
      </c>
      <c r="V641">
        <v>2</v>
      </c>
      <c r="W641" t="s">
        <v>38</v>
      </c>
      <c r="X641" s="2">
        <v>16</v>
      </c>
      <c r="Y641" t="s">
        <v>60</v>
      </c>
      <c r="Z641" t="s">
        <v>61</v>
      </c>
      <c r="AA641">
        <v>1</v>
      </c>
      <c r="AB641">
        <v>7</v>
      </c>
      <c r="AC641">
        <v>2</v>
      </c>
      <c r="AD641">
        <v>3</v>
      </c>
      <c r="AE641">
        <v>4</v>
      </c>
      <c r="AF641">
        <v>2</v>
      </c>
      <c r="AG641">
        <v>0</v>
      </c>
      <c r="AH641">
        <v>2</v>
      </c>
      <c r="AI641" t="str">
        <f t="shared" si="36"/>
        <v>3-5 Years</v>
      </c>
      <c r="AJ641" t="str">
        <f t="shared" si="37"/>
        <v>0-2</v>
      </c>
    </row>
    <row r="642" spans="1:36" x14ac:dyDescent="0.35">
      <c r="A642">
        <v>641</v>
      </c>
      <c r="B642">
        <v>24</v>
      </c>
      <c r="C642" t="str">
        <f t="shared" si="38"/>
        <v>18-25</v>
      </c>
      <c r="D642" t="s">
        <v>38</v>
      </c>
      <c r="E642" t="s">
        <v>50</v>
      </c>
      <c r="F642" s="3">
        <v>1389</v>
      </c>
      <c r="G642" t="s">
        <v>40</v>
      </c>
      <c r="H642" s="1">
        <v>4</v>
      </c>
      <c r="I642" t="s">
        <v>59</v>
      </c>
      <c r="J642" t="s">
        <v>34</v>
      </c>
      <c r="K642" t="s">
        <v>59</v>
      </c>
      <c r="L642" t="s">
        <v>41</v>
      </c>
      <c r="M642" s="3">
        <v>46</v>
      </c>
      <c r="N642" t="s">
        <v>61</v>
      </c>
      <c r="O642" t="s">
        <v>59</v>
      </c>
      <c r="P642" t="s">
        <v>45</v>
      </c>
      <c r="Q642" t="s">
        <v>62</v>
      </c>
      <c r="R642" t="s">
        <v>43</v>
      </c>
      <c r="S642" s="3">
        <v>3162</v>
      </c>
      <c r="T642" s="3">
        <v>10778</v>
      </c>
      <c r="U642" s="3" t="str">
        <f t="shared" si="39"/>
        <v>Low</v>
      </c>
      <c r="V642">
        <v>0</v>
      </c>
      <c r="W642" t="s">
        <v>38</v>
      </c>
      <c r="X642" s="2">
        <v>17</v>
      </c>
      <c r="Y642" t="s">
        <v>60</v>
      </c>
      <c r="Z642" t="s">
        <v>62</v>
      </c>
      <c r="AA642">
        <v>0</v>
      </c>
      <c r="AB642">
        <v>6</v>
      </c>
      <c r="AC642">
        <v>2</v>
      </c>
      <c r="AD642">
        <v>2</v>
      </c>
      <c r="AE642">
        <v>5</v>
      </c>
      <c r="AF642">
        <v>2</v>
      </c>
      <c r="AG642">
        <v>3</v>
      </c>
      <c r="AH642">
        <v>4</v>
      </c>
      <c r="AI642" t="str">
        <f t="shared" ref="AI642:AI705" si="40">IF(AE642&lt;=2,"0-2 Years",
IF(AE642&lt;=5,"3-5 Years",
IF(AE642&lt;=10,"6-10 Years","10+ Years")))</f>
        <v>3-5 Years</v>
      </c>
      <c r="AJ642" t="str">
        <f t="shared" ref="AJ642:AJ705" si="41">IF(AG642&lt;=2,"0-2",
IF(AG642&lt;=5,"3-5","6+"))</f>
        <v>3-5</v>
      </c>
    </row>
    <row r="643" spans="1:36" x14ac:dyDescent="0.35">
      <c r="A643">
        <v>642</v>
      </c>
      <c r="B643">
        <v>32</v>
      </c>
      <c r="C643" t="str">
        <f t="shared" ref="C643:C706" si="42">IF(B643&lt;=25,"18-25",
IF(B643&lt;=35,"26-35",
IF(B643&lt;=45,"36-45",
IF(B643&lt;=55,"46-55","55+"))))</f>
        <v>26-35</v>
      </c>
      <c r="D643" t="s">
        <v>38</v>
      </c>
      <c r="E643" t="s">
        <v>39</v>
      </c>
      <c r="F643" s="3">
        <v>1389</v>
      </c>
      <c r="G643" t="s">
        <v>33</v>
      </c>
      <c r="H643" s="1">
        <v>5</v>
      </c>
      <c r="I643" t="s">
        <v>58</v>
      </c>
      <c r="J643" t="s">
        <v>34</v>
      </c>
      <c r="K643" t="s">
        <v>61</v>
      </c>
      <c r="L643" t="s">
        <v>41</v>
      </c>
      <c r="M643" s="3">
        <v>48</v>
      </c>
      <c r="N643" t="s">
        <v>60</v>
      </c>
      <c r="O643" t="s">
        <v>61</v>
      </c>
      <c r="P643" t="s">
        <v>36</v>
      </c>
      <c r="Q643" t="s">
        <v>61</v>
      </c>
      <c r="R643" t="s">
        <v>43</v>
      </c>
      <c r="S643" s="3">
        <v>6524</v>
      </c>
      <c r="T643" s="3">
        <v>8891</v>
      </c>
      <c r="U643" s="3" t="str">
        <f t="shared" ref="U643:U706" si="43">_xlfn.IFS(S643&lt;5000,"Low",S643&lt;10000,"Medium",S643&gt;10000,"High")</f>
        <v>Medium</v>
      </c>
      <c r="V643">
        <v>1</v>
      </c>
      <c r="W643" t="s">
        <v>38</v>
      </c>
      <c r="X643" s="2">
        <v>14</v>
      </c>
      <c r="Y643" t="s">
        <v>60</v>
      </c>
      <c r="Z643" t="s">
        <v>62</v>
      </c>
      <c r="AA643">
        <v>1</v>
      </c>
      <c r="AB643">
        <v>10</v>
      </c>
      <c r="AC643">
        <v>3</v>
      </c>
      <c r="AD643">
        <v>3</v>
      </c>
      <c r="AE643">
        <v>10</v>
      </c>
      <c r="AF643">
        <v>8</v>
      </c>
      <c r="AG643">
        <v>5</v>
      </c>
      <c r="AH643">
        <v>3</v>
      </c>
      <c r="AI643" t="str">
        <f t="shared" si="40"/>
        <v>6-10 Years</v>
      </c>
      <c r="AJ643" t="str">
        <f t="shared" si="41"/>
        <v>3-5</v>
      </c>
    </row>
    <row r="644" spans="1:36" x14ac:dyDescent="0.35">
      <c r="A644">
        <v>643</v>
      </c>
      <c r="B644">
        <v>38</v>
      </c>
      <c r="C644" t="str">
        <f t="shared" si="42"/>
        <v>36-45</v>
      </c>
      <c r="D644" t="s">
        <v>38</v>
      </c>
      <c r="E644" t="s">
        <v>32</v>
      </c>
      <c r="F644" s="3">
        <v>1389</v>
      </c>
      <c r="G644" t="s">
        <v>33</v>
      </c>
      <c r="H644" s="1">
        <v>9</v>
      </c>
      <c r="I644" t="s">
        <v>61</v>
      </c>
      <c r="J644" t="s">
        <v>54</v>
      </c>
      <c r="K644" t="s">
        <v>61</v>
      </c>
      <c r="L644" t="s">
        <v>41</v>
      </c>
      <c r="M644" s="3">
        <v>98</v>
      </c>
      <c r="N644" t="s">
        <v>61</v>
      </c>
      <c r="O644" t="s">
        <v>59</v>
      </c>
      <c r="P644" t="s">
        <v>52</v>
      </c>
      <c r="Q644" t="s">
        <v>61</v>
      </c>
      <c r="R644" t="s">
        <v>43</v>
      </c>
      <c r="S644" s="3">
        <v>2899</v>
      </c>
      <c r="T644" s="3">
        <v>12102</v>
      </c>
      <c r="U644" s="3" t="str">
        <f t="shared" si="43"/>
        <v>Low</v>
      </c>
      <c r="V644">
        <v>0</v>
      </c>
      <c r="W644" t="s">
        <v>38</v>
      </c>
      <c r="X644" s="2">
        <v>19</v>
      </c>
      <c r="Y644" t="s">
        <v>60</v>
      </c>
      <c r="Z644" t="s">
        <v>62</v>
      </c>
      <c r="AA644">
        <v>1</v>
      </c>
      <c r="AB644">
        <v>3</v>
      </c>
      <c r="AC644">
        <v>3</v>
      </c>
      <c r="AD644">
        <v>3</v>
      </c>
      <c r="AE644">
        <v>2</v>
      </c>
      <c r="AF644">
        <v>2</v>
      </c>
      <c r="AG644">
        <v>1</v>
      </c>
      <c r="AH644">
        <v>2</v>
      </c>
      <c r="AI644" t="str">
        <f t="shared" si="40"/>
        <v>0-2 Years</v>
      </c>
      <c r="AJ644" t="str">
        <f t="shared" si="41"/>
        <v>0-2</v>
      </c>
    </row>
    <row r="645" spans="1:36" x14ac:dyDescent="0.35">
      <c r="A645">
        <v>644</v>
      </c>
      <c r="B645">
        <v>42</v>
      </c>
      <c r="C645" t="str">
        <f t="shared" si="42"/>
        <v>36-45</v>
      </c>
      <c r="D645" t="s">
        <v>38</v>
      </c>
      <c r="E645" t="s">
        <v>32</v>
      </c>
      <c r="F645" s="3">
        <v>1389</v>
      </c>
      <c r="G645" t="s">
        <v>40</v>
      </c>
      <c r="H645" s="1">
        <v>3</v>
      </c>
      <c r="I645" t="s">
        <v>61</v>
      </c>
      <c r="J645" t="s">
        <v>34</v>
      </c>
      <c r="K645" t="s">
        <v>60</v>
      </c>
      <c r="L645" t="s">
        <v>35</v>
      </c>
      <c r="M645" s="3">
        <v>95</v>
      </c>
      <c r="N645" t="s">
        <v>62</v>
      </c>
      <c r="O645" t="s">
        <v>61</v>
      </c>
      <c r="P645" t="s">
        <v>45</v>
      </c>
      <c r="Q645" t="s">
        <v>62</v>
      </c>
      <c r="R645" t="s">
        <v>43</v>
      </c>
      <c r="S645" s="3">
        <v>5231</v>
      </c>
      <c r="T645" s="3">
        <v>23726</v>
      </c>
      <c r="U645" s="3" t="str">
        <f t="shared" si="43"/>
        <v>Medium</v>
      </c>
      <c r="V645">
        <v>2</v>
      </c>
      <c r="W645" t="s">
        <v>31</v>
      </c>
      <c r="X645" s="2">
        <v>13</v>
      </c>
      <c r="Y645" t="s">
        <v>60</v>
      </c>
      <c r="Z645" t="s">
        <v>61</v>
      </c>
      <c r="AA645">
        <v>1</v>
      </c>
      <c r="AB645">
        <v>17</v>
      </c>
      <c r="AC645">
        <v>1</v>
      </c>
      <c r="AD645">
        <v>2</v>
      </c>
      <c r="AE645">
        <v>5</v>
      </c>
      <c r="AF645">
        <v>3</v>
      </c>
      <c r="AG645">
        <v>1</v>
      </c>
      <c r="AH645">
        <v>3</v>
      </c>
      <c r="AI645" t="str">
        <f t="shared" si="40"/>
        <v>3-5 Years</v>
      </c>
      <c r="AJ645" t="str">
        <f t="shared" si="41"/>
        <v>0-2</v>
      </c>
    </row>
    <row r="646" spans="1:36" x14ac:dyDescent="0.35">
      <c r="A646">
        <v>645</v>
      </c>
      <c r="B646">
        <v>31</v>
      </c>
      <c r="C646" t="str">
        <f t="shared" si="42"/>
        <v>26-35</v>
      </c>
      <c r="D646" t="s">
        <v>38</v>
      </c>
      <c r="E646" t="s">
        <v>32</v>
      </c>
      <c r="F646" s="3">
        <v>1389</v>
      </c>
      <c r="G646" t="s">
        <v>40</v>
      </c>
      <c r="H646" s="1">
        <v>11</v>
      </c>
      <c r="I646" t="s">
        <v>60</v>
      </c>
      <c r="J646" t="s">
        <v>34</v>
      </c>
      <c r="K646" t="s">
        <v>62</v>
      </c>
      <c r="L646" t="s">
        <v>41</v>
      </c>
      <c r="M646" s="3">
        <v>48</v>
      </c>
      <c r="N646" t="s">
        <v>60</v>
      </c>
      <c r="O646" t="s">
        <v>59</v>
      </c>
      <c r="P646" t="s">
        <v>42</v>
      </c>
      <c r="Q646" t="s">
        <v>62</v>
      </c>
      <c r="R646" t="s">
        <v>43</v>
      </c>
      <c r="S646" s="3">
        <v>2356</v>
      </c>
      <c r="T646" s="3">
        <v>14871</v>
      </c>
      <c r="U646" s="3" t="str">
        <f t="shared" si="43"/>
        <v>Low</v>
      </c>
      <c r="V646">
        <v>3</v>
      </c>
      <c r="W646" t="s">
        <v>31</v>
      </c>
      <c r="X646" s="2">
        <v>19</v>
      </c>
      <c r="Y646" t="s">
        <v>60</v>
      </c>
      <c r="Z646" t="s">
        <v>61</v>
      </c>
      <c r="AA646">
        <v>1</v>
      </c>
      <c r="AB646">
        <v>8</v>
      </c>
      <c r="AC646">
        <v>2</v>
      </c>
      <c r="AD646">
        <v>3</v>
      </c>
      <c r="AE646">
        <v>6</v>
      </c>
      <c r="AF646">
        <v>4</v>
      </c>
      <c r="AG646">
        <v>0</v>
      </c>
      <c r="AH646">
        <v>2</v>
      </c>
      <c r="AI646" t="str">
        <f t="shared" si="40"/>
        <v>6-10 Years</v>
      </c>
      <c r="AJ646" t="str">
        <f t="shared" si="41"/>
        <v>0-2</v>
      </c>
    </row>
    <row r="647" spans="1:36" x14ac:dyDescent="0.35">
      <c r="A647">
        <v>646</v>
      </c>
      <c r="B647">
        <v>29</v>
      </c>
      <c r="C647" t="str">
        <f t="shared" si="42"/>
        <v>26-35</v>
      </c>
      <c r="D647" t="s">
        <v>31</v>
      </c>
      <c r="E647" t="s">
        <v>32</v>
      </c>
      <c r="F647" s="3">
        <v>1389</v>
      </c>
      <c r="G647" t="s">
        <v>33</v>
      </c>
      <c r="H647" s="1">
        <v>1</v>
      </c>
      <c r="I647" t="s">
        <v>61</v>
      </c>
      <c r="J647" t="s">
        <v>46</v>
      </c>
      <c r="K647" t="s">
        <v>61</v>
      </c>
      <c r="L647" t="s">
        <v>35</v>
      </c>
      <c r="M647" s="3">
        <v>48</v>
      </c>
      <c r="N647" t="s">
        <v>61</v>
      </c>
      <c r="O647" t="s">
        <v>59</v>
      </c>
      <c r="P647" t="s">
        <v>52</v>
      </c>
      <c r="Q647" t="s">
        <v>60</v>
      </c>
      <c r="R647" t="s">
        <v>47</v>
      </c>
      <c r="S647" s="3">
        <v>2800</v>
      </c>
      <c r="T647" s="3">
        <v>23522</v>
      </c>
      <c r="U647" s="3" t="str">
        <f t="shared" si="43"/>
        <v>Low</v>
      </c>
      <c r="V647">
        <v>6</v>
      </c>
      <c r="W647" t="s">
        <v>31</v>
      </c>
      <c r="X647" s="2">
        <v>19</v>
      </c>
      <c r="Y647" t="s">
        <v>60</v>
      </c>
      <c r="Z647" t="s">
        <v>60</v>
      </c>
      <c r="AA647">
        <v>3</v>
      </c>
      <c r="AB647">
        <v>5</v>
      </c>
      <c r="AC647">
        <v>3</v>
      </c>
      <c r="AD647">
        <v>3</v>
      </c>
      <c r="AE647">
        <v>3</v>
      </c>
      <c r="AF647">
        <v>2</v>
      </c>
      <c r="AG647">
        <v>0</v>
      </c>
      <c r="AH647">
        <v>2</v>
      </c>
      <c r="AI647" t="str">
        <f t="shared" si="40"/>
        <v>3-5 Years</v>
      </c>
      <c r="AJ647" t="str">
        <f t="shared" si="41"/>
        <v>0-2</v>
      </c>
    </row>
    <row r="648" spans="1:36" x14ac:dyDescent="0.35">
      <c r="A648">
        <v>647</v>
      </c>
      <c r="B648">
        <v>53</v>
      </c>
      <c r="C648" t="str">
        <f t="shared" si="42"/>
        <v>46-55</v>
      </c>
      <c r="D648" t="s">
        <v>38</v>
      </c>
      <c r="E648" t="s">
        <v>32</v>
      </c>
      <c r="F648" s="3">
        <v>1389</v>
      </c>
      <c r="G648" t="s">
        <v>33</v>
      </c>
      <c r="H648" s="1">
        <v>8</v>
      </c>
      <c r="I648" t="s">
        <v>61</v>
      </c>
      <c r="J648" t="s">
        <v>54</v>
      </c>
      <c r="K648" t="s">
        <v>59</v>
      </c>
      <c r="L648" t="s">
        <v>41</v>
      </c>
      <c r="M648" s="3">
        <v>73</v>
      </c>
      <c r="N648" t="s">
        <v>60</v>
      </c>
      <c r="O648" t="s">
        <v>62</v>
      </c>
      <c r="P648" t="s">
        <v>36</v>
      </c>
      <c r="Q648" t="s">
        <v>62</v>
      </c>
      <c r="R648" t="s">
        <v>43</v>
      </c>
      <c r="S648" s="3">
        <v>11836</v>
      </c>
      <c r="T648" s="3">
        <v>22789</v>
      </c>
      <c r="U648" s="3" t="str">
        <f t="shared" si="43"/>
        <v>High</v>
      </c>
      <c r="V648">
        <v>5</v>
      </c>
      <c r="W648" t="s">
        <v>38</v>
      </c>
      <c r="X648" s="2">
        <v>14</v>
      </c>
      <c r="Y648" t="s">
        <v>60</v>
      </c>
      <c r="Z648" t="s">
        <v>60</v>
      </c>
      <c r="AA648">
        <v>1</v>
      </c>
      <c r="AB648">
        <v>28</v>
      </c>
      <c r="AC648">
        <v>3</v>
      </c>
      <c r="AD648">
        <v>3</v>
      </c>
      <c r="AE648">
        <v>2</v>
      </c>
      <c r="AF648">
        <v>0</v>
      </c>
      <c r="AG648">
        <v>2</v>
      </c>
      <c r="AH648">
        <v>2</v>
      </c>
      <c r="AI648" t="str">
        <f t="shared" si="40"/>
        <v>0-2 Years</v>
      </c>
      <c r="AJ648" t="str">
        <f t="shared" si="41"/>
        <v>0-2</v>
      </c>
    </row>
    <row r="649" spans="1:36" x14ac:dyDescent="0.35">
      <c r="A649">
        <v>648</v>
      </c>
      <c r="B649">
        <v>35</v>
      </c>
      <c r="C649" t="str">
        <f t="shared" si="42"/>
        <v>26-35</v>
      </c>
      <c r="D649" t="s">
        <v>38</v>
      </c>
      <c r="E649" t="s">
        <v>32</v>
      </c>
      <c r="F649" s="3">
        <v>1389</v>
      </c>
      <c r="G649" t="s">
        <v>40</v>
      </c>
      <c r="H649" s="1">
        <v>25</v>
      </c>
      <c r="I649" t="s">
        <v>61</v>
      </c>
      <c r="J649" t="s">
        <v>55</v>
      </c>
      <c r="K649" t="s">
        <v>62</v>
      </c>
      <c r="L649" t="s">
        <v>41</v>
      </c>
      <c r="M649" s="3">
        <v>78</v>
      </c>
      <c r="N649" t="s">
        <v>61</v>
      </c>
      <c r="O649" t="s">
        <v>60</v>
      </c>
      <c r="P649" t="s">
        <v>48</v>
      </c>
      <c r="Q649" t="s">
        <v>61</v>
      </c>
      <c r="R649" t="s">
        <v>43</v>
      </c>
      <c r="S649" s="3">
        <v>10903</v>
      </c>
      <c r="T649" s="3">
        <v>9129</v>
      </c>
      <c r="U649" s="3" t="str">
        <f t="shared" si="43"/>
        <v>High</v>
      </c>
      <c r="V649">
        <v>3</v>
      </c>
      <c r="W649" t="s">
        <v>38</v>
      </c>
      <c r="X649" s="2">
        <v>16</v>
      </c>
      <c r="Y649" t="s">
        <v>60</v>
      </c>
      <c r="Z649" t="s">
        <v>59</v>
      </c>
      <c r="AA649">
        <v>0</v>
      </c>
      <c r="AB649">
        <v>16</v>
      </c>
      <c r="AC649">
        <v>2</v>
      </c>
      <c r="AD649">
        <v>3</v>
      </c>
      <c r="AE649">
        <v>13</v>
      </c>
      <c r="AF649">
        <v>10</v>
      </c>
      <c r="AG649">
        <v>4</v>
      </c>
      <c r="AH649">
        <v>8</v>
      </c>
      <c r="AI649" t="str">
        <f t="shared" si="40"/>
        <v>10+ Years</v>
      </c>
      <c r="AJ649" t="str">
        <f t="shared" si="41"/>
        <v>3-5</v>
      </c>
    </row>
    <row r="650" spans="1:36" x14ac:dyDescent="0.35">
      <c r="A650">
        <v>649</v>
      </c>
      <c r="B650">
        <v>37</v>
      </c>
      <c r="C650" t="str">
        <f t="shared" si="42"/>
        <v>36-45</v>
      </c>
      <c r="D650" t="s">
        <v>38</v>
      </c>
      <c r="E650" t="s">
        <v>39</v>
      </c>
      <c r="F650" s="3">
        <v>1389</v>
      </c>
      <c r="G650" t="s">
        <v>33</v>
      </c>
      <c r="H650" s="1">
        <v>21</v>
      </c>
      <c r="I650" t="s">
        <v>58</v>
      </c>
      <c r="J650" t="s">
        <v>46</v>
      </c>
      <c r="K650" t="s">
        <v>60</v>
      </c>
      <c r="L650" t="s">
        <v>35</v>
      </c>
      <c r="M650" s="3">
        <v>54</v>
      </c>
      <c r="N650" t="s">
        <v>60</v>
      </c>
      <c r="O650" t="s">
        <v>59</v>
      </c>
      <c r="P650" t="s">
        <v>52</v>
      </c>
      <c r="Q650" t="s">
        <v>62</v>
      </c>
      <c r="R650" t="s">
        <v>43</v>
      </c>
      <c r="S650" s="3">
        <v>2973</v>
      </c>
      <c r="T650" s="3">
        <v>21222</v>
      </c>
      <c r="U650" s="3" t="str">
        <f t="shared" si="43"/>
        <v>Low</v>
      </c>
      <c r="V650">
        <v>5</v>
      </c>
      <c r="W650" t="s">
        <v>38</v>
      </c>
      <c r="X650" s="2">
        <v>15</v>
      </c>
      <c r="Y650" t="s">
        <v>60</v>
      </c>
      <c r="Z650" t="s">
        <v>61</v>
      </c>
      <c r="AA650">
        <v>1</v>
      </c>
      <c r="AB650">
        <v>10</v>
      </c>
      <c r="AC650">
        <v>3</v>
      </c>
      <c r="AD650">
        <v>3</v>
      </c>
      <c r="AE650">
        <v>5</v>
      </c>
      <c r="AF650">
        <v>4</v>
      </c>
      <c r="AG650">
        <v>0</v>
      </c>
      <c r="AH650">
        <v>0</v>
      </c>
      <c r="AI650" t="str">
        <f t="shared" si="40"/>
        <v>3-5 Years</v>
      </c>
      <c r="AJ650" t="str">
        <f t="shared" si="41"/>
        <v>0-2</v>
      </c>
    </row>
    <row r="651" spans="1:36" x14ac:dyDescent="0.35">
      <c r="A651">
        <v>650</v>
      </c>
      <c r="B651">
        <v>53</v>
      </c>
      <c r="C651" t="str">
        <f t="shared" si="42"/>
        <v>46-55</v>
      </c>
      <c r="D651" t="s">
        <v>38</v>
      </c>
      <c r="E651" t="s">
        <v>32</v>
      </c>
      <c r="F651" s="3">
        <v>1389</v>
      </c>
      <c r="G651" t="s">
        <v>40</v>
      </c>
      <c r="H651" s="1">
        <v>23</v>
      </c>
      <c r="I651" t="s">
        <v>60</v>
      </c>
      <c r="J651" t="s">
        <v>34</v>
      </c>
      <c r="K651" t="s">
        <v>62</v>
      </c>
      <c r="L651" t="s">
        <v>35</v>
      </c>
      <c r="M651" s="3">
        <v>72</v>
      </c>
      <c r="N651" t="s">
        <v>60</v>
      </c>
      <c r="O651" t="s">
        <v>62</v>
      </c>
      <c r="P651" t="s">
        <v>53</v>
      </c>
      <c r="Q651" t="s">
        <v>62</v>
      </c>
      <c r="R651" t="s">
        <v>37</v>
      </c>
      <c r="S651" s="3">
        <v>14275</v>
      </c>
      <c r="T651" s="3">
        <v>20206</v>
      </c>
      <c r="U651" s="3" t="str">
        <f t="shared" si="43"/>
        <v>High</v>
      </c>
      <c r="V651">
        <v>6</v>
      </c>
      <c r="W651" t="s">
        <v>38</v>
      </c>
      <c r="X651" s="2">
        <v>18</v>
      </c>
      <c r="Y651" t="s">
        <v>60</v>
      </c>
      <c r="Z651" t="s">
        <v>60</v>
      </c>
      <c r="AA651">
        <v>0</v>
      </c>
      <c r="AB651">
        <v>33</v>
      </c>
      <c r="AC651">
        <v>0</v>
      </c>
      <c r="AD651">
        <v>3</v>
      </c>
      <c r="AE651">
        <v>12</v>
      </c>
      <c r="AF651">
        <v>9</v>
      </c>
      <c r="AG651">
        <v>3</v>
      </c>
      <c r="AH651">
        <v>8</v>
      </c>
      <c r="AI651" t="str">
        <f t="shared" si="40"/>
        <v>10+ Years</v>
      </c>
      <c r="AJ651" t="str">
        <f t="shared" si="41"/>
        <v>3-5</v>
      </c>
    </row>
    <row r="652" spans="1:36" x14ac:dyDescent="0.35">
      <c r="A652">
        <v>651</v>
      </c>
      <c r="B652">
        <v>43</v>
      </c>
      <c r="C652" t="str">
        <f t="shared" si="42"/>
        <v>36-45</v>
      </c>
      <c r="D652" t="s">
        <v>38</v>
      </c>
      <c r="E652" t="s">
        <v>39</v>
      </c>
      <c r="F652" s="3">
        <v>1389</v>
      </c>
      <c r="G652" t="s">
        <v>40</v>
      </c>
      <c r="H652" s="1">
        <v>1</v>
      </c>
      <c r="I652" t="s">
        <v>61</v>
      </c>
      <c r="J652" t="s">
        <v>34</v>
      </c>
      <c r="K652" t="s">
        <v>62</v>
      </c>
      <c r="L652" t="s">
        <v>35</v>
      </c>
      <c r="M652" s="3">
        <v>33</v>
      </c>
      <c r="N652" t="s">
        <v>60</v>
      </c>
      <c r="O652" t="s">
        <v>61</v>
      </c>
      <c r="P652" t="s">
        <v>49</v>
      </c>
      <c r="Q652" t="s">
        <v>62</v>
      </c>
      <c r="R652" t="s">
        <v>43</v>
      </c>
      <c r="S652" s="3">
        <v>5562</v>
      </c>
      <c r="T652" s="3">
        <v>21782</v>
      </c>
      <c r="U652" s="3" t="str">
        <f t="shared" si="43"/>
        <v>Medium</v>
      </c>
      <c r="V652">
        <v>4</v>
      </c>
      <c r="W652" t="s">
        <v>38</v>
      </c>
      <c r="X652" s="2">
        <v>13</v>
      </c>
      <c r="Y652" t="s">
        <v>60</v>
      </c>
      <c r="Z652" t="s">
        <v>61</v>
      </c>
      <c r="AA652">
        <v>1</v>
      </c>
      <c r="AB652">
        <v>12</v>
      </c>
      <c r="AC652">
        <v>2</v>
      </c>
      <c r="AD652">
        <v>2</v>
      </c>
      <c r="AE652">
        <v>5</v>
      </c>
      <c r="AF652">
        <v>2</v>
      </c>
      <c r="AG652">
        <v>2</v>
      </c>
      <c r="AH652">
        <v>2</v>
      </c>
      <c r="AI652" t="str">
        <f t="shared" si="40"/>
        <v>3-5 Years</v>
      </c>
      <c r="AJ652" t="str">
        <f t="shared" si="41"/>
        <v>0-2</v>
      </c>
    </row>
    <row r="653" spans="1:36" x14ac:dyDescent="0.35">
      <c r="A653">
        <v>652</v>
      </c>
      <c r="B653">
        <v>47</v>
      </c>
      <c r="C653" t="str">
        <f t="shared" si="42"/>
        <v>46-55</v>
      </c>
      <c r="D653" t="s">
        <v>38</v>
      </c>
      <c r="E653" t="s">
        <v>32</v>
      </c>
      <c r="F653" s="3">
        <v>1389</v>
      </c>
      <c r="G653" t="s">
        <v>33</v>
      </c>
      <c r="H653" s="1">
        <v>2</v>
      </c>
      <c r="I653" t="s">
        <v>58</v>
      </c>
      <c r="J653" t="s">
        <v>54</v>
      </c>
      <c r="K653" t="s">
        <v>60</v>
      </c>
      <c r="L653" t="s">
        <v>35</v>
      </c>
      <c r="M653" s="3">
        <v>35</v>
      </c>
      <c r="N653" t="s">
        <v>60</v>
      </c>
      <c r="O653" t="s">
        <v>61</v>
      </c>
      <c r="P653" t="s">
        <v>36</v>
      </c>
      <c r="Q653" t="s">
        <v>62</v>
      </c>
      <c r="R653" t="s">
        <v>43</v>
      </c>
      <c r="S653" s="3">
        <v>4537</v>
      </c>
      <c r="T653" s="3">
        <v>17783</v>
      </c>
      <c r="U653" s="3" t="str">
        <f t="shared" si="43"/>
        <v>Low</v>
      </c>
      <c r="V653">
        <v>0</v>
      </c>
      <c r="W653" t="s">
        <v>31</v>
      </c>
      <c r="X653" s="2">
        <v>22</v>
      </c>
      <c r="Y653" t="s">
        <v>62</v>
      </c>
      <c r="Z653" t="s">
        <v>59</v>
      </c>
      <c r="AA653">
        <v>1</v>
      </c>
      <c r="AB653">
        <v>8</v>
      </c>
      <c r="AC653">
        <v>2</v>
      </c>
      <c r="AD653">
        <v>3</v>
      </c>
      <c r="AE653">
        <v>7</v>
      </c>
      <c r="AF653">
        <v>6</v>
      </c>
      <c r="AG653">
        <v>7</v>
      </c>
      <c r="AH653">
        <v>7</v>
      </c>
      <c r="AI653" t="str">
        <f t="shared" si="40"/>
        <v>6-10 Years</v>
      </c>
      <c r="AJ653" t="str">
        <f t="shared" si="41"/>
        <v>6+</v>
      </c>
    </row>
    <row r="654" spans="1:36" x14ac:dyDescent="0.35">
      <c r="A654">
        <v>653</v>
      </c>
      <c r="B654">
        <v>37</v>
      </c>
      <c r="C654" t="str">
        <f t="shared" si="42"/>
        <v>36-45</v>
      </c>
      <c r="D654" t="s">
        <v>38</v>
      </c>
      <c r="E654" t="s">
        <v>50</v>
      </c>
      <c r="F654" s="3">
        <v>1389</v>
      </c>
      <c r="G654" t="s">
        <v>33</v>
      </c>
      <c r="H654" s="1">
        <v>19</v>
      </c>
      <c r="I654" t="s">
        <v>58</v>
      </c>
      <c r="J654" t="s">
        <v>46</v>
      </c>
      <c r="K654" t="s">
        <v>59</v>
      </c>
      <c r="L654" t="s">
        <v>41</v>
      </c>
      <c r="M654" s="3">
        <v>32</v>
      </c>
      <c r="N654" t="s">
        <v>60</v>
      </c>
      <c r="O654" t="s">
        <v>60</v>
      </c>
      <c r="P654" t="s">
        <v>36</v>
      </c>
      <c r="Q654" t="s">
        <v>61</v>
      </c>
      <c r="R654" t="s">
        <v>37</v>
      </c>
      <c r="S654" s="3">
        <v>7642</v>
      </c>
      <c r="T654" s="3">
        <v>4814</v>
      </c>
      <c r="U654" s="3" t="str">
        <f t="shared" si="43"/>
        <v>Medium</v>
      </c>
      <c r="V654">
        <v>1</v>
      </c>
      <c r="W654" t="s">
        <v>31</v>
      </c>
      <c r="X654" s="2">
        <v>13</v>
      </c>
      <c r="Y654" t="s">
        <v>60</v>
      </c>
      <c r="Z654" t="s">
        <v>62</v>
      </c>
      <c r="AA654">
        <v>0</v>
      </c>
      <c r="AB654">
        <v>10</v>
      </c>
      <c r="AC654">
        <v>2</v>
      </c>
      <c r="AD654">
        <v>3</v>
      </c>
      <c r="AE654">
        <v>10</v>
      </c>
      <c r="AF654">
        <v>0</v>
      </c>
      <c r="AG654">
        <v>0</v>
      </c>
      <c r="AH654">
        <v>9</v>
      </c>
      <c r="AI654" t="str">
        <f t="shared" si="40"/>
        <v>6-10 Years</v>
      </c>
      <c r="AJ654" t="str">
        <f t="shared" si="41"/>
        <v>0-2</v>
      </c>
    </row>
    <row r="655" spans="1:36" x14ac:dyDescent="0.35">
      <c r="A655">
        <v>654</v>
      </c>
      <c r="B655">
        <v>50</v>
      </c>
      <c r="C655" t="str">
        <f t="shared" si="42"/>
        <v>46-55</v>
      </c>
      <c r="D655" t="s">
        <v>38</v>
      </c>
      <c r="E655" t="s">
        <v>50</v>
      </c>
      <c r="F655" s="3">
        <v>1389</v>
      </c>
      <c r="G655" t="s">
        <v>40</v>
      </c>
      <c r="H655" s="1">
        <v>2</v>
      </c>
      <c r="I655" t="s">
        <v>60</v>
      </c>
      <c r="J655" t="s">
        <v>34</v>
      </c>
      <c r="K655" t="s">
        <v>59</v>
      </c>
      <c r="L655" t="s">
        <v>41</v>
      </c>
      <c r="M655" s="3">
        <v>98</v>
      </c>
      <c r="N655" t="s">
        <v>60</v>
      </c>
      <c r="O655" t="s">
        <v>62</v>
      </c>
      <c r="P655" t="s">
        <v>51</v>
      </c>
      <c r="Q655" t="s">
        <v>59</v>
      </c>
      <c r="R655" t="s">
        <v>47</v>
      </c>
      <c r="S655" s="3">
        <v>17924</v>
      </c>
      <c r="T655" s="3">
        <v>4544</v>
      </c>
      <c r="U655" s="3" t="str">
        <f t="shared" si="43"/>
        <v>High</v>
      </c>
      <c r="V655">
        <v>1</v>
      </c>
      <c r="W655" t="s">
        <v>38</v>
      </c>
      <c r="X655" s="2">
        <v>11</v>
      </c>
      <c r="Y655" t="s">
        <v>60</v>
      </c>
      <c r="Z655" t="s">
        <v>62</v>
      </c>
      <c r="AA655">
        <v>1</v>
      </c>
      <c r="AB655">
        <v>31</v>
      </c>
      <c r="AC655">
        <v>3</v>
      </c>
      <c r="AD655">
        <v>3</v>
      </c>
      <c r="AE655">
        <v>31</v>
      </c>
      <c r="AF655">
        <v>6</v>
      </c>
      <c r="AG655">
        <v>14</v>
      </c>
      <c r="AH655">
        <v>7</v>
      </c>
      <c r="AI655" t="str">
        <f t="shared" si="40"/>
        <v>10+ Years</v>
      </c>
      <c r="AJ655" t="str">
        <f t="shared" si="41"/>
        <v>6+</v>
      </c>
    </row>
    <row r="656" spans="1:36" x14ac:dyDescent="0.35">
      <c r="A656">
        <v>655</v>
      </c>
      <c r="B656">
        <v>39</v>
      </c>
      <c r="C656" t="str">
        <f t="shared" si="42"/>
        <v>36-45</v>
      </c>
      <c r="D656" t="s">
        <v>38</v>
      </c>
      <c r="E656" t="s">
        <v>32</v>
      </c>
      <c r="F656" s="3">
        <v>1389</v>
      </c>
      <c r="G656" t="s">
        <v>56</v>
      </c>
      <c r="H656" s="1">
        <v>2</v>
      </c>
      <c r="I656" t="s">
        <v>61</v>
      </c>
      <c r="J656" t="s">
        <v>34</v>
      </c>
      <c r="K656" t="s">
        <v>62</v>
      </c>
      <c r="L656" t="s">
        <v>35</v>
      </c>
      <c r="M656" s="3">
        <v>42</v>
      </c>
      <c r="N656" t="s">
        <v>61</v>
      </c>
      <c r="O656" t="s">
        <v>61</v>
      </c>
      <c r="P656" t="s">
        <v>56</v>
      </c>
      <c r="Q656" t="s">
        <v>62</v>
      </c>
      <c r="R656" t="s">
        <v>43</v>
      </c>
      <c r="S656" s="3">
        <v>5204</v>
      </c>
      <c r="T656" s="3">
        <v>7790</v>
      </c>
      <c r="U656" s="3" t="str">
        <f t="shared" si="43"/>
        <v>Medium</v>
      </c>
      <c r="V656">
        <v>8</v>
      </c>
      <c r="W656" t="s">
        <v>38</v>
      </c>
      <c r="X656" s="2">
        <v>11</v>
      </c>
      <c r="Y656" t="s">
        <v>60</v>
      </c>
      <c r="Z656" t="s">
        <v>60</v>
      </c>
      <c r="AA656">
        <v>2</v>
      </c>
      <c r="AB656">
        <v>13</v>
      </c>
      <c r="AC656">
        <v>2</v>
      </c>
      <c r="AD656">
        <v>3</v>
      </c>
      <c r="AE656">
        <v>5</v>
      </c>
      <c r="AF656">
        <v>4</v>
      </c>
      <c r="AG656">
        <v>0</v>
      </c>
      <c r="AH656">
        <v>4</v>
      </c>
      <c r="AI656" t="str">
        <f t="shared" si="40"/>
        <v>3-5 Years</v>
      </c>
      <c r="AJ656" t="str">
        <f t="shared" si="41"/>
        <v>0-2</v>
      </c>
    </row>
    <row r="657" spans="1:36" x14ac:dyDescent="0.35">
      <c r="A657">
        <v>656</v>
      </c>
      <c r="B657">
        <v>33</v>
      </c>
      <c r="C657" t="str">
        <f t="shared" si="42"/>
        <v>26-35</v>
      </c>
      <c r="D657" t="s">
        <v>38</v>
      </c>
      <c r="E657" t="s">
        <v>32</v>
      </c>
      <c r="F657" s="3">
        <v>1389</v>
      </c>
      <c r="G657" t="s">
        <v>56</v>
      </c>
      <c r="H657" s="1">
        <v>3</v>
      </c>
      <c r="I657" t="s">
        <v>58</v>
      </c>
      <c r="J657" t="s">
        <v>56</v>
      </c>
      <c r="K657" t="s">
        <v>62</v>
      </c>
      <c r="L657" t="s">
        <v>41</v>
      </c>
      <c r="M657" s="3">
        <v>57</v>
      </c>
      <c r="N657" t="s">
        <v>60</v>
      </c>
      <c r="O657" t="s">
        <v>59</v>
      </c>
      <c r="P657" t="s">
        <v>56</v>
      </c>
      <c r="Q657" t="s">
        <v>61</v>
      </c>
      <c r="R657" t="s">
        <v>47</v>
      </c>
      <c r="S657" s="3">
        <v>2277</v>
      </c>
      <c r="T657" s="3">
        <v>22650</v>
      </c>
      <c r="U657" s="3" t="str">
        <f t="shared" si="43"/>
        <v>Low</v>
      </c>
      <c r="V657">
        <v>3</v>
      </c>
      <c r="W657" t="s">
        <v>31</v>
      </c>
      <c r="X657" s="2">
        <v>11</v>
      </c>
      <c r="Y657" t="s">
        <v>60</v>
      </c>
      <c r="Z657" t="s">
        <v>60</v>
      </c>
      <c r="AA657">
        <v>1</v>
      </c>
      <c r="AB657">
        <v>7</v>
      </c>
      <c r="AC657">
        <v>4</v>
      </c>
      <c r="AD657">
        <v>4</v>
      </c>
      <c r="AE657">
        <v>4</v>
      </c>
      <c r="AF657">
        <v>3</v>
      </c>
      <c r="AG657">
        <v>0</v>
      </c>
      <c r="AH657">
        <v>3</v>
      </c>
      <c r="AI657" t="str">
        <f t="shared" si="40"/>
        <v>3-5 Years</v>
      </c>
      <c r="AJ657" t="str">
        <f t="shared" si="41"/>
        <v>0-2</v>
      </c>
    </row>
    <row r="658" spans="1:36" x14ac:dyDescent="0.35">
      <c r="A658">
        <v>657</v>
      </c>
      <c r="B658">
        <v>32</v>
      </c>
      <c r="C658" t="str">
        <f t="shared" si="42"/>
        <v>26-35</v>
      </c>
      <c r="D658" t="s">
        <v>31</v>
      </c>
      <c r="E658" t="s">
        <v>32</v>
      </c>
      <c r="F658" s="3">
        <v>1389</v>
      </c>
      <c r="G658" t="s">
        <v>40</v>
      </c>
      <c r="H658" s="1">
        <v>25</v>
      </c>
      <c r="I658" t="s">
        <v>60</v>
      </c>
      <c r="J658" t="s">
        <v>34</v>
      </c>
      <c r="K658" t="s">
        <v>59</v>
      </c>
      <c r="L658" t="s">
        <v>41</v>
      </c>
      <c r="M658" s="3">
        <v>87</v>
      </c>
      <c r="N658" t="s">
        <v>60</v>
      </c>
      <c r="O658" t="s">
        <v>59</v>
      </c>
      <c r="P658" t="s">
        <v>45</v>
      </c>
      <c r="Q658" t="s">
        <v>62</v>
      </c>
      <c r="R658" t="s">
        <v>37</v>
      </c>
      <c r="S658" s="3">
        <v>2795</v>
      </c>
      <c r="T658" s="3">
        <v>18016</v>
      </c>
      <c r="U658" s="3" t="str">
        <f t="shared" si="43"/>
        <v>Low</v>
      </c>
      <c r="V658">
        <v>1</v>
      </c>
      <c r="W658" t="s">
        <v>31</v>
      </c>
      <c r="X658" s="2">
        <v>24</v>
      </c>
      <c r="Y658" t="s">
        <v>62</v>
      </c>
      <c r="Z658" t="s">
        <v>60</v>
      </c>
      <c r="AA658">
        <v>0</v>
      </c>
      <c r="AB658">
        <v>1</v>
      </c>
      <c r="AC658">
        <v>2</v>
      </c>
      <c r="AD658">
        <v>1</v>
      </c>
      <c r="AE658">
        <v>1</v>
      </c>
      <c r="AF658">
        <v>0</v>
      </c>
      <c r="AG658">
        <v>0</v>
      </c>
      <c r="AH658">
        <v>1</v>
      </c>
      <c r="AI658" t="str">
        <f t="shared" si="40"/>
        <v>0-2 Years</v>
      </c>
      <c r="AJ658" t="str">
        <f t="shared" si="41"/>
        <v>0-2</v>
      </c>
    </row>
    <row r="659" spans="1:36" x14ac:dyDescent="0.35">
      <c r="A659">
        <v>658</v>
      </c>
      <c r="B659">
        <v>29</v>
      </c>
      <c r="C659" t="str">
        <f t="shared" si="42"/>
        <v>26-35</v>
      </c>
      <c r="D659" t="s">
        <v>38</v>
      </c>
      <c r="E659" t="s">
        <v>32</v>
      </c>
      <c r="F659" s="3">
        <v>1389</v>
      </c>
      <c r="G659" t="s">
        <v>40</v>
      </c>
      <c r="H659" s="1">
        <v>7</v>
      </c>
      <c r="I659" t="s">
        <v>59</v>
      </c>
      <c r="J659" t="s">
        <v>46</v>
      </c>
      <c r="K659" t="s">
        <v>59</v>
      </c>
      <c r="L659" t="s">
        <v>35</v>
      </c>
      <c r="M659" s="3">
        <v>62</v>
      </c>
      <c r="N659" t="s">
        <v>61</v>
      </c>
      <c r="O659" t="s">
        <v>59</v>
      </c>
      <c r="P659" t="s">
        <v>45</v>
      </c>
      <c r="Q659" t="s">
        <v>62</v>
      </c>
      <c r="R659" t="s">
        <v>47</v>
      </c>
      <c r="S659" s="3">
        <v>2532</v>
      </c>
      <c r="T659" s="3">
        <v>6054</v>
      </c>
      <c r="U659" s="3" t="str">
        <f t="shared" si="43"/>
        <v>Low</v>
      </c>
      <c r="V659">
        <v>6</v>
      </c>
      <c r="W659" t="s">
        <v>38</v>
      </c>
      <c r="X659" s="2">
        <v>14</v>
      </c>
      <c r="Y659" t="s">
        <v>60</v>
      </c>
      <c r="Z659" t="s">
        <v>60</v>
      </c>
      <c r="AA659">
        <v>3</v>
      </c>
      <c r="AB659">
        <v>8</v>
      </c>
      <c r="AC659">
        <v>5</v>
      </c>
      <c r="AD659">
        <v>3</v>
      </c>
      <c r="AE659">
        <v>4</v>
      </c>
      <c r="AF659">
        <v>3</v>
      </c>
      <c r="AG659">
        <v>0</v>
      </c>
      <c r="AH659">
        <v>3</v>
      </c>
      <c r="AI659" t="str">
        <f t="shared" si="40"/>
        <v>3-5 Years</v>
      </c>
      <c r="AJ659" t="str">
        <f t="shared" si="41"/>
        <v>0-2</v>
      </c>
    </row>
    <row r="660" spans="1:36" x14ac:dyDescent="0.35">
      <c r="A660">
        <v>659</v>
      </c>
      <c r="B660">
        <v>44</v>
      </c>
      <c r="C660" t="str">
        <f t="shared" si="42"/>
        <v>36-45</v>
      </c>
      <c r="D660" t="s">
        <v>38</v>
      </c>
      <c r="E660" t="s">
        <v>32</v>
      </c>
      <c r="F660" s="3">
        <v>1389</v>
      </c>
      <c r="G660" t="s">
        <v>40</v>
      </c>
      <c r="H660" s="1">
        <v>9</v>
      </c>
      <c r="I660" t="s">
        <v>58</v>
      </c>
      <c r="J660" t="s">
        <v>34</v>
      </c>
      <c r="K660" t="s">
        <v>61</v>
      </c>
      <c r="L660" t="s">
        <v>41</v>
      </c>
      <c r="M660" s="3">
        <v>61</v>
      </c>
      <c r="N660" t="s">
        <v>60</v>
      </c>
      <c r="O660" t="s">
        <v>59</v>
      </c>
      <c r="P660" t="s">
        <v>42</v>
      </c>
      <c r="Q660" t="s">
        <v>59</v>
      </c>
      <c r="R660" t="s">
        <v>43</v>
      </c>
      <c r="S660" s="3">
        <v>2559</v>
      </c>
      <c r="T660" s="3">
        <v>7508</v>
      </c>
      <c r="U660" s="3" t="str">
        <f t="shared" si="43"/>
        <v>Low</v>
      </c>
      <c r="V660">
        <v>1</v>
      </c>
      <c r="W660" t="s">
        <v>31</v>
      </c>
      <c r="X660" s="2">
        <v>13</v>
      </c>
      <c r="Y660" t="s">
        <v>60</v>
      </c>
      <c r="Z660" t="s">
        <v>62</v>
      </c>
      <c r="AA660">
        <v>0</v>
      </c>
      <c r="AB660">
        <v>8</v>
      </c>
      <c r="AC660">
        <v>0</v>
      </c>
      <c r="AD660">
        <v>3</v>
      </c>
      <c r="AE660">
        <v>8</v>
      </c>
      <c r="AF660">
        <v>7</v>
      </c>
      <c r="AG660">
        <v>7</v>
      </c>
      <c r="AH660">
        <v>1</v>
      </c>
      <c r="AI660" t="str">
        <f t="shared" si="40"/>
        <v>6-10 Years</v>
      </c>
      <c r="AJ660" t="str">
        <f t="shared" si="41"/>
        <v>6+</v>
      </c>
    </row>
    <row r="661" spans="1:36" x14ac:dyDescent="0.35">
      <c r="A661">
        <v>660</v>
      </c>
      <c r="B661">
        <v>28</v>
      </c>
      <c r="C661" t="str">
        <f t="shared" si="42"/>
        <v>26-35</v>
      </c>
      <c r="D661" t="s">
        <v>38</v>
      </c>
      <c r="E661" t="s">
        <v>32</v>
      </c>
      <c r="F661" s="3">
        <v>1389</v>
      </c>
      <c r="G661" t="s">
        <v>33</v>
      </c>
      <c r="H661" s="1">
        <v>5</v>
      </c>
      <c r="I661" t="s">
        <v>60</v>
      </c>
      <c r="J661" t="s">
        <v>46</v>
      </c>
      <c r="K661" t="s">
        <v>59</v>
      </c>
      <c r="L661" t="s">
        <v>41</v>
      </c>
      <c r="M661" s="3">
        <v>98</v>
      </c>
      <c r="N661" t="s">
        <v>60</v>
      </c>
      <c r="O661" t="s">
        <v>61</v>
      </c>
      <c r="P661" t="s">
        <v>36</v>
      </c>
      <c r="Q661" t="s">
        <v>62</v>
      </c>
      <c r="R661" t="s">
        <v>37</v>
      </c>
      <c r="S661" s="3">
        <v>4908</v>
      </c>
      <c r="T661" s="3">
        <v>24252</v>
      </c>
      <c r="U661" s="3" t="str">
        <f t="shared" si="43"/>
        <v>Low</v>
      </c>
      <c r="V661">
        <v>1</v>
      </c>
      <c r="W661" t="s">
        <v>38</v>
      </c>
      <c r="X661" s="2">
        <v>14</v>
      </c>
      <c r="Y661" t="s">
        <v>60</v>
      </c>
      <c r="Z661" t="s">
        <v>61</v>
      </c>
      <c r="AA661">
        <v>0</v>
      </c>
      <c r="AB661">
        <v>4</v>
      </c>
      <c r="AC661">
        <v>3</v>
      </c>
      <c r="AD661">
        <v>3</v>
      </c>
      <c r="AE661">
        <v>4</v>
      </c>
      <c r="AF661">
        <v>2</v>
      </c>
      <c r="AG661">
        <v>0</v>
      </c>
      <c r="AH661">
        <v>2</v>
      </c>
      <c r="AI661" t="str">
        <f t="shared" si="40"/>
        <v>3-5 Years</v>
      </c>
      <c r="AJ661" t="str">
        <f t="shared" si="41"/>
        <v>0-2</v>
      </c>
    </row>
    <row r="662" spans="1:36" x14ac:dyDescent="0.35">
      <c r="A662">
        <v>661</v>
      </c>
      <c r="B662">
        <v>58</v>
      </c>
      <c r="C662" t="str">
        <f t="shared" si="42"/>
        <v>55+</v>
      </c>
      <c r="D662" t="s">
        <v>31</v>
      </c>
      <c r="E662" t="s">
        <v>39</v>
      </c>
      <c r="F662" s="3">
        <v>1389</v>
      </c>
      <c r="G662" t="s">
        <v>40</v>
      </c>
      <c r="H662" s="1">
        <v>2</v>
      </c>
      <c r="I662" t="s">
        <v>59</v>
      </c>
      <c r="J662" t="s">
        <v>34</v>
      </c>
      <c r="K662" t="s">
        <v>62</v>
      </c>
      <c r="L662" t="s">
        <v>41</v>
      </c>
      <c r="M662" s="3">
        <v>57</v>
      </c>
      <c r="N662" t="s">
        <v>61</v>
      </c>
      <c r="O662" t="s">
        <v>59</v>
      </c>
      <c r="P662" t="s">
        <v>45</v>
      </c>
      <c r="Q662" t="s">
        <v>62</v>
      </c>
      <c r="R662" t="s">
        <v>47</v>
      </c>
      <c r="S662" s="3">
        <v>2380</v>
      </c>
      <c r="T662" s="3">
        <v>13384</v>
      </c>
      <c r="U662" s="3" t="str">
        <f t="shared" si="43"/>
        <v>Low</v>
      </c>
      <c r="V662">
        <v>9</v>
      </c>
      <c r="W662" t="s">
        <v>31</v>
      </c>
      <c r="X662" s="2">
        <v>14</v>
      </c>
      <c r="Y662" t="s">
        <v>60</v>
      </c>
      <c r="Z662" t="s">
        <v>62</v>
      </c>
      <c r="AA662">
        <v>1</v>
      </c>
      <c r="AB662">
        <v>3</v>
      </c>
      <c r="AC662">
        <v>3</v>
      </c>
      <c r="AD662">
        <v>2</v>
      </c>
      <c r="AE662">
        <v>1</v>
      </c>
      <c r="AF662">
        <v>0</v>
      </c>
      <c r="AG662">
        <v>0</v>
      </c>
      <c r="AH662">
        <v>0</v>
      </c>
      <c r="AI662" t="str">
        <f t="shared" si="40"/>
        <v>0-2 Years</v>
      </c>
      <c r="AJ662" t="str">
        <f t="shared" si="41"/>
        <v>0-2</v>
      </c>
    </row>
    <row r="663" spans="1:36" x14ac:dyDescent="0.35">
      <c r="A663">
        <v>662</v>
      </c>
      <c r="B663">
        <v>43</v>
      </c>
      <c r="C663" t="str">
        <f t="shared" si="42"/>
        <v>36-45</v>
      </c>
      <c r="D663" t="s">
        <v>38</v>
      </c>
      <c r="E663" t="s">
        <v>32</v>
      </c>
      <c r="F663" s="3">
        <v>1389</v>
      </c>
      <c r="G663" t="s">
        <v>40</v>
      </c>
      <c r="H663" s="1">
        <v>8</v>
      </c>
      <c r="I663" t="s">
        <v>61</v>
      </c>
      <c r="J663" t="s">
        <v>34</v>
      </c>
      <c r="K663" t="s">
        <v>59</v>
      </c>
      <c r="L663" t="s">
        <v>35</v>
      </c>
      <c r="M663" s="3">
        <v>55</v>
      </c>
      <c r="N663" t="s">
        <v>60</v>
      </c>
      <c r="O663" t="s">
        <v>61</v>
      </c>
      <c r="P663" t="s">
        <v>48</v>
      </c>
      <c r="Q663" t="s">
        <v>61</v>
      </c>
      <c r="R663" t="s">
        <v>47</v>
      </c>
      <c r="S663" s="3">
        <v>4765</v>
      </c>
      <c r="T663" s="3">
        <v>23814</v>
      </c>
      <c r="U663" s="3" t="str">
        <f t="shared" si="43"/>
        <v>Low</v>
      </c>
      <c r="V663">
        <v>4</v>
      </c>
      <c r="W663" t="s">
        <v>38</v>
      </c>
      <c r="X663" s="2">
        <v>21</v>
      </c>
      <c r="Y663" t="s">
        <v>62</v>
      </c>
      <c r="Z663" t="s">
        <v>60</v>
      </c>
      <c r="AA663">
        <v>1</v>
      </c>
      <c r="AB663">
        <v>4</v>
      </c>
      <c r="AC663">
        <v>2</v>
      </c>
      <c r="AD663">
        <v>4</v>
      </c>
      <c r="AE663">
        <v>1</v>
      </c>
      <c r="AF663">
        <v>0</v>
      </c>
      <c r="AG663">
        <v>0</v>
      </c>
      <c r="AH663">
        <v>0</v>
      </c>
      <c r="AI663" t="str">
        <f t="shared" si="40"/>
        <v>0-2 Years</v>
      </c>
      <c r="AJ663" t="str">
        <f t="shared" si="41"/>
        <v>0-2</v>
      </c>
    </row>
    <row r="664" spans="1:36" x14ac:dyDescent="0.35">
      <c r="A664">
        <v>663</v>
      </c>
      <c r="B664">
        <v>20</v>
      </c>
      <c r="C664" t="str">
        <f t="shared" si="42"/>
        <v>18-25</v>
      </c>
      <c r="D664" t="s">
        <v>31</v>
      </c>
      <c r="E664" t="s">
        <v>32</v>
      </c>
      <c r="F664" s="3">
        <v>1389</v>
      </c>
      <c r="G664" t="s">
        <v>33</v>
      </c>
      <c r="H664" s="1">
        <v>2</v>
      </c>
      <c r="I664" t="s">
        <v>61</v>
      </c>
      <c r="J664" t="s">
        <v>46</v>
      </c>
      <c r="K664" t="s">
        <v>60</v>
      </c>
      <c r="L664" t="s">
        <v>35</v>
      </c>
      <c r="M664" s="3">
        <v>49</v>
      </c>
      <c r="N664" t="s">
        <v>61</v>
      </c>
      <c r="O664" t="s">
        <v>59</v>
      </c>
      <c r="P664" t="s">
        <v>52</v>
      </c>
      <c r="Q664" t="s">
        <v>60</v>
      </c>
      <c r="R664" t="s">
        <v>37</v>
      </c>
      <c r="S664" s="3">
        <v>2044</v>
      </c>
      <c r="T664" s="3">
        <v>22052</v>
      </c>
      <c r="U664" s="3" t="str">
        <f t="shared" si="43"/>
        <v>Low</v>
      </c>
      <c r="V664">
        <v>1</v>
      </c>
      <c r="W664" t="s">
        <v>38</v>
      </c>
      <c r="X664" s="2">
        <v>13</v>
      </c>
      <c r="Y664" t="s">
        <v>60</v>
      </c>
      <c r="Z664" t="s">
        <v>62</v>
      </c>
      <c r="AA664">
        <v>0</v>
      </c>
      <c r="AB664">
        <v>2</v>
      </c>
      <c r="AC664">
        <v>3</v>
      </c>
      <c r="AD664">
        <v>2</v>
      </c>
      <c r="AE664">
        <v>2</v>
      </c>
      <c r="AF664">
        <v>2</v>
      </c>
      <c r="AG664">
        <v>0</v>
      </c>
      <c r="AH664">
        <v>2</v>
      </c>
      <c r="AI664" t="str">
        <f t="shared" si="40"/>
        <v>0-2 Years</v>
      </c>
      <c r="AJ664" t="str">
        <f t="shared" si="41"/>
        <v>0-2</v>
      </c>
    </row>
    <row r="665" spans="1:36" x14ac:dyDescent="0.35">
      <c r="A665">
        <v>664</v>
      </c>
      <c r="B665">
        <v>21</v>
      </c>
      <c r="C665" t="str">
        <f t="shared" si="42"/>
        <v>18-25</v>
      </c>
      <c r="D665" t="s">
        <v>31</v>
      </c>
      <c r="E665" t="s">
        <v>32</v>
      </c>
      <c r="F665" s="3">
        <v>1389</v>
      </c>
      <c r="G665" t="s">
        <v>40</v>
      </c>
      <c r="H665" s="1">
        <v>18</v>
      </c>
      <c r="I665" t="s">
        <v>59</v>
      </c>
      <c r="J665" t="s">
        <v>44</v>
      </c>
      <c r="K665" t="s">
        <v>62</v>
      </c>
      <c r="L665" t="s">
        <v>35</v>
      </c>
      <c r="M665" s="3">
        <v>65</v>
      </c>
      <c r="N665" t="s">
        <v>60</v>
      </c>
      <c r="O665" t="s">
        <v>59</v>
      </c>
      <c r="P665" t="s">
        <v>42</v>
      </c>
      <c r="Q665" t="s">
        <v>62</v>
      </c>
      <c r="R665" t="s">
        <v>37</v>
      </c>
      <c r="S665" s="3">
        <v>2693</v>
      </c>
      <c r="T665" s="3">
        <v>8870</v>
      </c>
      <c r="U665" s="3" t="str">
        <f t="shared" si="43"/>
        <v>Low</v>
      </c>
      <c r="V665">
        <v>1</v>
      </c>
      <c r="W665" t="s">
        <v>38</v>
      </c>
      <c r="X665" s="2">
        <v>19</v>
      </c>
      <c r="Y665" t="s">
        <v>60</v>
      </c>
      <c r="Z665" t="s">
        <v>59</v>
      </c>
      <c r="AA665">
        <v>0</v>
      </c>
      <c r="AB665">
        <v>1</v>
      </c>
      <c r="AC665">
        <v>3</v>
      </c>
      <c r="AD665">
        <v>2</v>
      </c>
      <c r="AE665">
        <v>1</v>
      </c>
      <c r="AF665">
        <v>0</v>
      </c>
      <c r="AG665">
        <v>0</v>
      </c>
      <c r="AH665">
        <v>0</v>
      </c>
      <c r="AI665" t="str">
        <f t="shared" si="40"/>
        <v>0-2 Years</v>
      </c>
      <c r="AJ665" t="str">
        <f t="shared" si="41"/>
        <v>0-2</v>
      </c>
    </row>
    <row r="666" spans="1:36" x14ac:dyDescent="0.35">
      <c r="A666">
        <v>665</v>
      </c>
      <c r="B666">
        <v>36</v>
      </c>
      <c r="C666" t="str">
        <f t="shared" si="42"/>
        <v>36-45</v>
      </c>
      <c r="D666" t="s">
        <v>38</v>
      </c>
      <c r="E666" t="s">
        <v>32</v>
      </c>
      <c r="F666" s="3">
        <v>1389</v>
      </c>
      <c r="G666" t="s">
        <v>40</v>
      </c>
      <c r="H666" s="1">
        <v>14</v>
      </c>
      <c r="I666" t="s">
        <v>59</v>
      </c>
      <c r="J666" t="s">
        <v>34</v>
      </c>
      <c r="K666" t="s">
        <v>60</v>
      </c>
      <c r="L666" t="s">
        <v>41</v>
      </c>
      <c r="M666" s="3">
        <v>68</v>
      </c>
      <c r="N666" t="s">
        <v>60</v>
      </c>
      <c r="O666" t="s">
        <v>61</v>
      </c>
      <c r="P666" t="s">
        <v>49</v>
      </c>
      <c r="Q666" t="s">
        <v>62</v>
      </c>
      <c r="R666" t="s">
        <v>43</v>
      </c>
      <c r="S666" s="3">
        <v>6586</v>
      </c>
      <c r="T666" s="3">
        <v>4821</v>
      </c>
      <c r="U666" s="3" t="str">
        <f t="shared" si="43"/>
        <v>Medium</v>
      </c>
      <c r="V666">
        <v>0</v>
      </c>
      <c r="W666" t="s">
        <v>31</v>
      </c>
      <c r="X666" s="2">
        <v>17</v>
      </c>
      <c r="Y666" t="s">
        <v>60</v>
      </c>
      <c r="Z666" t="s">
        <v>59</v>
      </c>
      <c r="AA666">
        <v>1</v>
      </c>
      <c r="AB666">
        <v>17</v>
      </c>
      <c r="AC666">
        <v>2</v>
      </c>
      <c r="AD666">
        <v>2</v>
      </c>
      <c r="AE666">
        <v>16</v>
      </c>
      <c r="AF666">
        <v>8</v>
      </c>
      <c r="AG666">
        <v>4</v>
      </c>
      <c r="AH666">
        <v>11</v>
      </c>
      <c r="AI666" t="str">
        <f t="shared" si="40"/>
        <v>10+ Years</v>
      </c>
      <c r="AJ666" t="str">
        <f t="shared" si="41"/>
        <v>3-5</v>
      </c>
    </row>
    <row r="667" spans="1:36" x14ac:dyDescent="0.35">
      <c r="A667">
        <v>666</v>
      </c>
      <c r="B667">
        <v>47</v>
      </c>
      <c r="C667" t="str">
        <f t="shared" si="42"/>
        <v>46-55</v>
      </c>
      <c r="D667" t="s">
        <v>38</v>
      </c>
      <c r="E667" t="s">
        <v>32</v>
      </c>
      <c r="F667" s="3">
        <v>1389</v>
      </c>
      <c r="G667" t="s">
        <v>33</v>
      </c>
      <c r="H667" s="1">
        <v>2</v>
      </c>
      <c r="I667" t="s">
        <v>60</v>
      </c>
      <c r="J667" t="s">
        <v>34</v>
      </c>
      <c r="K667" t="s">
        <v>62</v>
      </c>
      <c r="L667" t="s">
        <v>35</v>
      </c>
      <c r="M667" s="3">
        <v>65</v>
      </c>
      <c r="N667" t="s">
        <v>61</v>
      </c>
      <c r="O667" t="s">
        <v>59</v>
      </c>
      <c r="P667" t="s">
        <v>52</v>
      </c>
      <c r="Q667" t="s">
        <v>62</v>
      </c>
      <c r="R667" t="s">
        <v>37</v>
      </c>
      <c r="S667" s="3">
        <v>3294</v>
      </c>
      <c r="T667" s="3">
        <v>13137</v>
      </c>
      <c r="U667" s="3" t="str">
        <f t="shared" si="43"/>
        <v>Low</v>
      </c>
      <c r="V667">
        <v>1</v>
      </c>
      <c r="W667" t="s">
        <v>31</v>
      </c>
      <c r="X667" s="2">
        <v>18</v>
      </c>
      <c r="Y667" t="s">
        <v>60</v>
      </c>
      <c r="Z667" t="s">
        <v>59</v>
      </c>
      <c r="AA667">
        <v>0</v>
      </c>
      <c r="AB667">
        <v>3</v>
      </c>
      <c r="AC667">
        <v>3</v>
      </c>
      <c r="AD667">
        <v>2</v>
      </c>
      <c r="AE667">
        <v>3</v>
      </c>
      <c r="AF667">
        <v>2</v>
      </c>
      <c r="AG667">
        <v>1</v>
      </c>
      <c r="AH667">
        <v>2</v>
      </c>
      <c r="AI667" t="str">
        <f t="shared" si="40"/>
        <v>3-5 Years</v>
      </c>
      <c r="AJ667" t="str">
        <f t="shared" si="41"/>
        <v>0-2</v>
      </c>
    </row>
    <row r="668" spans="1:36" x14ac:dyDescent="0.35">
      <c r="A668">
        <v>667</v>
      </c>
      <c r="B668">
        <v>22</v>
      </c>
      <c r="C668" t="str">
        <f t="shared" si="42"/>
        <v>18-25</v>
      </c>
      <c r="D668" t="s">
        <v>31</v>
      </c>
      <c r="E668" t="s">
        <v>32</v>
      </c>
      <c r="F668" s="3">
        <v>1389</v>
      </c>
      <c r="G668" t="s">
        <v>40</v>
      </c>
      <c r="H668" s="1">
        <v>3</v>
      </c>
      <c r="I668" t="s">
        <v>59</v>
      </c>
      <c r="J668" t="s">
        <v>34</v>
      </c>
      <c r="K668" t="s">
        <v>61</v>
      </c>
      <c r="L668" t="s">
        <v>35</v>
      </c>
      <c r="M668" s="3">
        <v>34</v>
      </c>
      <c r="N668" t="s">
        <v>60</v>
      </c>
      <c r="O668" t="s">
        <v>61</v>
      </c>
      <c r="P668" t="s">
        <v>48</v>
      </c>
      <c r="Q668" t="s">
        <v>60</v>
      </c>
      <c r="R668" t="s">
        <v>43</v>
      </c>
      <c r="S668" s="3">
        <v>4171</v>
      </c>
      <c r="T668" s="3">
        <v>10022</v>
      </c>
      <c r="U668" s="3" t="str">
        <f t="shared" si="43"/>
        <v>Low</v>
      </c>
      <c r="V668">
        <v>0</v>
      </c>
      <c r="W668" t="s">
        <v>31</v>
      </c>
      <c r="X668" s="2">
        <v>19</v>
      </c>
      <c r="Y668" t="s">
        <v>60</v>
      </c>
      <c r="Z668" t="s">
        <v>59</v>
      </c>
      <c r="AA668">
        <v>1</v>
      </c>
      <c r="AB668">
        <v>4</v>
      </c>
      <c r="AC668">
        <v>3</v>
      </c>
      <c r="AD668">
        <v>4</v>
      </c>
      <c r="AE668">
        <v>3</v>
      </c>
      <c r="AF668">
        <v>2</v>
      </c>
      <c r="AG668">
        <v>0</v>
      </c>
      <c r="AH668">
        <v>2</v>
      </c>
      <c r="AI668" t="str">
        <f t="shared" si="40"/>
        <v>3-5 Years</v>
      </c>
      <c r="AJ668" t="str">
        <f t="shared" si="41"/>
        <v>0-2</v>
      </c>
    </row>
    <row r="669" spans="1:36" x14ac:dyDescent="0.35">
      <c r="A669">
        <v>668</v>
      </c>
      <c r="B669">
        <v>41</v>
      </c>
      <c r="C669" t="str">
        <f t="shared" si="42"/>
        <v>36-45</v>
      </c>
      <c r="D669" t="s">
        <v>31</v>
      </c>
      <c r="E669" t="s">
        <v>32</v>
      </c>
      <c r="F669" s="3">
        <v>1389</v>
      </c>
      <c r="G669" t="s">
        <v>40</v>
      </c>
      <c r="H669" s="1">
        <v>2</v>
      </c>
      <c r="I669" t="s">
        <v>60</v>
      </c>
      <c r="J669" t="s">
        <v>34</v>
      </c>
      <c r="K669" t="s">
        <v>61</v>
      </c>
      <c r="L669" t="s">
        <v>35</v>
      </c>
      <c r="M669" s="3">
        <v>57</v>
      </c>
      <c r="N669" t="s">
        <v>59</v>
      </c>
      <c r="O669" t="s">
        <v>59</v>
      </c>
      <c r="P669" t="s">
        <v>45</v>
      </c>
      <c r="Q669" t="s">
        <v>62</v>
      </c>
      <c r="R669" t="s">
        <v>47</v>
      </c>
      <c r="S669" s="3">
        <v>2778</v>
      </c>
      <c r="T669" s="3">
        <v>17725</v>
      </c>
      <c r="U669" s="3" t="str">
        <f t="shared" si="43"/>
        <v>Low</v>
      </c>
      <c r="V669">
        <v>4</v>
      </c>
      <c r="W669" t="s">
        <v>31</v>
      </c>
      <c r="X669" s="2">
        <v>13</v>
      </c>
      <c r="Y669" t="s">
        <v>60</v>
      </c>
      <c r="Z669" t="s">
        <v>60</v>
      </c>
      <c r="AA669">
        <v>1</v>
      </c>
      <c r="AB669">
        <v>10</v>
      </c>
      <c r="AC669">
        <v>1</v>
      </c>
      <c r="AD669">
        <v>2</v>
      </c>
      <c r="AE669">
        <v>7</v>
      </c>
      <c r="AF669">
        <v>7</v>
      </c>
      <c r="AG669">
        <v>1</v>
      </c>
      <c r="AH669">
        <v>0</v>
      </c>
      <c r="AI669" t="str">
        <f t="shared" si="40"/>
        <v>6-10 Years</v>
      </c>
      <c r="AJ669" t="str">
        <f t="shared" si="41"/>
        <v>0-2</v>
      </c>
    </row>
    <row r="670" spans="1:36" x14ac:dyDescent="0.35">
      <c r="A670">
        <v>669</v>
      </c>
      <c r="B670">
        <v>28</v>
      </c>
      <c r="C670" t="str">
        <f t="shared" si="42"/>
        <v>26-35</v>
      </c>
      <c r="D670" t="s">
        <v>38</v>
      </c>
      <c r="E670" t="s">
        <v>32</v>
      </c>
      <c r="F670" s="3">
        <v>1389</v>
      </c>
      <c r="G670" t="s">
        <v>40</v>
      </c>
      <c r="H670" s="1">
        <v>9</v>
      </c>
      <c r="I670" t="s">
        <v>61</v>
      </c>
      <c r="J670" t="s">
        <v>46</v>
      </c>
      <c r="K670" t="s">
        <v>60</v>
      </c>
      <c r="L670" t="s">
        <v>35</v>
      </c>
      <c r="M670" s="3">
        <v>77</v>
      </c>
      <c r="N670" t="s">
        <v>60</v>
      </c>
      <c r="O670" t="s">
        <v>59</v>
      </c>
      <c r="P670" t="s">
        <v>42</v>
      </c>
      <c r="Q670" t="s">
        <v>60</v>
      </c>
      <c r="R670" t="s">
        <v>47</v>
      </c>
      <c r="S670" s="3">
        <v>2377</v>
      </c>
      <c r="T670" s="3">
        <v>9834</v>
      </c>
      <c r="U670" s="3" t="str">
        <f t="shared" si="43"/>
        <v>Low</v>
      </c>
      <c r="V670">
        <v>5</v>
      </c>
      <c r="W670" t="s">
        <v>38</v>
      </c>
      <c r="X670" s="2">
        <v>18</v>
      </c>
      <c r="Y670" t="s">
        <v>60</v>
      </c>
      <c r="Z670" t="s">
        <v>61</v>
      </c>
      <c r="AA670">
        <v>1</v>
      </c>
      <c r="AB670">
        <v>6</v>
      </c>
      <c r="AC670">
        <v>2</v>
      </c>
      <c r="AD670">
        <v>3</v>
      </c>
      <c r="AE670">
        <v>2</v>
      </c>
      <c r="AF670">
        <v>2</v>
      </c>
      <c r="AG670">
        <v>2</v>
      </c>
      <c r="AH670">
        <v>2</v>
      </c>
      <c r="AI670" t="str">
        <f t="shared" si="40"/>
        <v>0-2 Years</v>
      </c>
      <c r="AJ670" t="str">
        <f t="shared" si="41"/>
        <v>0-2</v>
      </c>
    </row>
    <row r="671" spans="1:36" x14ac:dyDescent="0.35">
      <c r="A671">
        <v>670</v>
      </c>
      <c r="B671">
        <v>39</v>
      </c>
      <c r="C671" t="str">
        <f t="shared" si="42"/>
        <v>36-45</v>
      </c>
      <c r="D671" t="s">
        <v>31</v>
      </c>
      <c r="E671" t="s">
        <v>32</v>
      </c>
      <c r="F671" s="3">
        <v>1389</v>
      </c>
      <c r="G671" t="s">
        <v>40</v>
      </c>
      <c r="H671" s="1">
        <v>6</v>
      </c>
      <c r="I671" t="s">
        <v>61</v>
      </c>
      <c r="J671" t="s">
        <v>46</v>
      </c>
      <c r="K671" t="s">
        <v>62</v>
      </c>
      <c r="L671" t="s">
        <v>41</v>
      </c>
      <c r="M671" s="3">
        <v>70</v>
      </c>
      <c r="N671" t="s">
        <v>60</v>
      </c>
      <c r="O671" t="s">
        <v>59</v>
      </c>
      <c r="P671" t="s">
        <v>45</v>
      </c>
      <c r="Q671" t="s">
        <v>59</v>
      </c>
      <c r="R671" t="s">
        <v>43</v>
      </c>
      <c r="S671" s="3">
        <v>2404</v>
      </c>
      <c r="T671" s="3">
        <v>4303</v>
      </c>
      <c r="U671" s="3" t="str">
        <f t="shared" si="43"/>
        <v>Low</v>
      </c>
      <c r="V671">
        <v>7</v>
      </c>
      <c r="W671" t="s">
        <v>31</v>
      </c>
      <c r="X671" s="2">
        <v>21</v>
      </c>
      <c r="Y671" t="s">
        <v>62</v>
      </c>
      <c r="Z671" t="s">
        <v>62</v>
      </c>
      <c r="AA671">
        <v>0</v>
      </c>
      <c r="AB671">
        <v>8</v>
      </c>
      <c r="AC671">
        <v>2</v>
      </c>
      <c r="AD671">
        <v>1</v>
      </c>
      <c r="AE671">
        <v>2</v>
      </c>
      <c r="AF671">
        <v>2</v>
      </c>
      <c r="AG671">
        <v>2</v>
      </c>
      <c r="AH671">
        <v>2</v>
      </c>
      <c r="AI671" t="str">
        <f t="shared" si="40"/>
        <v>0-2 Years</v>
      </c>
      <c r="AJ671" t="str">
        <f t="shared" si="41"/>
        <v>0-2</v>
      </c>
    </row>
    <row r="672" spans="1:36" x14ac:dyDescent="0.35">
      <c r="A672">
        <v>671</v>
      </c>
      <c r="B672">
        <v>27</v>
      </c>
      <c r="C672" t="str">
        <f t="shared" si="42"/>
        <v>26-35</v>
      </c>
      <c r="D672" t="s">
        <v>38</v>
      </c>
      <c r="E672" t="s">
        <v>32</v>
      </c>
      <c r="F672" s="3">
        <v>1389</v>
      </c>
      <c r="G672" t="s">
        <v>40</v>
      </c>
      <c r="H672" s="1">
        <v>4</v>
      </c>
      <c r="I672" t="s">
        <v>61</v>
      </c>
      <c r="J672" t="s">
        <v>34</v>
      </c>
      <c r="K672" t="s">
        <v>61</v>
      </c>
      <c r="L672" t="s">
        <v>35</v>
      </c>
      <c r="M672" s="3">
        <v>76</v>
      </c>
      <c r="N672" t="s">
        <v>60</v>
      </c>
      <c r="O672" t="s">
        <v>59</v>
      </c>
      <c r="P672" t="s">
        <v>42</v>
      </c>
      <c r="Q672" t="s">
        <v>60</v>
      </c>
      <c r="R672" t="s">
        <v>37</v>
      </c>
      <c r="S672" s="3">
        <v>2318</v>
      </c>
      <c r="T672" s="3">
        <v>17808</v>
      </c>
      <c r="U672" s="3" t="str">
        <f t="shared" si="43"/>
        <v>Low</v>
      </c>
      <c r="V672">
        <v>1</v>
      </c>
      <c r="W672" t="s">
        <v>38</v>
      </c>
      <c r="X672" s="2">
        <v>19</v>
      </c>
      <c r="Y672" t="s">
        <v>60</v>
      </c>
      <c r="Z672" t="s">
        <v>60</v>
      </c>
      <c r="AA672">
        <v>0</v>
      </c>
      <c r="AB672">
        <v>1</v>
      </c>
      <c r="AC672">
        <v>2</v>
      </c>
      <c r="AD672">
        <v>3</v>
      </c>
      <c r="AE672">
        <v>1</v>
      </c>
      <c r="AF672">
        <v>1</v>
      </c>
      <c r="AG672">
        <v>0</v>
      </c>
      <c r="AH672">
        <v>0</v>
      </c>
      <c r="AI672" t="str">
        <f t="shared" si="40"/>
        <v>0-2 Years</v>
      </c>
      <c r="AJ672" t="str">
        <f t="shared" si="41"/>
        <v>0-2</v>
      </c>
    </row>
    <row r="673" spans="1:36" x14ac:dyDescent="0.35">
      <c r="A673">
        <v>672</v>
      </c>
      <c r="B673">
        <v>34</v>
      </c>
      <c r="C673" t="str">
        <f t="shared" si="42"/>
        <v>26-35</v>
      </c>
      <c r="D673" t="s">
        <v>38</v>
      </c>
      <c r="E673" t="s">
        <v>32</v>
      </c>
      <c r="F673" s="3">
        <v>1389</v>
      </c>
      <c r="G673" t="s">
        <v>40</v>
      </c>
      <c r="H673" s="1">
        <v>10</v>
      </c>
      <c r="I673" t="s">
        <v>61</v>
      </c>
      <c r="J673" t="s">
        <v>34</v>
      </c>
      <c r="K673" t="s">
        <v>61</v>
      </c>
      <c r="L673" t="s">
        <v>41</v>
      </c>
      <c r="M673" s="3">
        <v>83</v>
      </c>
      <c r="N673" t="s">
        <v>60</v>
      </c>
      <c r="O673" t="s">
        <v>59</v>
      </c>
      <c r="P673" t="s">
        <v>45</v>
      </c>
      <c r="Q673" t="s">
        <v>61</v>
      </c>
      <c r="R673" t="s">
        <v>47</v>
      </c>
      <c r="S673" s="3">
        <v>2008</v>
      </c>
      <c r="T673" s="3">
        <v>6896</v>
      </c>
      <c r="U673" s="3" t="str">
        <f t="shared" si="43"/>
        <v>Low</v>
      </c>
      <c r="V673">
        <v>1</v>
      </c>
      <c r="W673" t="s">
        <v>38</v>
      </c>
      <c r="X673" s="2">
        <v>14</v>
      </c>
      <c r="Y673" t="s">
        <v>60</v>
      </c>
      <c r="Z673" t="s">
        <v>61</v>
      </c>
      <c r="AA673">
        <v>2</v>
      </c>
      <c r="AB673">
        <v>1</v>
      </c>
      <c r="AC673">
        <v>3</v>
      </c>
      <c r="AD673">
        <v>3</v>
      </c>
      <c r="AE673">
        <v>1</v>
      </c>
      <c r="AF673">
        <v>0</v>
      </c>
      <c r="AG673">
        <v>1</v>
      </c>
      <c r="AH673">
        <v>0</v>
      </c>
      <c r="AI673" t="str">
        <f t="shared" si="40"/>
        <v>0-2 Years</v>
      </c>
      <c r="AJ673" t="str">
        <f t="shared" si="41"/>
        <v>0-2</v>
      </c>
    </row>
    <row r="674" spans="1:36" x14ac:dyDescent="0.35">
      <c r="A674">
        <v>673</v>
      </c>
      <c r="B674">
        <v>42</v>
      </c>
      <c r="C674" t="str">
        <f t="shared" si="42"/>
        <v>36-45</v>
      </c>
      <c r="D674" t="s">
        <v>38</v>
      </c>
      <c r="E674" t="s">
        <v>32</v>
      </c>
      <c r="F674" s="3">
        <v>1389</v>
      </c>
      <c r="G674" t="s">
        <v>33</v>
      </c>
      <c r="H674" s="1">
        <v>14</v>
      </c>
      <c r="I674" t="s">
        <v>58</v>
      </c>
      <c r="J674" t="s">
        <v>46</v>
      </c>
      <c r="K674" t="s">
        <v>60</v>
      </c>
      <c r="L674" t="s">
        <v>35</v>
      </c>
      <c r="M674" s="3">
        <v>68</v>
      </c>
      <c r="N674" t="s">
        <v>61</v>
      </c>
      <c r="O674" t="s">
        <v>61</v>
      </c>
      <c r="P674" t="s">
        <v>36</v>
      </c>
      <c r="Q674" t="s">
        <v>60</v>
      </c>
      <c r="R674" t="s">
        <v>37</v>
      </c>
      <c r="S674" s="3">
        <v>6244</v>
      </c>
      <c r="T674" s="3">
        <v>7824</v>
      </c>
      <c r="U674" s="3" t="str">
        <f t="shared" si="43"/>
        <v>Medium</v>
      </c>
      <c r="V674">
        <v>7</v>
      </c>
      <c r="W674" t="s">
        <v>38</v>
      </c>
      <c r="X674" s="2">
        <v>17</v>
      </c>
      <c r="Y674" t="s">
        <v>60</v>
      </c>
      <c r="Z674" t="s">
        <v>59</v>
      </c>
      <c r="AA674">
        <v>0</v>
      </c>
      <c r="AB674">
        <v>10</v>
      </c>
      <c r="AC674">
        <v>6</v>
      </c>
      <c r="AD674">
        <v>3</v>
      </c>
      <c r="AE674">
        <v>5</v>
      </c>
      <c r="AF674">
        <v>4</v>
      </c>
      <c r="AG674">
        <v>0</v>
      </c>
      <c r="AH674">
        <v>3</v>
      </c>
      <c r="AI674" t="str">
        <f t="shared" si="40"/>
        <v>3-5 Years</v>
      </c>
      <c r="AJ674" t="str">
        <f t="shared" si="41"/>
        <v>0-2</v>
      </c>
    </row>
    <row r="675" spans="1:36" x14ac:dyDescent="0.35">
      <c r="A675">
        <v>674</v>
      </c>
      <c r="B675">
        <v>33</v>
      </c>
      <c r="C675" t="str">
        <f t="shared" si="42"/>
        <v>26-35</v>
      </c>
      <c r="D675" t="s">
        <v>38</v>
      </c>
      <c r="E675" t="s">
        <v>32</v>
      </c>
      <c r="F675" s="3">
        <v>1389</v>
      </c>
      <c r="G675" t="s">
        <v>40</v>
      </c>
      <c r="H675" s="1">
        <v>1</v>
      </c>
      <c r="I675" t="s">
        <v>60</v>
      </c>
      <c r="J675" t="s">
        <v>44</v>
      </c>
      <c r="K675" t="s">
        <v>60</v>
      </c>
      <c r="L675" t="s">
        <v>41</v>
      </c>
      <c r="M675" s="3">
        <v>100</v>
      </c>
      <c r="N675" t="s">
        <v>61</v>
      </c>
      <c r="O675" t="s">
        <v>59</v>
      </c>
      <c r="P675" t="s">
        <v>42</v>
      </c>
      <c r="Q675" t="s">
        <v>59</v>
      </c>
      <c r="R675" t="s">
        <v>37</v>
      </c>
      <c r="S675" s="3">
        <v>2799</v>
      </c>
      <c r="T675" s="3">
        <v>3339</v>
      </c>
      <c r="U675" s="3" t="str">
        <f t="shared" si="43"/>
        <v>Low</v>
      </c>
      <c r="V675">
        <v>3</v>
      </c>
      <c r="W675" t="s">
        <v>31</v>
      </c>
      <c r="X675" s="2">
        <v>11</v>
      </c>
      <c r="Y675" t="s">
        <v>60</v>
      </c>
      <c r="Z675" t="s">
        <v>61</v>
      </c>
      <c r="AA675">
        <v>0</v>
      </c>
      <c r="AB675">
        <v>6</v>
      </c>
      <c r="AC675">
        <v>1</v>
      </c>
      <c r="AD675">
        <v>3</v>
      </c>
      <c r="AE675">
        <v>3</v>
      </c>
      <c r="AF675">
        <v>2</v>
      </c>
      <c r="AG675">
        <v>0</v>
      </c>
      <c r="AH675">
        <v>2</v>
      </c>
      <c r="AI675" t="str">
        <f t="shared" si="40"/>
        <v>3-5 Years</v>
      </c>
      <c r="AJ675" t="str">
        <f t="shared" si="41"/>
        <v>0-2</v>
      </c>
    </row>
    <row r="676" spans="1:36" x14ac:dyDescent="0.35">
      <c r="A676">
        <v>675</v>
      </c>
      <c r="B676">
        <v>58</v>
      </c>
      <c r="C676" t="str">
        <f t="shared" si="42"/>
        <v>55+</v>
      </c>
      <c r="D676" t="s">
        <v>38</v>
      </c>
      <c r="E676" t="s">
        <v>32</v>
      </c>
      <c r="F676" s="3">
        <v>1389</v>
      </c>
      <c r="G676" t="s">
        <v>40</v>
      </c>
      <c r="H676" s="1">
        <v>5</v>
      </c>
      <c r="I676" t="s">
        <v>61</v>
      </c>
      <c r="J676" t="s">
        <v>55</v>
      </c>
      <c r="K676" t="s">
        <v>60</v>
      </c>
      <c r="L676" t="s">
        <v>35</v>
      </c>
      <c r="M676" s="3">
        <v>37</v>
      </c>
      <c r="N676" t="s">
        <v>61</v>
      </c>
      <c r="O676" t="s">
        <v>60</v>
      </c>
      <c r="P676" t="s">
        <v>49</v>
      </c>
      <c r="Q676" t="s">
        <v>61</v>
      </c>
      <c r="R676" t="s">
        <v>47</v>
      </c>
      <c r="S676" s="3">
        <v>10552</v>
      </c>
      <c r="T676" s="3">
        <v>9255</v>
      </c>
      <c r="U676" s="3" t="str">
        <f t="shared" si="43"/>
        <v>High</v>
      </c>
      <c r="V676">
        <v>2</v>
      </c>
      <c r="W676" t="s">
        <v>31</v>
      </c>
      <c r="X676" s="2">
        <v>13</v>
      </c>
      <c r="Y676" t="s">
        <v>60</v>
      </c>
      <c r="Z676" t="s">
        <v>62</v>
      </c>
      <c r="AA676">
        <v>1</v>
      </c>
      <c r="AB676">
        <v>24</v>
      </c>
      <c r="AC676">
        <v>3</v>
      </c>
      <c r="AD676">
        <v>3</v>
      </c>
      <c r="AE676">
        <v>6</v>
      </c>
      <c r="AF676">
        <v>0</v>
      </c>
      <c r="AG676">
        <v>0</v>
      </c>
      <c r="AH676">
        <v>4</v>
      </c>
      <c r="AI676" t="str">
        <f t="shared" si="40"/>
        <v>6-10 Years</v>
      </c>
      <c r="AJ676" t="str">
        <f t="shared" si="41"/>
        <v>0-2</v>
      </c>
    </row>
    <row r="677" spans="1:36" x14ac:dyDescent="0.35">
      <c r="A677">
        <v>676</v>
      </c>
      <c r="B677">
        <v>31</v>
      </c>
      <c r="C677" t="str">
        <f t="shared" si="42"/>
        <v>26-35</v>
      </c>
      <c r="D677" t="s">
        <v>38</v>
      </c>
      <c r="E677" t="s">
        <v>32</v>
      </c>
      <c r="F677" s="3">
        <v>1389</v>
      </c>
      <c r="G677" t="s">
        <v>33</v>
      </c>
      <c r="H677" s="1">
        <v>7</v>
      </c>
      <c r="I677" t="s">
        <v>60</v>
      </c>
      <c r="J677" t="s">
        <v>34</v>
      </c>
      <c r="K677" t="s">
        <v>61</v>
      </c>
      <c r="L677" t="s">
        <v>41</v>
      </c>
      <c r="M677" s="3">
        <v>41</v>
      </c>
      <c r="N677" t="s">
        <v>61</v>
      </c>
      <c r="O677" t="s">
        <v>59</v>
      </c>
      <c r="P677" t="s">
        <v>52</v>
      </c>
      <c r="Q677" t="s">
        <v>60</v>
      </c>
      <c r="R677" t="s">
        <v>43</v>
      </c>
      <c r="S677" s="3">
        <v>2329</v>
      </c>
      <c r="T677" s="3">
        <v>11737</v>
      </c>
      <c r="U677" s="3" t="str">
        <f t="shared" si="43"/>
        <v>Low</v>
      </c>
      <c r="V677">
        <v>3</v>
      </c>
      <c r="W677" t="s">
        <v>38</v>
      </c>
      <c r="X677" s="2">
        <v>15</v>
      </c>
      <c r="Y677" t="s">
        <v>60</v>
      </c>
      <c r="Z677" t="s">
        <v>61</v>
      </c>
      <c r="AA677">
        <v>0</v>
      </c>
      <c r="AB677">
        <v>13</v>
      </c>
      <c r="AC677">
        <v>2</v>
      </c>
      <c r="AD677">
        <v>4</v>
      </c>
      <c r="AE677">
        <v>7</v>
      </c>
      <c r="AF677">
        <v>7</v>
      </c>
      <c r="AG677">
        <v>5</v>
      </c>
      <c r="AH677">
        <v>2</v>
      </c>
      <c r="AI677" t="str">
        <f t="shared" si="40"/>
        <v>6-10 Years</v>
      </c>
      <c r="AJ677" t="str">
        <f t="shared" si="41"/>
        <v>3-5</v>
      </c>
    </row>
    <row r="678" spans="1:36" x14ac:dyDescent="0.35">
      <c r="A678">
        <v>677</v>
      </c>
      <c r="B678">
        <v>35</v>
      </c>
      <c r="C678" t="str">
        <f t="shared" si="42"/>
        <v>26-35</v>
      </c>
      <c r="D678" t="s">
        <v>38</v>
      </c>
      <c r="E678" t="s">
        <v>32</v>
      </c>
      <c r="F678" s="3">
        <v>1389</v>
      </c>
      <c r="G678" t="s">
        <v>40</v>
      </c>
      <c r="H678" s="1">
        <v>21</v>
      </c>
      <c r="I678" t="s">
        <v>59</v>
      </c>
      <c r="J678" t="s">
        <v>34</v>
      </c>
      <c r="K678" t="s">
        <v>62</v>
      </c>
      <c r="L678" t="s">
        <v>35</v>
      </c>
      <c r="M678" s="3">
        <v>51</v>
      </c>
      <c r="N678" t="s">
        <v>60</v>
      </c>
      <c r="O678" t="s">
        <v>61</v>
      </c>
      <c r="P678" t="s">
        <v>49</v>
      </c>
      <c r="Q678" t="s">
        <v>62</v>
      </c>
      <c r="R678" t="s">
        <v>43</v>
      </c>
      <c r="S678" s="3">
        <v>4014</v>
      </c>
      <c r="T678" s="3">
        <v>19170</v>
      </c>
      <c r="U678" s="3" t="str">
        <f t="shared" si="43"/>
        <v>Low</v>
      </c>
      <c r="V678">
        <v>1</v>
      </c>
      <c r="W678" t="s">
        <v>31</v>
      </c>
      <c r="X678" s="2">
        <v>25</v>
      </c>
      <c r="Y678" t="s">
        <v>62</v>
      </c>
      <c r="Z678" t="s">
        <v>62</v>
      </c>
      <c r="AA678">
        <v>1</v>
      </c>
      <c r="AB678">
        <v>10</v>
      </c>
      <c r="AC678">
        <v>2</v>
      </c>
      <c r="AD678">
        <v>1</v>
      </c>
      <c r="AE678">
        <v>10</v>
      </c>
      <c r="AF678">
        <v>6</v>
      </c>
      <c r="AG678">
        <v>0</v>
      </c>
      <c r="AH678">
        <v>7</v>
      </c>
      <c r="AI678" t="str">
        <f t="shared" si="40"/>
        <v>6-10 Years</v>
      </c>
      <c r="AJ678" t="str">
        <f t="shared" si="41"/>
        <v>0-2</v>
      </c>
    </row>
    <row r="679" spans="1:36" x14ac:dyDescent="0.35">
      <c r="A679">
        <v>678</v>
      </c>
      <c r="B679">
        <v>49</v>
      </c>
      <c r="C679" t="str">
        <f t="shared" si="42"/>
        <v>46-55</v>
      </c>
      <c r="D679" t="s">
        <v>38</v>
      </c>
      <c r="E679" t="s">
        <v>32</v>
      </c>
      <c r="F679" s="3">
        <v>1389</v>
      </c>
      <c r="G679" t="s">
        <v>40</v>
      </c>
      <c r="H679" s="1">
        <v>8</v>
      </c>
      <c r="I679" t="s">
        <v>58</v>
      </c>
      <c r="J679" t="s">
        <v>44</v>
      </c>
      <c r="K679" t="s">
        <v>59</v>
      </c>
      <c r="L679" t="s">
        <v>35</v>
      </c>
      <c r="M679" s="3">
        <v>51</v>
      </c>
      <c r="N679" t="s">
        <v>60</v>
      </c>
      <c r="O679" t="s">
        <v>60</v>
      </c>
      <c r="P679" t="s">
        <v>45</v>
      </c>
      <c r="Q679" t="s">
        <v>61</v>
      </c>
      <c r="R679" t="s">
        <v>43</v>
      </c>
      <c r="S679" s="3">
        <v>7403</v>
      </c>
      <c r="T679" s="3">
        <v>22477</v>
      </c>
      <c r="U679" s="3" t="str">
        <f t="shared" si="43"/>
        <v>Medium</v>
      </c>
      <c r="V679">
        <v>4</v>
      </c>
      <c r="W679" t="s">
        <v>38</v>
      </c>
      <c r="X679" s="2">
        <v>11</v>
      </c>
      <c r="Y679" t="s">
        <v>60</v>
      </c>
      <c r="Z679" t="s">
        <v>60</v>
      </c>
      <c r="AA679">
        <v>1</v>
      </c>
      <c r="AB679">
        <v>29</v>
      </c>
      <c r="AC679">
        <v>3</v>
      </c>
      <c r="AD679">
        <v>2</v>
      </c>
      <c r="AE679">
        <v>26</v>
      </c>
      <c r="AF679">
        <v>9</v>
      </c>
      <c r="AG679">
        <v>1</v>
      </c>
      <c r="AH679">
        <v>7</v>
      </c>
      <c r="AI679" t="str">
        <f t="shared" si="40"/>
        <v>10+ Years</v>
      </c>
      <c r="AJ679" t="str">
        <f t="shared" si="41"/>
        <v>0-2</v>
      </c>
    </row>
    <row r="680" spans="1:36" x14ac:dyDescent="0.35">
      <c r="A680">
        <v>679</v>
      </c>
      <c r="B680">
        <v>48</v>
      </c>
      <c r="C680" t="str">
        <f t="shared" si="42"/>
        <v>46-55</v>
      </c>
      <c r="D680" t="s">
        <v>38</v>
      </c>
      <c r="E680" t="s">
        <v>32</v>
      </c>
      <c r="F680" s="3">
        <v>1389</v>
      </c>
      <c r="G680" t="s">
        <v>40</v>
      </c>
      <c r="H680" s="1">
        <v>20</v>
      </c>
      <c r="I680" t="s">
        <v>60</v>
      </c>
      <c r="J680" t="s">
        <v>46</v>
      </c>
      <c r="K680" t="s">
        <v>62</v>
      </c>
      <c r="L680" t="s">
        <v>41</v>
      </c>
      <c r="M680" s="3">
        <v>51</v>
      </c>
      <c r="N680" t="s">
        <v>60</v>
      </c>
      <c r="O680" t="s">
        <v>59</v>
      </c>
      <c r="P680" t="s">
        <v>42</v>
      </c>
      <c r="Q680" t="s">
        <v>60</v>
      </c>
      <c r="R680" t="s">
        <v>43</v>
      </c>
      <c r="S680" s="3">
        <v>2259</v>
      </c>
      <c r="T680" s="3">
        <v>5543</v>
      </c>
      <c r="U680" s="3" t="str">
        <f t="shared" si="43"/>
        <v>Low</v>
      </c>
      <c r="V680">
        <v>4</v>
      </c>
      <c r="W680" t="s">
        <v>38</v>
      </c>
      <c r="X680" s="2">
        <v>17</v>
      </c>
      <c r="Y680" t="s">
        <v>60</v>
      </c>
      <c r="Z680" t="s">
        <v>59</v>
      </c>
      <c r="AA680">
        <v>2</v>
      </c>
      <c r="AB680">
        <v>13</v>
      </c>
      <c r="AC680">
        <v>2</v>
      </c>
      <c r="AD680">
        <v>2</v>
      </c>
      <c r="AE680">
        <v>0</v>
      </c>
      <c r="AF680">
        <v>0</v>
      </c>
      <c r="AG680">
        <v>0</v>
      </c>
      <c r="AH680">
        <v>0</v>
      </c>
      <c r="AI680" t="str">
        <f t="shared" si="40"/>
        <v>0-2 Years</v>
      </c>
      <c r="AJ680" t="str">
        <f t="shared" si="41"/>
        <v>0-2</v>
      </c>
    </row>
    <row r="681" spans="1:36" x14ac:dyDescent="0.35">
      <c r="A681">
        <v>680</v>
      </c>
      <c r="B681">
        <v>31</v>
      </c>
      <c r="C681" t="str">
        <f t="shared" si="42"/>
        <v>26-35</v>
      </c>
      <c r="D681" t="s">
        <v>38</v>
      </c>
      <c r="E681" t="s">
        <v>50</v>
      </c>
      <c r="F681" s="3">
        <v>1389</v>
      </c>
      <c r="G681" t="s">
        <v>33</v>
      </c>
      <c r="H681" s="1">
        <v>20</v>
      </c>
      <c r="I681" t="s">
        <v>58</v>
      </c>
      <c r="J681" t="s">
        <v>54</v>
      </c>
      <c r="K681" t="s">
        <v>62</v>
      </c>
      <c r="L681" t="s">
        <v>35</v>
      </c>
      <c r="M681" s="3">
        <v>45</v>
      </c>
      <c r="N681" t="s">
        <v>60</v>
      </c>
      <c r="O681" t="s">
        <v>61</v>
      </c>
      <c r="P681" t="s">
        <v>36</v>
      </c>
      <c r="Q681" t="s">
        <v>60</v>
      </c>
      <c r="R681" t="s">
        <v>43</v>
      </c>
      <c r="S681" s="3">
        <v>6932</v>
      </c>
      <c r="T681" s="3">
        <v>24406</v>
      </c>
      <c r="U681" s="3" t="str">
        <f t="shared" si="43"/>
        <v>Medium</v>
      </c>
      <c r="V681">
        <v>1</v>
      </c>
      <c r="W681" t="s">
        <v>38</v>
      </c>
      <c r="X681" s="2">
        <v>13</v>
      </c>
      <c r="Y681" t="s">
        <v>60</v>
      </c>
      <c r="Z681" t="s">
        <v>62</v>
      </c>
      <c r="AA681">
        <v>1</v>
      </c>
      <c r="AB681">
        <v>9</v>
      </c>
      <c r="AC681">
        <v>2</v>
      </c>
      <c r="AD681">
        <v>2</v>
      </c>
      <c r="AE681">
        <v>9</v>
      </c>
      <c r="AF681">
        <v>8</v>
      </c>
      <c r="AG681">
        <v>0</v>
      </c>
      <c r="AH681">
        <v>0</v>
      </c>
      <c r="AI681" t="str">
        <f t="shared" si="40"/>
        <v>6-10 Years</v>
      </c>
      <c r="AJ681" t="str">
        <f t="shared" si="41"/>
        <v>0-2</v>
      </c>
    </row>
    <row r="682" spans="1:36" x14ac:dyDescent="0.35">
      <c r="A682">
        <v>681</v>
      </c>
      <c r="B682">
        <v>36</v>
      </c>
      <c r="C682" t="str">
        <f t="shared" si="42"/>
        <v>36-45</v>
      </c>
      <c r="D682" t="s">
        <v>38</v>
      </c>
      <c r="E682" t="s">
        <v>32</v>
      </c>
      <c r="F682" s="3">
        <v>1389</v>
      </c>
      <c r="G682" t="s">
        <v>40</v>
      </c>
      <c r="H682" s="1">
        <v>7</v>
      </c>
      <c r="I682" t="s">
        <v>60</v>
      </c>
      <c r="J682" t="s">
        <v>44</v>
      </c>
      <c r="K682" t="s">
        <v>61</v>
      </c>
      <c r="L682" t="s">
        <v>41</v>
      </c>
      <c r="M682" s="3">
        <v>65</v>
      </c>
      <c r="N682" t="s">
        <v>60</v>
      </c>
      <c r="O682" t="s">
        <v>59</v>
      </c>
      <c r="P682" t="s">
        <v>42</v>
      </c>
      <c r="Q682" t="s">
        <v>62</v>
      </c>
      <c r="R682" t="s">
        <v>37</v>
      </c>
      <c r="S682" s="3">
        <v>4678</v>
      </c>
      <c r="T682" s="3">
        <v>23293</v>
      </c>
      <c r="U682" s="3" t="str">
        <f t="shared" si="43"/>
        <v>Low</v>
      </c>
      <c r="V682">
        <v>2</v>
      </c>
      <c r="W682" t="s">
        <v>38</v>
      </c>
      <c r="X682" s="2">
        <v>18</v>
      </c>
      <c r="Y682" t="s">
        <v>60</v>
      </c>
      <c r="Z682" t="s">
        <v>60</v>
      </c>
      <c r="AA682">
        <v>0</v>
      </c>
      <c r="AB682">
        <v>8</v>
      </c>
      <c r="AC682">
        <v>6</v>
      </c>
      <c r="AD682">
        <v>3</v>
      </c>
      <c r="AE682">
        <v>6</v>
      </c>
      <c r="AF682">
        <v>2</v>
      </c>
      <c r="AG682">
        <v>0</v>
      </c>
      <c r="AH682">
        <v>1</v>
      </c>
      <c r="AI682" t="str">
        <f t="shared" si="40"/>
        <v>6-10 Years</v>
      </c>
      <c r="AJ682" t="str">
        <f t="shared" si="41"/>
        <v>0-2</v>
      </c>
    </row>
    <row r="683" spans="1:36" x14ac:dyDescent="0.35">
      <c r="A683">
        <v>682</v>
      </c>
      <c r="B683">
        <v>38</v>
      </c>
      <c r="C683" t="str">
        <f t="shared" si="42"/>
        <v>36-45</v>
      </c>
      <c r="D683" t="s">
        <v>38</v>
      </c>
      <c r="E683" t="s">
        <v>32</v>
      </c>
      <c r="F683" s="3">
        <v>1389</v>
      </c>
      <c r="G683" t="s">
        <v>40</v>
      </c>
      <c r="H683" s="1">
        <v>1</v>
      </c>
      <c r="I683" t="s">
        <v>61</v>
      </c>
      <c r="J683" t="s">
        <v>55</v>
      </c>
      <c r="K683" t="s">
        <v>62</v>
      </c>
      <c r="L683" t="s">
        <v>35</v>
      </c>
      <c r="M683" s="3">
        <v>80</v>
      </c>
      <c r="N683" t="s">
        <v>60</v>
      </c>
      <c r="O683" t="s">
        <v>60</v>
      </c>
      <c r="P683" t="s">
        <v>53</v>
      </c>
      <c r="Q683" t="s">
        <v>59</v>
      </c>
      <c r="R683" t="s">
        <v>43</v>
      </c>
      <c r="S683" s="3">
        <v>13582</v>
      </c>
      <c r="T683" s="3">
        <v>16292</v>
      </c>
      <c r="U683" s="3" t="str">
        <f t="shared" si="43"/>
        <v>High</v>
      </c>
      <c r="V683">
        <v>1</v>
      </c>
      <c r="W683" t="s">
        <v>38</v>
      </c>
      <c r="X683" s="2">
        <v>13</v>
      </c>
      <c r="Y683" t="s">
        <v>60</v>
      </c>
      <c r="Z683" t="s">
        <v>61</v>
      </c>
      <c r="AA683">
        <v>1</v>
      </c>
      <c r="AB683">
        <v>15</v>
      </c>
      <c r="AC683">
        <v>3</v>
      </c>
      <c r="AD683">
        <v>3</v>
      </c>
      <c r="AE683">
        <v>15</v>
      </c>
      <c r="AF683">
        <v>12</v>
      </c>
      <c r="AG683">
        <v>5</v>
      </c>
      <c r="AH683">
        <v>11</v>
      </c>
      <c r="AI683" t="str">
        <f t="shared" si="40"/>
        <v>10+ Years</v>
      </c>
      <c r="AJ683" t="str">
        <f t="shared" si="41"/>
        <v>3-5</v>
      </c>
    </row>
    <row r="684" spans="1:36" x14ac:dyDescent="0.35">
      <c r="A684">
        <v>683</v>
      </c>
      <c r="B684">
        <v>32</v>
      </c>
      <c r="C684" t="str">
        <f t="shared" si="42"/>
        <v>26-35</v>
      </c>
      <c r="D684" t="s">
        <v>38</v>
      </c>
      <c r="E684" t="s">
        <v>50</v>
      </c>
      <c r="F684" s="3">
        <v>1389</v>
      </c>
      <c r="G684" t="s">
        <v>40</v>
      </c>
      <c r="H684" s="1">
        <v>1</v>
      </c>
      <c r="I684" t="s">
        <v>61</v>
      </c>
      <c r="J684" t="s">
        <v>34</v>
      </c>
      <c r="K684" t="s">
        <v>60</v>
      </c>
      <c r="L684" t="s">
        <v>35</v>
      </c>
      <c r="M684" s="3">
        <v>70</v>
      </c>
      <c r="N684" t="s">
        <v>61</v>
      </c>
      <c r="O684" t="s">
        <v>59</v>
      </c>
      <c r="P684" t="s">
        <v>45</v>
      </c>
      <c r="Q684" t="s">
        <v>61</v>
      </c>
      <c r="R684" t="s">
        <v>43</v>
      </c>
      <c r="S684" s="3">
        <v>2332</v>
      </c>
      <c r="T684" s="3">
        <v>3974</v>
      </c>
      <c r="U684" s="3" t="str">
        <f t="shared" si="43"/>
        <v>Low</v>
      </c>
      <c r="V684">
        <v>6</v>
      </c>
      <c r="W684" t="s">
        <v>38</v>
      </c>
      <c r="X684" s="2">
        <v>20</v>
      </c>
      <c r="Y684" t="s">
        <v>62</v>
      </c>
      <c r="Z684" t="s">
        <v>60</v>
      </c>
      <c r="AA684">
        <v>0</v>
      </c>
      <c r="AB684">
        <v>5</v>
      </c>
      <c r="AC684">
        <v>3</v>
      </c>
      <c r="AD684">
        <v>3</v>
      </c>
      <c r="AE684">
        <v>3</v>
      </c>
      <c r="AF684">
        <v>0</v>
      </c>
      <c r="AG684">
        <v>0</v>
      </c>
      <c r="AH684">
        <v>2</v>
      </c>
      <c r="AI684" t="str">
        <f t="shared" si="40"/>
        <v>3-5 Years</v>
      </c>
      <c r="AJ684" t="str">
        <f t="shared" si="41"/>
        <v>0-2</v>
      </c>
    </row>
    <row r="685" spans="1:36" x14ac:dyDescent="0.35">
      <c r="A685">
        <v>684</v>
      </c>
      <c r="B685">
        <v>25</v>
      </c>
      <c r="C685" t="str">
        <f t="shared" si="42"/>
        <v>18-25</v>
      </c>
      <c r="D685" t="s">
        <v>31</v>
      </c>
      <c r="E685" t="s">
        <v>32</v>
      </c>
      <c r="F685" s="3">
        <v>1389</v>
      </c>
      <c r="G685" t="s">
        <v>33</v>
      </c>
      <c r="H685" s="1">
        <v>19</v>
      </c>
      <c r="I685" t="s">
        <v>58</v>
      </c>
      <c r="J685" t="s">
        <v>54</v>
      </c>
      <c r="K685" t="s">
        <v>60</v>
      </c>
      <c r="L685" t="s">
        <v>41</v>
      </c>
      <c r="M685" s="3">
        <v>36</v>
      </c>
      <c r="N685" t="s">
        <v>61</v>
      </c>
      <c r="O685" t="s">
        <v>59</v>
      </c>
      <c r="P685" t="s">
        <v>52</v>
      </c>
      <c r="Q685" t="s">
        <v>61</v>
      </c>
      <c r="R685" t="s">
        <v>43</v>
      </c>
      <c r="S685" s="3">
        <v>2413</v>
      </c>
      <c r="T685" s="3">
        <v>18798</v>
      </c>
      <c r="U685" s="3" t="str">
        <f t="shared" si="43"/>
        <v>Low</v>
      </c>
      <c r="V685">
        <v>1</v>
      </c>
      <c r="W685" t="s">
        <v>31</v>
      </c>
      <c r="X685" s="2">
        <v>18</v>
      </c>
      <c r="Y685" t="s">
        <v>60</v>
      </c>
      <c r="Z685" t="s">
        <v>60</v>
      </c>
      <c r="AA685">
        <v>3</v>
      </c>
      <c r="AB685">
        <v>1</v>
      </c>
      <c r="AC685">
        <v>2</v>
      </c>
      <c r="AD685">
        <v>3</v>
      </c>
      <c r="AE685">
        <v>1</v>
      </c>
      <c r="AF685">
        <v>0</v>
      </c>
      <c r="AG685">
        <v>0</v>
      </c>
      <c r="AH685">
        <v>0</v>
      </c>
      <c r="AI685" t="str">
        <f t="shared" si="40"/>
        <v>0-2 Years</v>
      </c>
      <c r="AJ685" t="str">
        <f t="shared" si="41"/>
        <v>0-2</v>
      </c>
    </row>
    <row r="686" spans="1:36" x14ac:dyDescent="0.35">
      <c r="A686">
        <v>685</v>
      </c>
      <c r="B686">
        <v>40</v>
      </c>
      <c r="C686" t="str">
        <f t="shared" si="42"/>
        <v>36-45</v>
      </c>
      <c r="D686" t="s">
        <v>38</v>
      </c>
      <c r="E686" t="s">
        <v>32</v>
      </c>
      <c r="F686" s="3">
        <v>1389</v>
      </c>
      <c r="G686" t="s">
        <v>33</v>
      </c>
      <c r="H686" s="1">
        <v>10</v>
      </c>
      <c r="I686" t="s">
        <v>60</v>
      </c>
      <c r="J686" t="s">
        <v>54</v>
      </c>
      <c r="K686" t="s">
        <v>59</v>
      </c>
      <c r="L686" t="s">
        <v>41</v>
      </c>
      <c r="M686" s="3">
        <v>67</v>
      </c>
      <c r="N686" t="s">
        <v>61</v>
      </c>
      <c r="O686" t="s">
        <v>60</v>
      </c>
      <c r="P686" t="s">
        <v>36</v>
      </c>
      <c r="Q686" t="s">
        <v>61</v>
      </c>
      <c r="R686" t="s">
        <v>47</v>
      </c>
      <c r="S686" s="3">
        <v>9705</v>
      </c>
      <c r="T686" s="3">
        <v>20652</v>
      </c>
      <c r="U686" s="3" t="str">
        <f t="shared" si="43"/>
        <v>Medium</v>
      </c>
      <c r="V686">
        <v>2</v>
      </c>
      <c r="W686" t="s">
        <v>38</v>
      </c>
      <c r="X686" s="2">
        <v>12</v>
      </c>
      <c r="Y686" t="s">
        <v>60</v>
      </c>
      <c r="Z686" t="s">
        <v>61</v>
      </c>
      <c r="AA686">
        <v>1</v>
      </c>
      <c r="AB686">
        <v>11</v>
      </c>
      <c r="AC686">
        <v>2</v>
      </c>
      <c r="AD686">
        <v>2</v>
      </c>
      <c r="AE686">
        <v>1</v>
      </c>
      <c r="AF686">
        <v>0</v>
      </c>
      <c r="AG686">
        <v>0</v>
      </c>
      <c r="AH686">
        <v>0</v>
      </c>
      <c r="AI686" t="str">
        <f t="shared" si="40"/>
        <v>0-2 Years</v>
      </c>
      <c r="AJ686" t="str">
        <f t="shared" si="41"/>
        <v>0-2</v>
      </c>
    </row>
    <row r="687" spans="1:36" x14ac:dyDescent="0.35">
      <c r="A687">
        <v>686</v>
      </c>
      <c r="B687">
        <v>26</v>
      </c>
      <c r="C687" t="str">
        <f t="shared" si="42"/>
        <v>26-35</v>
      </c>
      <c r="D687" t="s">
        <v>38</v>
      </c>
      <c r="E687" t="s">
        <v>39</v>
      </c>
      <c r="F687" s="3">
        <v>1389</v>
      </c>
      <c r="G687" t="s">
        <v>33</v>
      </c>
      <c r="H687" s="1">
        <v>1</v>
      </c>
      <c r="I687" t="s">
        <v>61</v>
      </c>
      <c r="J687" t="s">
        <v>46</v>
      </c>
      <c r="K687" t="s">
        <v>60</v>
      </c>
      <c r="L687" t="s">
        <v>41</v>
      </c>
      <c r="M687" s="3">
        <v>52</v>
      </c>
      <c r="N687" t="s">
        <v>61</v>
      </c>
      <c r="O687" t="s">
        <v>61</v>
      </c>
      <c r="P687" t="s">
        <v>36</v>
      </c>
      <c r="Q687" t="s">
        <v>59</v>
      </c>
      <c r="R687" t="s">
        <v>37</v>
      </c>
      <c r="S687" s="3">
        <v>4294</v>
      </c>
      <c r="T687" s="3">
        <v>11148</v>
      </c>
      <c r="U687" s="3" t="str">
        <f t="shared" si="43"/>
        <v>Low</v>
      </c>
      <c r="V687">
        <v>1</v>
      </c>
      <c r="W687" t="s">
        <v>38</v>
      </c>
      <c r="X687" s="2">
        <v>12</v>
      </c>
      <c r="Y687" t="s">
        <v>60</v>
      </c>
      <c r="Z687" t="s">
        <v>61</v>
      </c>
      <c r="AA687">
        <v>0</v>
      </c>
      <c r="AB687">
        <v>7</v>
      </c>
      <c r="AC687">
        <v>2</v>
      </c>
      <c r="AD687">
        <v>3</v>
      </c>
      <c r="AE687">
        <v>7</v>
      </c>
      <c r="AF687">
        <v>7</v>
      </c>
      <c r="AG687">
        <v>0</v>
      </c>
      <c r="AH687">
        <v>7</v>
      </c>
      <c r="AI687" t="str">
        <f t="shared" si="40"/>
        <v>6-10 Years</v>
      </c>
      <c r="AJ687" t="str">
        <f t="shared" si="41"/>
        <v>0-2</v>
      </c>
    </row>
    <row r="688" spans="1:36" x14ac:dyDescent="0.35">
      <c r="A688">
        <v>687</v>
      </c>
      <c r="B688">
        <v>41</v>
      </c>
      <c r="C688" t="str">
        <f t="shared" si="42"/>
        <v>36-45</v>
      </c>
      <c r="D688" t="s">
        <v>38</v>
      </c>
      <c r="E688" t="s">
        <v>32</v>
      </c>
      <c r="F688" s="3">
        <v>1389</v>
      </c>
      <c r="G688" t="s">
        <v>40</v>
      </c>
      <c r="H688" s="1">
        <v>6</v>
      </c>
      <c r="I688" t="s">
        <v>61</v>
      </c>
      <c r="J688" t="s">
        <v>46</v>
      </c>
      <c r="K688" t="s">
        <v>62</v>
      </c>
      <c r="L688" t="s">
        <v>41</v>
      </c>
      <c r="M688" s="3">
        <v>59</v>
      </c>
      <c r="N688" t="s">
        <v>60</v>
      </c>
      <c r="O688" t="s">
        <v>59</v>
      </c>
      <c r="P688" t="s">
        <v>45</v>
      </c>
      <c r="Q688" t="s">
        <v>59</v>
      </c>
      <c r="R688" t="s">
        <v>37</v>
      </c>
      <c r="S688" s="3">
        <v>4721</v>
      </c>
      <c r="T688" s="3">
        <v>3119</v>
      </c>
      <c r="U688" s="3" t="str">
        <f t="shared" si="43"/>
        <v>Low</v>
      </c>
      <c r="V688">
        <v>2</v>
      </c>
      <c r="W688" t="s">
        <v>31</v>
      </c>
      <c r="X688" s="2">
        <v>13</v>
      </c>
      <c r="Y688" t="s">
        <v>60</v>
      </c>
      <c r="Z688" t="s">
        <v>60</v>
      </c>
      <c r="AA688">
        <v>0</v>
      </c>
      <c r="AB688">
        <v>20</v>
      </c>
      <c r="AC688">
        <v>3</v>
      </c>
      <c r="AD688">
        <v>3</v>
      </c>
      <c r="AE688">
        <v>18</v>
      </c>
      <c r="AF688">
        <v>13</v>
      </c>
      <c r="AG688">
        <v>2</v>
      </c>
      <c r="AH688">
        <v>17</v>
      </c>
      <c r="AI688" t="str">
        <f t="shared" si="40"/>
        <v>10+ Years</v>
      </c>
      <c r="AJ688" t="str">
        <f t="shared" si="41"/>
        <v>0-2</v>
      </c>
    </row>
    <row r="689" spans="1:36" x14ac:dyDescent="0.35">
      <c r="A689">
        <v>688</v>
      </c>
      <c r="B689">
        <v>36</v>
      </c>
      <c r="C689" t="str">
        <f t="shared" si="42"/>
        <v>36-45</v>
      </c>
      <c r="D689" t="s">
        <v>38</v>
      </c>
      <c r="E689" t="s">
        <v>32</v>
      </c>
      <c r="F689" s="3">
        <v>1389</v>
      </c>
      <c r="G689" t="s">
        <v>40</v>
      </c>
      <c r="H689" s="1">
        <v>2</v>
      </c>
      <c r="I689" t="s">
        <v>60</v>
      </c>
      <c r="J689" t="s">
        <v>46</v>
      </c>
      <c r="K689" t="s">
        <v>60</v>
      </c>
      <c r="L689" t="s">
        <v>41</v>
      </c>
      <c r="M689" s="3">
        <v>79</v>
      </c>
      <c r="N689" t="s">
        <v>60</v>
      </c>
      <c r="O689" t="s">
        <v>59</v>
      </c>
      <c r="P689" t="s">
        <v>45</v>
      </c>
      <c r="Q689" t="s">
        <v>60</v>
      </c>
      <c r="R689" t="s">
        <v>37</v>
      </c>
      <c r="S689" s="3">
        <v>2519</v>
      </c>
      <c r="T689" s="3">
        <v>12287</v>
      </c>
      <c r="U689" s="3" t="str">
        <f t="shared" si="43"/>
        <v>Low</v>
      </c>
      <c r="V689">
        <v>4</v>
      </c>
      <c r="W689" t="s">
        <v>38</v>
      </c>
      <c r="X689" s="2">
        <v>21</v>
      </c>
      <c r="Y689" t="s">
        <v>62</v>
      </c>
      <c r="Z689" t="s">
        <v>60</v>
      </c>
      <c r="AA689">
        <v>0</v>
      </c>
      <c r="AB689">
        <v>16</v>
      </c>
      <c r="AC689">
        <v>6</v>
      </c>
      <c r="AD689">
        <v>3</v>
      </c>
      <c r="AE689">
        <v>11</v>
      </c>
      <c r="AF689">
        <v>8</v>
      </c>
      <c r="AG689">
        <v>3</v>
      </c>
      <c r="AH689">
        <v>9</v>
      </c>
      <c r="AI689" t="str">
        <f t="shared" si="40"/>
        <v>10+ Years</v>
      </c>
      <c r="AJ689" t="str">
        <f t="shared" si="41"/>
        <v>3-5</v>
      </c>
    </row>
    <row r="690" spans="1:36" x14ac:dyDescent="0.35">
      <c r="A690">
        <v>689</v>
      </c>
      <c r="B690">
        <v>19</v>
      </c>
      <c r="C690" t="str">
        <f t="shared" si="42"/>
        <v>18-25</v>
      </c>
      <c r="D690" t="s">
        <v>31</v>
      </c>
      <c r="E690" t="s">
        <v>32</v>
      </c>
      <c r="F690" s="3">
        <v>1389</v>
      </c>
      <c r="G690" t="s">
        <v>33</v>
      </c>
      <c r="H690" s="1">
        <v>21</v>
      </c>
      <c r="I690" t="s">
        <v>61</v>
      </c>
      <c r="J690" t="s">
        <v>44</v>
      </c>
      <c r="K690" t="s">
        <v>62</v>
      </c>
      <c r="L690" t="s">
        <v>41</v>
      </c>
      <c r="M690" s="3">
        <v>37</v>
      </c>
      <c r="N690" t="s">
        <v>61</v>
      </c>
      <c r="O690" t="s">
        <v>59</v>
      </c>
      <c r="P690" t="s">
        <v>52</v>
      </c>
      <c r="Q690" t="s">
        <v>61</v>
      </c>
      <c r="R690" t="s">
        <v>37</v>
      </c>
      <c r="S690" s="3">
        <v>2121</v>
      </c>
      <c r="T690" s="3">
        <v>9947</v>
      </c>
      <c r="U690" s="3" t="str">
        <f t="shared" si="43"/>
        <v>Low</v>
      </c>
      <c r="V690">
        <v>1</v>
      </c>
      <c r="W690" t="s">
        <v>31</v>
      </c>
      <c r="X690" s="2">
        <v>13</v>
      </c>
      <c r="Y690" t="s">
        <v>60</v>
      </c>
      <c r="Z690" t="s">
        <v>61</v>
      </c>
      <c r="AA690">
        <v>0</v>
      </c>
      <c r="AB690">
        <v>1</v>
      </c>
      <c r="AC690">
        <v>3</v>
      </c>
      <c r="AD690">
        <v>4</v>
      </c>
      <c r="AE690">
        <v>1</v>
      </c>
      <c r="AF690">
        <v>0</v>
      </c>
      <c r="AG690">
        <v>0</v>
      </c>
      <c r="AH690">
        <v>0</v>
      </c>
      <c r="AI690" t="str">
        <f t="shared" si="40"/>
        <v>0-2 Years</v>
      </c>
      <c r="AJ690" t="str">
        <f t="shared" si="41"/>
        <v>0-2</v>
      </c>
    </row>
    <row r="691" spans="1:36" x14ac:dyDescent="0.35">
      <c r="A691">
        <v>690</v>
      </c>
      <c r="B691">
        <v>20</v>
      </c>
      <c r="C691" t="str">
        <f t="shared" si="42"/>
        <v>18-25</v>
      </c>
      <c r="D691" t="s">
        <v>31</v>
      </c>
      <c r="E691" t="s">
        <v>32</v>
      </c>
      <c r="F691" s="3">
        <v>1389</v>
      </c>
      <c r="G691" t="s">
        <v>40</v>
      </c>
      <c r="H691" s="1">
        <v>4</v>
      </c>
      <c r="I691" t="s">
        <v>61</v>
      </c>
      <c r="J691" t="s">
        <v>55</v>
      </c>
      <c r="K691" t="s">
        <v>59</v>
      </c>
      <c r="L691" t="s">
        <v>41</v>
      </c>
      <c r="M691" s="3">
        <v>84</v>
      </c>
      <c r="N691" t="s">
        <v>60</v>
      </c>
      <c r="O691" t="s">
        <v>59</v>
      </c>
      <c r="P691" t="s">
        <v>45</v>
      </c>
      <c r="Q691" t="s">
        <v>59</v>
      </c>
      <c r="R691" t="s">
        <v>37</v>
      </c>
      <c r="S691" s="3">
        <v>2973</v>
      </c>
      <c r="T691" s="3">
        <v>13008</v>
      </c>
      <c r="U691" s="3" t="str">
        <f t="shared" si="43"/>
        <v>Low</v>
      </c>
      <c r="V691">
        <v>1</v>
      </c>
      <c r="W691" t="s">
        <v>38</v>
      </c>
      <c r="X691" s="2">
        <v>19</v>
      </c>
      <c r="Y691" t="s">
        <v>60</v>
      </c>
      <c r="Z691" t="s">
        <v>61</v>
      </c>
      <c r="AA691">
        <v>0</v>
      </c>
      <c r="AB691">
        <v>1</v>
      </c>
      <c r="AC691">
        <v>2</v>
      </c>
      <c r="AD691">
        <v>3</v>
      </c>
      <c r="AE691">
        <v>1</v>
      </c>
      <c r="AF691">
        <v>0</v>
      </c>
      <c r="AG691">
        <v>0</v>
      </c>
      <c r="AH691">
        <v>0</v>
      </c>
      <c r="AI691" t="str">
        <f t="shared" si="40"/>
        <v>0-2 Years</v>
      </c>
      <c r="AJ691" t="str">
        <f t="shared" si="41"/>
        <v>0-2</v>
      </c>
    </row>
    <row r="692" spans="1:36" x14ac:dyDescent="0.35">
      <c r="A692">
        <v>691</v>
      </c>
      <c r="B692">
        <v>31</v>
      </c>
      <c r="C692" t="str">
        <f t="shared" si="42"/>
        <v>26-35</v>
      </c>
      <c r="D692" t="s">
        <v>38</v>
      </c>
      <c r="E692" t="s">
        <v>32</v>
      </c>
      <c r="F692" s="3">
        <v>1389</v>
      </c>
      <c r="G692" t="s">
        <v>40</v>
      </c>
      <c r="H692" s="1">
        <v>12</v>
      </c>
      <c r="I692" t="s">
        <v>61</v>
      </c>
      <c r="J692" t="s">
        <v>46</v>
      </c>
      <c r="K692" t="s">
        <v>62</v>
      </c>
      <c r="L692" t="s">
        <v>35</v>
      </c>
      <c r="M692" s="3">
        <v>41</v>
      </c>
      <c r="N692" t="s">
        <v>60</v>
      </c>
      <c r="O692" t="s">
        <v>61</v>
      </c>
      <c r="P692" t="s">
        <v>49</v>
      </c>
      <c r="Q692" t="s">
        <v>62</v>
      </c>
      <c r="R692" t="s">
        <v>43</v>
      </c>
      <c r="S692" s="3">
        <v>5855</v>
      </c>
      <c r="T692" s="3">
        <v>17369</v>
      </c>
      <c r="U692" s="3" t="str">
        <f t="shared" si="43"/>
        <v>Medium</v>
      </c>
      <c r="V692">
        <v>0</v>
      </c>
      <c r="W692" t="s">
        <v>31</v>
      </c>
      <c r="X692" s="2">
        <v>11</v>
      </c>
      <c r="Y692" t="s">
        <v>60</v>
      </c>
      <c r="Z692" t="s">
        <v>60</v>
      </c>
      <c r="AA692">
        <v>2</v>
      </c>
      <c r="AB692">
        <v>10</v>
      </c>
      <c r="AC692">
        <v>2</v>
      </c>
      <c r="AD692">
        <v>1</v>
      </c>
      <c r="AE692">
        <v>9</v>
      </c>
      <c r="AF692">
        <v>7</v>
      </c>
      <c r="AG692">
        <v>8</v>
      </c>
      <c r="AH692">
        <v>5</v>
      </c>
      <c r="AI692" t="str">
        <f t="shared" si="40"/>
        <v>6-10 Years</v>
      </c>
      <c r="AJ692" t="str">
        <f t="shared" si="41"/>
        <v>6+</v>
      </c>
    </row>
    <row r="693" spans="1:36" x14ac:dyDescent="0.35">
      <c r="A693">
        <v>692</v>
      </c>
      <c r="B693">
        <v>40</v>
      </c>
      <c r="C693" t="str">
        <f t="shared" si="42"/>
        <v>36-45</v>
      </c>
      <c r="D693" t="s">
        <v>38</v>
      </c>
      <c r="E693" t="s">
        <v>39</v>
      </c>
      <c r="F693" s="3">
        <v>1389</v>
      </c>
      <c r="G693" t="s">
        <v>40</v>
      </c>
      <c r="H693" s="1">
        <v>9</v>
      </c>
      <c r="I693" t="s">
        <v>60</v>
      </c>
      <c r="J693" t="s">
        <v>46</v>
      </c>
      <c r="K693" t="s">
        <v>62</v>
      </c>
      <c r="L693" t="s">
        <v>41</v>
      </c>
      <c r="M693" s="3">
        <v>35</v>
      </c>
      <c r="N693" t="s">
        <v>60</v>
      </c>
      <c r="O693" t="s">
        <v>59</v>
      </c>
      <c r="P693" t="s">
        <v>42</v>
      </c>
      <c r="Q693" t="s">
        <v>61</v>
      </c>
      <c r="R693" t="s">
        <v>47</v>
      </c>
      <c r="S693" s="3">
        <v>3617</v>
      </c>
      <c r="T693" s="3">
        <v>25063</v>
      </c>
      <c r="U693" s="3" t="str">
        <f t="shared" si="43"/>
        <v>Low</v>
      </c>
      <c r="V693">
        <v>8</v>
      </c>
      <c r="W693" t="s">
        <v>31</v>
      </c>
      <c r="X693" s="2">
        <v>14</v>
      </c>
      <c r="Y693" t="s">
        <v>60</v>
      </c>
      <c r="Z693" t="s">
        <v>62</v>
      </c>
      <c r="AA693">
        <v>1</v>
      </c>
      <c r="AB693">
        <v>3</v>
      </c>
      <c r="AC693">
        <v>2</v>
      </c>
      <c r="AD693">
        <v>3</v>
      </c>
      <c r="AE693">
        <v>1</v>
      </c>
      <c r="AF693">
        <v>1</v>
      </c>
      <c r="AG693">
        <v>0</v>
      </c>
      <c r="AH693">
        <v>0</v>
      </c>
      <c r="AI693" t="str">
        <f t="shared" si="40"/>
        <v>0-2 Years</v>
      </c>
      <c r="AJ693" t="str">
        <f t="shared" si="41"/>
        <v>0-2</v>
      </c>
    </row>
    <row r="694" spans="1:36" x14ac:dyDescent="0.35">
      <c r="A694">
        <v>693</v>
      </c>
      <c r="B694">
        <v>32</v>
      </c>
      <c r="C694" t="str">
        <f t="shared" si="42"/>
        <v>26-35</v>
      </c>
      <c r="D694" t="s">
        <v>38</v>
      </c>
      <c r="E694" t="s">
        <v>32</v>
      </c>
      <c r="F694" s="3">
        <v>1389</v>
      </c>
      <c r="G694" t="s">
        <v>40</v>
      </c>
      <c r="H694" s="1">
        <v>3</v>
      </c>
      <c r="I694" t="s">
        <v>60</v>
      </c>
      <c r="J694" t="s">
        <v>46</v>
      </c>
      <c r="K694" t="s">
        <v>60</v>
      </c>
      <c r="L694" t="s">
        <v>35</v>
      </c>
      <c r="M694" s="3">
        <v>93</v>
      </c>
      <c r="N694" t="s">
        <v>60</v>
      </c>
      <c r="O694" t="s">
        <v>61</v>
      </c>
      <c r="P694" t="s">
        <v>48</v>
      </c>
      <c r="Q694" t="s">
        <v>59</v>
      </c>
      <c r="R694" t="s">
        <v>43</v>
      </c>
      <c r="S694" s="3">
        <v>6725</v>
      </c>
      <c r="T694" s="3">
        <v>13554</v>
      </c>
      <c r="U694" s="3" t="str">
        <f t="shared" si="43"/>
        <v>Medium</v>
      </c>
      <c r="V694">
        <v>1</v>
      </c>
      <c r="W694" t="s">
        <v>38</v>
      </c>
      <c r="X694" s="2">
        <v>12</v>
      </c>
      <c r="Y694" t="s">
        <v>60</v>
      </c>
      <c r="Z694" t="s">
        <v>60</v>
      </c>
      <c r="AA694">
        <v>1</v>
      </c>
      <c r="AB694">
        <v>8</v>
      </c>
      <c r="AC694">
        <v>2</v>
      </c>
      <c r="AD694">
        <v>4</v>
      </c>
      <c r="AE694">
        <v>8</v>
      </c>
      <c r="AF694">
        <v>7</v>
      </c>
      <c r="AG694">
        <v>6</v>
      </c>
      <c r="AH694">
        <v>3</v>
      </c>
      <c r="AI694" t="str">
        <f t="shared" si="40"/>
        <v>6-10 Years</v>
      </c>
      <c r="AJ694" t="str">
        <f t="shared" si="41"/>
        <v>6+</v>
      </c>
    </row>
    <row r="695" spans="1:36" x14ac:dyDescent="0.35">
      <c r="A695">
        <v>694</v>
      </c>
      <c r="B695">
        <v>36</v>
      </c>
      <c r="C695" t="str">
        <f t="shared" si="42"/>
        <v>36-45</v>
      </c>
      <c r="D695" t="s">
        <v>31</v>
      </c>
      <c r="E695" t="s">
        <v>32</v>
      </c>
      <c r="F695" s="3">
        <v>1389</v>
      </c>
      <c r="G695" t="s">
        <v>33</v>
      </c>
      <c r="H695" s="1">
        <v>3</v>
      </c>
      <c r="I695" t="s">
        <v>59</v>
      </c>
      <c r="J695" t="s">
        <v>34</v>
      </c>
      <c r="K695" t="s">
        <v>60</v>
      </c>
      <c r="L695" t="s">
        <v>41</v>
      </c>
      <c r="M695" s="3">
        <v>51</v>
      </c>
      <c r="N695" t="s">
        <v>61</v>
      </c>
      <c r="O695" t="s">
        <v>60</v>
      </c>
      <c r="P695" t="s">
        <v>36</v>
      </c>
      <c r="Q695" t="s">
        <v>62</v>
      </c>
      <c r="R695" t="s">
        <v>43</v>
      </c>
      <c r="S695" s="3">
        <v>10325</v>
      </c>
      <c r="T695" s="3">
        <v>5518</v>
      </c>
      <c r="U695" s="3" t="str">
        <f t="shared" si="43"/>
        <v>High</v>
      </c>
      <c r="V695">
        <v>1</v>
      </c>
      <c r="W695" t="s">
        <v>31</v>
      </c>
      <c r="X695" s="2">
        <v>11</v>
      </c>
      <c r="Y695" t="s">
        <v>60</v>
      </c>
      <c r="Z695" t="s">
        <v>59</v>
      </c>
      <c r="AA695">
        <v>1</v>
      </c>
      <c r="AB695">
        <v>16</v>
      </c>
      <c r="AC695">
        <v>6</v>
      </c>
      <c r="AD695">
        <v>3</v>
      </c>
      <c r="AE695">
        <v>16</v>
      </c>
      <c r="AF695">
        <v>7</v>
      </c>
      <c r="AG695">
        <v>3</v>
      </c>
      <c r="AH695">
        <v>7</v>
      </c>
      <c r="AI695" t="str">
        <f t="shared" si="40"/>
        <v>10+ Years</v>
      </c>
      <c r="AJ695" t="str">
        <f t="shared" si="41"/>
        <v>3-5</v>
      </c>
    </row>
    <row r="696" spans="1:36" x14ac:dyDescent="0.35">
      <c r="A696">
        <v>695</v>
      </c>
      <c r="B696">
        <v>33</v>
      </c>
      <c r="C696" t="str">
        <f t="shared" si="42"/>
        <v>26-35</v>
      </c>
      <c r="D696" t="s">
        <v>38</v>
      </c>
      <c r="E696" t="s">
        <v>32</v>
      </c>
      <c r="F696" s="3">
        <v>1389</v>
      </c>
      <c r="G696" t="s">
        <v>40</v>
      </c>
      <c r="H696" s="1">
        <v>1</v>
      </c>
      <c r="I696" t="s">
        <v>61</v>
      </c>
      <c r="J696" t="s">
        <v>34</v>
      </c>
      <c r="K696" t="s">
        <v>61</v>
      </c>
      <c r="L696" t="s">
        <v>35</v>
      </c>
      <c r="M696" s="3">
        <v>42</v>
      </c>
      <c r="N696" t="s">
        <v>61</v>
      </c>
      <c r="O696" t="s">
        <v>61</v>
      </c>
      <c r="P696" t="s">
        <v>49</v>
      </c>
      <c r="Q696" t="s">
        <v>62</v>
      </c>
      <c r="R696" t="s">
        <v>37</v>
      </c>
      <c r="S696" s="3">
        <v>6949</v>
      </c>
      <c r="T696" s="3">
        <v>12291</v>
      </c>
      <c r="U696" s="3" t="str">
        <f t="shared" si="43"/>
        <v>Medium</v>
      </c>
      <c r="V696">
        <v>0</v>
      </c>
      <c r="W696" t="s">
        <v>38</v>
      </c>
      <c r="X696" s="2">
        <v>14</v>
      </c>
      <c r="Y696" t="s">
        <v>60</v>
      </c>
      <c r="Z696" t="s">
        <v>59</v>
      </c>
      <c r="AA696">
        <v>0</v>
      </c>
      <c r="AB696">
        <v>6</v>
      </c>
      <c r="AC696">
        <v>3</v>
      </c>
      <c r="AD696">
        <v>3</v>
      </c>
      <c r="AE696">
        <v>5</v>
      </c>
      <c r="AF696">
        <v>0</v>
      </c>
      <c r="AG696">
        <v>1</v>
      </c>
      <c r="AH696">
        <v>4</v>
      </c>
      <c r="AI696" t="str">
        <f t="shared" si="40"/>
        <v>3-5 Years</v>
      </c>
      <c r="AJ696" t="str">
        <f t="shared" si="41"/>
        <v>0-2</v>
      </c>
    </row>
    <row r="697" spans="1:36" x14ac:dyDescent="0.35">
      <c r="A697">
        <v>696</v>
      </c>
      <c r="B697">
        <v>37</v>
      </c>
      <c r="C697" t="str">
        <f t="shared" si="42"/>
        <v>36-45</v>
      </c>
      <c r="D697" t="s">
        <v>31</v>
      </c>
      <c r="E697" t="s">
        <v>32</v>
      </c>
      <c r="F697" s="3">
        <v>1389</v>
      </c>
      <c r="G697" t="s">
        <v>33</v>
      </c>
      <c r="H697" s="1">
        <v>1</v>
      </c>
      <c r="I697" t="s">
        <v>60</v>
      </c>
      <c r="J697" t="s">
        <v>34</v>
      </c>
      <c r="K697" t="s">
        <v>59</v>
      </c>
      <c r="L697" t="s">
        <v>41</v>
      </c>
      <c r="M697" s="3">
        <v>46</v>
      </c>
      <c r="N697" t="s">
        <v>61</v>
      </c>
      <c r="O697" t="s">
        <v>60</v>
      </c>
      <c r="P697" t="s">
        <v>36</v>
      </c>
      <c r="Q697" t="s">
        <v>60</v>
      </c>
      <c r="R697" t="s">
        <v>43</v>
      </c>
      <c r="S697" s="3">
        <v>10609</v>
      </c>
      <c r="T697" s="3">
        <v>14922</v>
      </c>
      <c r="U697" s="3" t="str">
        <f t="shared" si="43"/>
        <v>High</v>
      </c>
      <c r="V697">
        <v>5</v>
      </c>
      <c r="W697" t="s">
        <v>38</v>
      </c>
      <c r="X697" s="2">
        <v>11</v>
      </c>
      <c r="Y697" t="s">
        <v>60</v>
      </c>
      <c r="Z697" t="s">
        <v>60</v>
      </c>
      <c r="AA697">
        <v>0</v>
      </c>
      <c r="AB697">
        <v>17</v>
      </c>
      <c r="AC697">
        <v>2</v>
      </c>
      <c r="AD697">
        <v>1</v>
      </c>
      <c r="AE697">
        <v>14</v>
      </c>
      <c r="AF697">
        <v>1</v>
      </c>
      <c r="AG697">
        <v>11</v>
      </c>
      <c r="AH697">
        <v>7</v>
      </c>
      <c r="AI697" t="str">
        <f t="shared" si="40"/>
        <v>10+ Years</v>
      </c>
      <c r="AJ697" t="str">
        <f t="shared" si="41"/>
        <v>6+</v>
      </c>
    </row>
    <row r="698" spans="1:36" x14ac:dyDescent="0.35">
      <c r="A698">
        <v>697</v>
      </c>
      <c r="B698">
        <v>45</v>
      </c>
      <c r="C698" t="str">
        <f t="shared" si="42"/>
        <v>36-45</v>
      </c>
      <c r="D698" t="s">
        <v>38</v>
      </c>
      <c r="E698" t="s">
        <v>50</v>
      </c>
      <c r="F698" s="3">
        <v>1389</v>
      </c>
      <c r="G698" t="s">
        <v>40</v>
      </c>
      <c r="H698" s="1">
        <v>4</v>
      </c>
      <c r="I698" t="s">
        <v>58</v>
      </c>
      <c r="J698" t="s">
        <v>34</v>
      </c>
      <c r="K698" t="s">
        <v>60</v>
      </c>
      <c r="L698" t="s">
        <v>41</v>
      </c>
      <c r="M698" s="3">
        <v>57</v>
      </c>
      <c r="N698" t="s">
        <v>60</v>
      </c>
      <c r="O698" t="s">
        <v>61</v>
      </c>
      <c r="P698" t="s">
        <v>45</v>
      </c>
      <c r="Q698" t="s">
        <v>61</v>
      </c>
      <c r="R698" t="s">
        <v>43</v>
      </c>
      <c r="S698" s="3">
        <v>4447</v>
      </c>
      <c r="T698" s="3">
        <v>23163</v>
      </c>
      <c r="U698" s="3" t="str">
        <f t="shared" si="43"/>
        <v>Low</v>
      </c>
      <c r="V698">
        <v>1</v>
      </c>
      <c r="W698" t="s">
        <v>38</v>
      </c>
      <c r="X698" s="2">
        <v>12</v>
      </c>
      <c r="Y698" t="s">
        <v>60</v>
      </c>
      <c r="Z698" t="s">
        <v>61</v>
      </c>
      <c r="AA698">
        <v>0</v>
      </c>
      <c r="AB698">
        <v>9</v>
      </c>
      <c r="AC698">
        <v>5</v>
      </c>
      <c r="AD698">
        <v>2</v>
      </c>
      <c r="AE698">
        <v>9</v>
      </c>
      <c r="AF698">
        <v>7</v>
      </c>
      <c r="AG698">
        <v>0</v>
      </c>
      <c r="AH698">
        <v>8</v>
      </c>
      <c r="AI698" t="str">
        <f t="shared" si="40"/>
        <v>6-10 Years</v>
      </c>
      <c r="AJ698" t="str">
        <f t="shared" si="41"/>
        <v>0-2</v>
      </c>
    </row>
    <row r="699" spans="1:36" x14ac:dyDescent="0.35">
      <c r="A699">
        <v>698</v>
      </c>
      <c r="B699">
        <v>29</v>
      </c>
      <c r="C699" t="str">
        <f t="shared" si="42"/>
        <v>26-35</v>
      </c>
      <c r="D699" t="s">
        <v>38</v>
      </c>
      <c r="E699" t="s">
        <v>39</v>
      </c>
      <c r="F699" s="3">
        <v>1389</v>
      </c>
      <c r="G699" t="s">
        <v>33</v>
      </c>
      <c r="H699" s="1">
        <v>20</v>
      </c>
      <c r="I699" t="s">
        <v>61</v>
      </c>
      <c r="J699" t="s">
        <v>55</v>
      </c>
      <c r="K699" t="s">
        <v>60</v>
      </c>
      <c r="L699" t="s">
        <v>35</v>
      </c>
      <c r="M699" s="3">
        <v>84</v>
      </c>
      <c r="N699" t="s">
        <v>60</v>
      </c>
      <c r="O699" t="s">
        <v>59</v>
      </c>
      <c r="P699" t="s">
        <v>52</v>
      </c>
      <c r="Q699" t="s">
        <v>62</v>
      </c>
      <c r="R699" t="s">
        <v>43</v>
      </c>
      <c r="S699" s="3">
        <v>2157</v>
      </c>
      <c r="T699" s="3">
        <v>18203</v>
      </c>
      <c r="U699" s="3" t="str">
        <f t="shared" si="43"/>
        <v>Low</v>
      </c>
      <c r="V699">
        <v>1</v>
      </c>
      <c r="W699" t="s">
        <v>38</v>
      </c>
      <c r="X699" s="2">
        <v>15</v>
      </c>
      <c r="Y699" t="s">
        <v>60</v>
      </c>
      <c r="Z699" t="s">
        <v>61</v>
      </c>
      <c r="AA699">
        <v>1</v>
      </c>
      <c r="AB699">
        <v>3</v>
      </c>
      <c r="AC699">
        <v>5</v>
      </c>
      <c r="AD699">
        <v>3</v>
      </c>
      <c r="AE699">
        <v>3</v>
      </c>
      <c r="AF699">
        <v>1</v>
      </c>
      <c r="AG699">
        <v>0</v>
      </c>
      <c r="AH699">
        <v>2</v>
      </c>
      <c r="AI699" t="str">
        <f t="shared" si="40"/>
        <v>3-5 Years</v>
      </c>
      <c r="AJ699" t="str">
        <f t="shared" si="41"/>
        <v>0-2</v>
      </c>
    </row>
    <row r="700" spans="1:36" x14ac:dyDescent="0.35">
      <c r="A700">
        <v>699</v>
      </c>
      <c r="B700">
        <v>35</v>
      </c>
      <c r="C700" t="str">
        <f t="shared" si="42"/>
        <v>26-35</v>
      </c>
      <c r="D700" t="s">
        <v>38</v>
      </c>
      <c r="E700" t="s">
        <v>32</v>
      </c>
      <c r="F700" s="3">
        <v>1389</v>
      </c>
      <c r="G700" t="s">
        <v>33</v>
      </c>
      <c r="H700" s="1">
        <v>18</v>
      </c>
      <c r="I700" t="s">
        <v>61</v>
      </c>
      <c r="J700" t="s">
        <v>46</v>
      </c>
      <c r="K700" t="s">
        <v>60</v>
      </c>
      <c r="L700" t="s">
        <v>35</v>
      </c>
      <c r="M700" s="3">
        <v>86</v>
      </c>
      <c r="N700" t="s">
        <v>60</v>
      </c>
      <c r="O700" t="s">
        <v>61</v>
      </c>
      <c r="P700" t="s">
        <v>36</v>
      </c>
      <c r="Q700" t="s">
        <v>60</v>
      </c>
      <c r="R700" t="s">
        <v>43</v>
      </c>
      <c r="S700" s="3">
        <v>4601</v>
      </c>
      <c r="T700" s="3">
        <v>6179</v>
      </c>
      <c r="U700" s="3" t="str">
        <f t="shared" si="43"/>
        <v>Low</v>
      </c>
      <c r="V700">
        <v>1</v>
      </c>
      <c r="W700" t="s">
        <v>38</v>
      </c>
      <c r="X700" s="2">
        <v>16</v>
      </c>
      <c r="Y700" t="s">
        <v>60</v>
      </c>
      <c r="Z700" t="s">
        <v>61</v>
      </c>
      <c r="AA700">
        <v>0</v>
      </c>
      <c r="AB700">
        <v>5</v>
      </c>
      <c r="AC700">
        <v>3</v>
      </c>
      <c r="AD700">
        <v>3</v>
      </c>
      <c r="AE700">
        <v>5</v>
      </c>
      <c r="AF700">
        <v>2</v>
      </c>
      <c r="AG700">
        <v>1</v>
      </c>
      <c r="AH700">
        <v>0</v>
      </c>
      <c r="AI700" t="str">
        <f t="shared" si="40"/>
        <v>3-5 Years</v>
      </c>
      <c r="AJ700" t="str">
        <f t="shared" si="41"/>
        <v>0-2</v>
      </c>
    </row>
    <row r="701" spans="1:36" x14ac:dyDescent="0.35">
      <c r="A701">
        <v>700</v>
      </c>
      <c r="B701">
        <v>52</v>
      </c>
      <c r="C701" t="str">
        <f t="shared" si="42"/>
        <v>46-55</v>
      </c>
      <c r="D701" t="s">
        <v>38</v>
      </c>
      <c r="E701" t="s">
        <v>32</v>
      </c>
      <c r="F701" s="3">
        <v>1389</v>
      </c>
      <c r="G701" t="s">
        <v>40</v>
      </c>
      <c r="H701" s="1">
        <v>1</v>
      </c>
      <c r="I701" t="s">
        <v>58</v>
      </c>
      <c r="J701" t="s">
        <v>34</v>
      </c>
      <c r="K701" t="s">
        <v>62</v>
      </c>
      <c r="L701" t="s">
        <v>41</v>
      </c>
      <c r="M701" s="3">
        <v>70</v>
      </c>
      <c r="N701" t="s">
        <v>60</v>
      </c>
      <c r="O701" t="s">
        <v>62</v>
      </c>
      <c r="P701" t="s">
        <v>51</v>
      </c>
      <c r="Q701" t="s">
        <v>62</v>
      </c>
      <c r="R701" t="s">
        <v>43</v>
      </c>
      <c r="S701" s="3">
        <v>17099</v>
      </c>
      <c r="T701" s="3">
        <v>13829</v>
      </c>
      <c r="U701" s="3" t="str">
        <f t="shared" si="43"/>
        <v>High</v>
      </c>
      <c r="V701">
        <v>2</v>
      </c>
      <c r="W701" t="s">
        <v>38</v>
      </c>
      <c r="X701" s="2">
        <v>15</v>
      </c>
      <c r="Y701" t="s">
        <v>60</v>
      </c>
      <c r="Z701" t="s">
        <v>61</v>
      </c>
      <c r="AA701">
        <v>1</v>
      </c>
      <c r="AB701">
        <v>26</v>
      </c>
      <c r="AC701">
        <v>2</v>
      </c>
      <c r="AD701">
        <v>2</v>
      </c>
      <c r="AE701">
        <v>9</v>
      </c>
      <c r="AF701">
        <v>8</v>
      </c>
      <c r="AG701">
        <v>7</v>
      </c>
      <c r="AH701">
        <v>8</v>
      </c>
      <c r="AI701" t="str">
        <f t="shared" si="40"/>
        <v>6-10 Years</v>
      </c>
      <c r="AJ701" t="str">
        <f t="shared" si="41"/>
        <v>6+</v>
      </c>
    </row>
    <row r="702" spans="1:36" x14ac:dyDescent="0.35">
      <c r="A702">
        <v>701</v>
      </c>
      <c r="B702">
        <v>58</v>
      </c>
      <c r="C702" t="str">
        <f t="shared" si="42"/>
        <v>55+</v>
      </c>
      <c r="D702" t="s">
        <v>31</v>
      </c>
      <c r="E702" t="s">
        <v>32</v>
      </c>
      <c r="F702" s="3">
        <v>1389</v>
      </c>
      <c r="G702" t="s">
        <v>40</v>
      </c>
      <c r="H702" s="1">
        <v>2</v>
      </c>
      <c r="I702" t="s">
        <v>61</v>
      </c>
      <c r="J702" t="s">
        <v>55</v>
      </c>
      <c r="K702" t="s">
        <v>62</v>
      </c>
      <c r="L702" t="s">
        <v>41</v>
      </c>
      <c r="M702" s="3">
        <v>51</v>
      </c>
      <c r="N702" t="s">
        <v>60</v>
      </c>
      <c r="O702" t="s">
        <v>59</v>
      </c>
      <c r="P702" t="s">
        <v>42</v>
      </c>
      <c r="Q702" t="s">
        <v>60</v>
      </c>
      <c r="R702" t="s">
        <v>37</v>
      </c>
      <c r="S702" s="3">
        <v>2479</v>
      </c>
      <c r="T702" s="3">
        <v>26227</v>
      </c>
      <c r="U702" s="3" t="str">
        <f t="shared" si="43"/>
        <v>Low</v>
      </c>
      <c r="V702">
        <v>4</v>
      </c>
      <c r="W702" t="s">
        <v>38</v>
      </c>
      <c r="X702" s="2">
        <v>24</v>
      </c>
      <c r="Y702" t="s">
        <v>62</v>
      </c>
      <c r="Z702" t="s">
        <v>59</v>
      </c>
      <c r="AA702">
        <v>0</v>
      </c>
      <c r="AB702">
        <v>7</v>
      </c>
      <c r="AC702">
        <v>4</v>
      </c>
      <c r="AD702">
        <v>3</v>
      </c>
      <c r="AE702">
        <v>1</v>
      </c>
      <c r="AF702">
        <v>0</v>
      </c>
      <c r="AG702">
        <v>0</v>
      </c>
      <c r="AH702">
        <v>0</v>
      </c>
      <c r="AI702" t="str">
        <f t="shared" si="40"/>
        <v>0-2 Years</v>
      </c>
      <c r="AJ702" t="str">
        <f t="shared" si="41"/>
        <v>0-2</v>
      </c>
    </row>
    <row r="703" spans="1:36" x14ac:dyDescent="0.35">
      <c r="A703">
        <v>702</v>
      </c>
      <c r="B703">
        <v>53</v>
      </c>
      <c r="C703" t="str">
        <f t="shared" si="42"/>
        <v>46-55</v>
      </c>
      <c r="D703" t="s">
        <v>38</v>
      </c>
      <c r="E703" t="s">
        <v>32</v>
      </c>
      <c r="F703" s="3">
        <v>1389</v>
      </c>
      <c r="G703" t="s">
        <v>33</v>
      </c>
      <c r="H703" s="1">
        <v>2</v>
      </c>
      <c r="I703" t="s">
        <v>58</v>
      </c>
      <c r="J703" t="s">
        <v>46</v>
      </c>
      <c r="K703" t="s">
        <v>60</v>
      </c>
      <c r="L703" t="s">
        <v>41</v>
      </c>
      <c r="M703" s="3">
        <v>45</v>
      </c>
      <c r="N703" t="s">
        <v>60</v>
      </c>
      <c r="O703" t="s">
        <v>62</v>
      </c>
      <c r="P703" t="s">
        <v>51</v>
      </c>
      <c r="Q703" t="s">
        <v>60</v>
      </c>
      <c r="R703" t="s">
        <v>47</v>
      </c>
      <c r="S703" s="3">
        <v>14852</v>
      </c>
      <c r="T703" s="3">
        <v>13938</v>
      </c>
      <c r="U703" s="3" t="str">
        <f t="shared" si="43"/>
        <v>High</v>
      </c>
      <c r="V703">
        <v>6</v>
      </c>
      <c r="W703" t="s">
        <v>38</v>
      </c>
      <c r="X703" s="2">
        <v>13</v>
      </c>
      <c r="Y703" t="s">
        <v>60</v>
      </c>
      <c r="Z703" t="s">
        <v>60</v>
      </c>
      <c r="AA703">
        <v>1</v>
      </c>
      <c r="AB703">
        <v>22</v>
      </c>
      <c r="AC703">
        <v>3</v>
      </c>
      <c r="AD703">
        <v>4</v>
      </c>
      <c r="AE703">
        <v>17</v>
      </c>
      <c r="AF703">
        <v>13</v>
      </c>
      <c r="AG703">
        <v>15</v>
      </c>
      <c r="AH703">
        <v>2</v>
      </c>
      <c r="AI703" t="str">
        <f t="shared" si="40"/>
        <v>10+ Years</v>
      </c>
      <c r="AJ703" t="str">
        <f t="shared" si="41"/>
        <v>6+</v>
      </c>
    </row>
    <row r="704" spans="1:36" x14ac:dyDescent="0.35">
      <c r="A704">
        <v>703</v>
      </c>
      <c r="B704">
        <v>30</v>
      </c>
      <c r="C704" t="str">
        <f t="shared" si="42"/>
        <v>26-35</v>
      </c>
      <c r="D704" t="s">
        <v>38</v>
      </c>
      <c r="E704" t="s">
        <v>32</v>
      </c>
      <c r="F704" s="3">
        <v>1389</v>
      </c>
      <c r="G704" t="s">
        <v>33</v>
      </c>
      <c r="H704" s="1">
        <v>8</v>
      </c>
      <c r="I704" t="s">
        <v>58</v>
      </c>
      <c r="J704" t="s">
        <v>44</v>
      </c>
      <c r="K704" t="s">
        <v>60</v>
      </c>
      <c r="L704" t="s">
        <v>41</v>
      </c>
      <c r="M704" s="3">
        <v>62</v>
      </c>
      <c r="N704" t="s">
        <v>60</v>
      </c>
      <c r="O704" t="s">
        <v>60</v>
      </c>
      <c r="P704" t="s">
        <v>36</v>
      </c>
      <c r="Q704" t="s">
        <v>60</v>
      </c>
      <c r="R704" t="s">
        <v>47</v>
      </c>
      <c r="S704" s="3">
        <v>7264</v>
      </c>
      <c r="T704" s="3">
        <v>9977</v>
      </c>
      <c r="U704" s="3" t="str">
        <f t="shared" si="43"/>
        <v>Medium</v>
      </c>
      <c r="V704">
        <v>5</v>
      </c>
      <c r="W704" t="s">
        <v>38</v>
      </c>
      <c r="X704" s="2">
        <v>11</v>
      </c>
      <c r="Y704" t="s">
        <v>60</v>
      </c>
      <c r="Z704" t="s">
        <v>59</v>
      </c>
      <c r="AA704">
        <v>1</v>
      </c>
      <c r="AB704">
        <v>10</v>
      </c>
      <c r="AC704">
        <v>2</v>
      </c>
      <c r="AD704">
        <v>4</v>
      </c>
      <c r="AE704">
        <v>8</v>
      </c>
      <c r="AF704">
        <v>4</v>
      </c>
      <c r="AG704">
        <v>7</v>
      </c>
      <c r="AH704">
        <v>7</v>
      </c>
      <c r="AI704" t="str">
        <f t="shared" si="40"/>
        <v>6-10 Years</v>
      </c>
      <c r="AJ704" t="str">
        <f t="shared" si="41"/>
        <v>6+</v>
      </c>
    </row>
    <row r="705" spans="1:36" x14ac:dyDescent="0.35">
      <c r="A705">
        <v>704</v>
      </c>
      <c r="B705">
        <v>38</v>
      </c>
      <c r="C705" t="str">
        <f t="shared" si="42"/>
        <v>36-45</v>
      </c>
      <c r="D705" t="s">
        <v>38</v>
      </c>
      <c r="E705" t="s">
        <v>50</v>
      </c>
      <c r="F705" s="3">
        <v>1389</v>
      </c>
      <c r="G705" t="s">
        <v>33</v>
      </c>
      <c r="H705" s="1">
        <v>10</v>
      </c>
      <c r="I705" t="s">
        <v>61</v>
      </c>
      <c r="J705" t="s">
        <v>55</v>
      </c>
      <c r="K705" t="s">
        <v>60</v>
      </c>
      <c r="L705" t="s">
        <v>35</v>
      </c>
      <c r="M705" s="3">
        <v>85</v>
      </c>
      <c r="N705" t="s">
        <v>60</v>
      </c>
      <c r="O705" t="s">
        <v>61</v>
      </c>
      <c r="P705" t="s">
        <v>36</v>
      </c>
      <c r="Q705" t="s">
        <v>62</v>
      </c>
      <c r="R705" t="s">
        <v>37</v>
      </c>
      <c r="S705" s="3">
        <v>5666</v>
      </c>
      <c r="T705" s="3">
        <v>19899</v>
      </c>
      <c r="U705" s="3" t="str">
        <f t="shared" si="43"/>
        <v>Medium</v>
      </c>
      <c r="V705">
        <v>1</v>
      </c>
      <c r="W705" t="s">
        <v>31</v>
      </c>
      <c r="X705" s="2">
        <v>13</v>
      </c>
      <c r="Y705" t="s">
        <v>60</v>
      </c>
      <c r="Z705" t="s">
        <v>61</v>
      </c>
      <c r="AA705">
        <v>0</v>
      </c>
      <c r="AB705">
        <v>6</v>
      </c>
      <c r="AC705">
        <v>1</v>
      </c>
      <c r="AD705">
        <v>3</v>
      </c>
      <c r="AE705">
        <v>5</v>
      </c>
      <c r="AF705">
        <v>3</v>
      </c>
      <c r="AG705">
        <v>1</v>
      </c>
      <c r="AH705">
        <v>3</v>
      </c>
      <c r="AI705" t="str">
        <f t="shared" si="40"/>
        <v>3-5 Years</v>
      </c>
      <c r="AJ705" t="str">
        <f t="shared" si="41"/>
        <v>0-2</v>
      </c>
    </row>
    <row r="706" spans="1:36" x14ac:dyDescent="0.35">
      <c r="A706">
        <v>705</v>
      </c>
      <c r="B706">
        <v>35</v>
      </c>
      <c r="C706" t="str">
        <f t="shared" si="42"/>
        <v>26-35</v>
      </c>
      <c r="D706" t="s">
        <v>38</v>
      </c>
      <c r="E706" t="s">
        <v>32</v>
      </c>
      <c r="F706" s="3">
        <v>1389</v>
      </c>
      <c r="G706" t="s">
        <v>33</v>
      </c>
      <c r="H706" s="1">
        <v>3</v>
      </c>
      <c r="I706" t="s">
        <v>60</v>
      </c>
      <c r="J706" t="s">
        <v>34</v>
      </c>
      <c r="K706" t="s">
        <v>62</v>
      </c>
      <c r="L706" t="s">
        <v>41</v>
      </c>
      <c r="M706" s="3">
        <v>92</v>
      </c>
      <c r="N706" t="s">
        <v>60</v>
      </c>
      <c r="O706" t="s">
        <v>60</v>
      </c>
      <c r="P706" t="s">
        <v>36</v>
      </c>
      <c r="Q706" t="s">
        <v>62</v>
      </c>
      <c r="R706" t="s">
        <v>47</v>
      </c>
      <c r="S706" s="3">
        <v>7823</v>
      </c>
      <c r="T706" s="3">
        <v>6812</v>
      </c>
      <c r="U706" s="3" t="str">
        <f t="shared" si="43"/>
        <v>Medium</v>
      </c>
      <c r="V706">
        <v>6</v>
      </c>
      <c r="W706" t="s">
        <v>38</v>
      </c>
      <c r="X706" s="2">
        <v>13</v>
      </c>
      <c r="Y706" t="s">
        <v>60</v>
      </c>
      <c r="Z706" t="s">
        <v>61</v>
      </c>
      <c r="AA706">
        <v>1</v>
      </c>
      <c r="AB706">
        <v>12</v>
      </c>
      <c r="AC706">
        <v>2</v>
      </c>
      <c r="AD706">
        <v>3</v>
      </c>
      <c r="AE706">
        <v>10</v>
      </c>
      <c r="AF706">
        <v>9</v>
      </c>
      <c r="AG706">
        <v>0</v>
      </c>
      <c r="AH706">
        <v>8</v>
      </c>
      <c r="AI706" t="str">
        <f t="shared" ref="AI706:AI769" si="44">IF(AE706&lt;=2,"0-2 Years",
IF(AE706&lt;=5,"3-5 Years",
IF(AE706&lt;=10,"6-10 Years","10+ Years")))</f>
        <v>6-10 Years</v>
      </c>
      <c r="AJ706" t="str">
        <f t="shared" ref="AJ706:AJ769" si="45">IF(AG706&lt;=2,"0-2",
IF(AG706&lt;=5,"3-5","6+"))</f>
        <v>0-2</v>
      </c>
    </row>
    <row r="707" spans="1:36" x14ac:dyDescent="0.35">
      <c r="A707">
        <v>706</v>
      </c>
      <c r="B707">
        <v>39</v>
      </c>
      <c r="C707" t="str">
        <f t="shared" ref="C707:C770" si="46">IF(B707&lt;=25,"18-25",
IF(B707&lt;=35,"26-35",
IF(B707&lt;=45,"36-45",
IF(B707&lt;=55,"46-55","55+"))))</f>
        <v>36-45</v>
      </c>
      <c r="D707" t="s">
        <v>38</v>
      </c>
      <c r="E707" t="s">
        <v>32</v>
      </c>
      <c r="F707" s="3">
        <v>1389</v>
      </c>
      <c r="G707" t="s">
        <v>33</v>
      </c>
      <c r="H707" s="1">
        <v>2</v>
      </c>
      <c r="I707" t="s">
        <v>62</v>
      </c>
      <c r="J707" t="s">
        <v>34</v>
      </c>
      <c r="K707" t="s">
        <v>59</v>
      </c>
      <c r="L707" t="s">
        <v>41</v>
      </c>
      <c r="M707" s="3">
        <v>41</v>
      </c>
      <c r="N707" t="s">
        <v>62</v>
      </c>
      <c r="O707" t="s">
        <v>60</v>
      </c>
      <c r="P707" t="s">
        <v>36</v>
      </c>
      <c r="Q707" t="s">
        <v>60</v>
      </c>
      <c r="R707" t="s">
        <v>37</v>
      </c>
      <c r="S707" s="3">
        <v>7880</v>
      </c>
      <c r="T707" s="3">
        <v>2560</v>
      </c>
      <c r="U707" s="3" t="str">
        <f t="shared" ref="U707:U770" si="47">_xlfn.IFS(S707&lt;5000,"Low",S707&lt;10000,"Medium",S707&gt;10000,"High")</f>
        <v>Medium</v>
      </c>
      <c r="V707">
        <v>0</v>
      </c>
      <c r="W707" t="s">
        <v>38</v>
      </c>
      <c r="X707" s="2">
        <v>18</v>
      </c>
      <c r="Y707" t="s">
        <v>60</v>
      </c>
      <c r="Z707" t="s">
        <v>62</v>
      </c>
      <c r="AA707">
        <v>0</v>
      </c>
      <c r="AB707">
        <v>9</v>
      </c>
      <c r="AC707">
        <v>3</v>
      </c>
      <c r="AD707">
        <v>3</v>
      </c>
      <c r="AE707">
        <v>8</v>
      </c>
      <c r="AF707">
        <v>7</v>
      </c>
      <c r="AG707">
        <v>0</v>
      </c>
      <c r="AH707">
        <v>7</v>
      </c>
      <c r="AI707" t="str">
        <f t="shared" si="44"/>
        <v>6-10 Years</v>
      </c>
      <c r="AJ707" t="str">
        <f t="shared" si="45"/>
        <v>0-2</v>
      </c>
    </row>
    <row r="708" spans="1:36" x14ac:dyDescent="0.35">
      <c r="A708">
        <v>707</v>
      </c>
      <c r="B708">
        <v>40</v>
      </c>
      <c r="C708" t="str">
        <f t="shared" si="46"/>
        <v>36-45</v>
      </c>
      <c r="D708" t="s">
        <v>31</v>
      </c>
      <c r="E708" t="s">
        <v>50</v>
      </c>
      <c r="F708" s="3">
        <v>1389</v>
      </c>
      <c r="G708" t="s">
        <v>33</v>
      </c>
      <c r="H708" s="1">
        <v>24</v>
      </c>
      <c r="I708" t="s">
        <v>61</v>
      </c>
      <c r="J708" t="s">
        <v>34</v>
      </c>
      <c r="K708" t="s">
        <v>61</v>
      </c>
      <c r="L708" t="s">
        <v>35</v>
      </c>
      <c r="M708" s="3">
        <v>100</v>
      </c>
      <c r="N708" t="s">
        <v>62</v>
      </c>
      <c r="O708" t="s">
        <v>62</v>
      </c>
      <c r="P708" t="s">
        <v>36</v>
      </c>
      <c r="Q708" t="s">
        <v>61</v>
      </c>
      <c r="R708" t="s">
        <v>37</v>
      </c>
      <c r="S708" s="3">
        <v>13194</v>
      </c>
      <c r="T708" s="3">
        <v>17071</v>
      </c>
      <c r="U708" s="3" t="str">
        <f t="shared" si="47"/>
        <v>High</v>
      </c>
      <c r="V708">
        <v>4</v>
      </c>
      <c r="W708" t="s">
        <v>31</v>
      </c>
      <c r="X708" s="2">
        <v>16</v>
      </c>
      <c r="Y708" t="s">
        <v>60</v>
      </c>
      <c r="Z708" t="s">
        <v>62</v>
      </c>
      <c r="AA708">
        <v>0</v>
      </c>
      <c r="AB708">
        <v>22</v>
      </c>
      <c r="AC708">
        <v>2</v>
      </c>
      <c r="AD708">
        <v>2</v>
      </c>
      <c r="AE708">
        <v>1</v>
      </c>
      <c r="AF708">
        <v>0</v>
      </c>
      <c r="AG708">
        <v>0</v>
      </c>
      <c r="AH708">
        <v>0</v>
      </c>
      <c r="AI708" t="str">
        <f t="shared" si="44"/>
        <v>0-2 Years</v>
      </c>
      <c r="AJ708" t="str">
        <f t="shared" si="45"/>
        <v>0-2</v>
      </c>
    </row>
    <row r="709" spans="1:36" x14ac:dyDescent="0.35">
      <c r="A709">
        <v>708</v>
      </c>
      <c r="B709">
        <v>47</v>
      </c>
      <c r="C709" t="str">
        <f t="shared" si="46"/>
        <v>46-55</v>
      </c>
      <c r="D709" t="s">
        <v>38</v>
      </c>
      <c r="E709" t="s">
        <v>39</v>
      </c>
      <c r="F709" s="3">
        <v>1389</v>
      </c>
      <c r="G709" t="s">
        <v>40</v>
      </c>
      <c r="H709" s="1">
        <v>16</v>
      </c>
      <c r="I709" t="s">
        <v>60</v>
      </c>
      <c r="J709" t="s">
        <v>46</v>
      </c>
      <c r="K709" t="s">
        <v>60</v>
      </c>
      <c r="L709" t="s">
        <v>41</v>
      </c>
      <c r="M709" s="3">
        <v>64</v>
      </c>
      <c r="N709" t="s">
        <v>62</v>
      </c>
      <c r="O709" t="s">
        <v>61</v>
      </c>
      <c r="P709" t="s">
        <v>48</v>
      </c>
      <c r="Q709" t="s">
        <v>60</v>
      </c>
      <c r="R709" t="s">
        <v>47</v>
      </c>
      <c r="S709" s="3">
        <v>5067</v>
      </c>
      <c r="T709" s="3">
        <v>6759</v>
      </c>
      <c r="U709" s="3" t="str">
        <f t="shared" si="47"/>
        <v>Medium</v>
      </c>
      <c r="V709">
        <v>1</v>
      </c>
      <c r="W709" t="s">
        <v>31</v>
      </c>
      <c r="X709" s="2">
        <v>19</v>
      </c>
      <c r="Y709" t="s">
        <v>60</v>
      </c>
      <c r="Z709" t="s">
        <v>60</v>
      </c>
      <c r="AA709">
        <v>0</v>
      </c>
      <c r="AB709">
        <v>20</v>
      </c>
      <c r="AC709">
        <v>3</v>
      </c>
      <c r="AD709">
        <v>4</v>
      </c>
      <c r="AE709">
        <v>19</v>
      </c>
      <c r="AF709">
        <v>10</v>
      </c>
      <c r="AG709">
        <v>2</v>
      </c>
      <c r="AH709">
        <v>7</v>
      </c>
      <c r="AI709" t="str">
        <f t="shared" si="44"/>
        <v>10+ Years</v>
      </c>
      <c r="AJ709" t="str">
        <f t="shared" si="45"/>
        <v>0-2</v>
      </c>
    </row>
    <row r="710" spans="1:36" x14ac:dyDescent="0.35">
      <c r="A710">
        <v>709</v>
      </c>
      <c r="B710">
        <v>36</v>
      </c>
      <c r="C710" t="str">
        <f t="shared" si="46"/>
        <v>36-45</v>
      </c>
      <c r="D710" t="s">
        <v>38</v>
      </c>
      <c r="E710" t="s">
        <v>50</v>
      </c>
      <c r="F710" s="3">
        <v>1389</v>
      </c>
      <c r="G710" t="s">
        <v>33</v>
      </c>
      <c r="H710" s="1">
        <v>8</v>
      </c>
      <c r="I710" t="s">
        <v>60</v>
      </c>
      <c r="J710" t="s">
        <v>55</v>
      </c>
      <c r="K710" t="s">
        <v>59</v>
      </c>
      <c r="L710" t="s">
        <v>41</v>
      </c>
      <c r="M710" s="3">
        <v>84</v>
      </c>
      <c r="N710" t="s">
        <v>60</v>
      </c>
      <c r="O710" t="s">
        <v>61</v>
      </c>
      <c r="P710" t="s">
        <v>36</v>
      </c>
      <c r="Q710" t="s">
        <v>62</v>
      </c>
      <c r="R710" t="s">
        <v>47</v>
      </c>
      <c r="S710" s="3">
        <v>5079</v>
      </c>
      <c r="T710" s="3">
        <v>25952</v>
      </c>
      <c r="U710" s="3" t="str">
        <f t="shared" si="47"/>
        <v>Medium</v>
      </c>
      <c r="V710">
        <v>4</v>
      </c>
      <c r="W710" t="s">
        <v>38</v>
      </c>
      <c r="X710" s="2">
        <v>13</v>
      </c>
      <c r="Y710" t="s">
        <v>60</v>
      </c>
      <c r="Z710" t="s">
        <v>62</v>
      </c>
      <c r="AA710">
        <v>2</v>
      </c>
      <c r="AB710">
        <v>12</v>
      </c>
      <c r="AC710">
        <v>3</v>
      </c>
      <c r="AD710">
        <v>3</v>
      </c>
      <c r="AE710">
        <v>7</v>
      </c>
      <c r="AF710">
        <v>7</v>
      </c>
      <c r="AG710">
        <v>0</v>
      </c>
      <c r="AH710">
        <v>7</v>
      </c>
      <c r="AI710" t="str">
        <f t="shared" si="44"/>
        <v>6-10 Years</v>
      </c>
      <c r="AJ710" t="str">
        <f t="shared" si="45"/>
        <v>0-2</v>
      </c>
    </row>
    <row r="711" spans="1:36" x14ac:dyDescent="0.35">
      <c r="A711">
        <v>710</v>
      </c>
      <c r="B711">
        <v>31</v>
      </c>
      <c r="C711" t="str">
        <f t="shared" si="46"/>
        <v>26-35</v>
      </c>
      <c r="D711" t="s">
        <v>31</v>
      </c>
      <c r="E711" t="s">
        <v>50</v>
      </c>
      <c r="F711" s="3">
        <v>1389</v>
      </c>
      <c r="G711" t="s">
        <v>40</v>
      </c>
      <c r="H711" s="1">
        <v>9</v>
      </c>
      <c r="I711" t="s">
        <v>58</v>
      </c>
      <c r="J711" t="s">
        <v>46</v>
      </c>
      <c r="K711" t="s">
        <v>60</v>
      </c>
      <c r="L711" t="s">
        <v>41</v>
      </c>
      <c r="M711" s="3">
        <v>46</v>
      </c>
      <c r="N711" t="s">
        <v>61</v>
      </c>
      <c r="O711" t="s">
        <v>59</v>
      </c>
      <c r="P711" t="s">
        <v>42</v>
      </c>
      <c r="Q711" t="s">
        <v>59</v>
      </c>
      <c r="R711" t="s">
        <v>37</v>
      </c>
      <c r="S711" s="3">
        <v>2321</v>
      </c>
      <c r="T711" s="3">
        <v>10322</v>
      </c>
      <c r="U711" s="3" t="str">
        <f t="shared" si="47"/>
        <v>Low</v>
      </c>
      <c r="V711">
        <v>0</v>
      </c>
      <c r="W711" t="s">
        <v>31</v>
      </c>
      <c r="X711" s="2">
        <v>22</v>
      </c>
      <c r="Y711" t="s">
        <v>62</v>
      </c>
      <c r="Z711" t="s">
        <v>59</v>
      </c>
      <c r="AA711">
        <v>0</v>
      </c>
      <c r="AB711">
        <v>4</v>
      </c>
      <c r="AC711">
        <v>0</v>
      </c>
      <c r="AD711">
        <v>3</v>
      </c>
      <c r="AE711">
        <v>3</v>
      </c>
      <c r="AF711">
        <v>2</v>
      </c>
      <c r="AG711">
        <v>1</v>
      </c>
      <c r="AH711">
        <v>2</v>
      </c>
      <c r="AI711" t="str">
        <f t="shared" si="44"/>
        <v>3-5 Years</v>
      </c>
      <c r="AJ711" t="str">
        <f t="shared" si="45"/>
        <v>0-2</v>
      </c>
    </row>
    <row r="712" spans="1:36" x14ac:dyDescent="0.35">
      <c r="A712">
        <v>711</v>
      </c>
      <c r="B712">
        <v>33</v>
      </c>
      <c r="C712" t="str">
        <f t="shared" si="46"/>
        <v>26-35</v>
      </c>
      <c r="D712" t="s">
        <v>38</v>
      </c>
      <c r="E712" t="s">
        <v>50</v>
      </c>
      <c r="F712" s="3">
        <v>1389</v>
      </c>
      <c r="G712" t="s">
        <v>33</v>
      </c>
      <c r="H712" s="1">
        <v>17</v>
      </c>
      <c r="I712" t="s">
        <v>61</v>
      </c>
      <c r="J712" t="s">
        <v>34</v>
      </c>
      <c r="K712" t="s">
        <v>62</v>
      </c>
      <c r="L712" t="s">
        <v>41</v>
      </c>
      <c r="M712" s="3">
        <v>38</v>
      </c>
      <c r="N712" t="s">
        <v>60</v>
      </c>
      <c r="O712" t="s">
        <v>62</v>
      </c>
      <c r="P712" t="s">
        <v>51</v>
      </c>
      <c r="Q712" t="s">
        <v>60</v>
      </c>
      <c r="R712" t="s">
        <v>37</v>
      </c>
      <c r="S712" s="3">
        <v>17444</v>
      </c>
      <c r="T712" s="3">
        <v>20489</v>
      </c>
      <c r="U712" s="3" t="str">
        <f t="shared" si="47"/>
        <v>High</v>
      </c>
      <c r="V712">
        <v>1</v>
      </c>
      <c r="W712" t="s">
        <v>38</v>
      </c>
      <c r="X712" s="2">
        <v>11</v>
      </c>
      <c r="Y712" t="s">
        <v>60</v>
      </c>
      <c r="Z712" t="s">
        <v>62</v>
      </c>
      <c r="AA712">
        <v>0</v>
      </c>
      <c r="AB712">
        <v>10</v>
      </c>
      <c r="AC712">
        <v>2</v>
      </c>
      <c r="AD712">
        <v>3</v>
      </c>
      <c r="AE712">
        <v>10</v>
      </c>
      <c r="AF712">
        <v>8</v>
      </c>
      <c r="AG712">
        <v>6</v>
      </c>
      <c r="AH712">
        <v>0</v>
      </c>
      <c r="AI712" t="str">
        <f t="shared" si="44"/>
        <v>6-10 Years</v>
      </c>
      <c r="AJ712" t="str">
        <f t="shared" si="45"/>
        <v>6+</v>
      </c>
    </row>
    <row r="713" spans="1:36" x14ac:dyDescent="0.35">
      <c r="A713">
        <v>712</v>
      </c>
      <c r="B713">
        <v>29</v>
      </c>
      <c r="C713" t="str">
        <f t="shared" si="46"/>
        <v>26-35</v>
      </c>
      <c r="D713" t="s">
        <v>31</v>
      </c>
      <c r="E713" t="s">
        <v>32</v>
      </c>
      <c r="F713" s="3">
        <v>1389</v>
      </c>
      <c r="G713" t="s">
        <v>40</v>
      </c>
      <c r="H713" s="1">
        <v>10</v>
      </c>
      <c r="I713" t="s">
        <v>61</v>
      </c>
      <c r="J713" t="s">
        <v>34</v>
      </c>
      <c r="K713" t="s">
        <v>62</v>
      </c>
      <c r="L713" t="s">
        <v>35</v>
      </c>
      <c r="M713" s="3">
        <v>92</v>
      </c>
      <c r="N713" t="s">
        <v>61</v>
      </c>
      <c r="O713" t="s">
        <v>59</v>
      </c>
      <c r="P713" t="s">
        <v>42</v>
      </c>
      <c r="Q713" t="s">
        <v>59</v>
      </c>
      <c r="R713" t="s">
        <v>37</v>
      </c>
      <c r="S713" s="3">
        <v>2404</v>
      </c>
      <c r="T713" s="3">
        <v>11479</v>
      </c>
      <c r="U713" s="3" t="str">
        <f t="shared" si="47"/>
        <v>Low</v>
      </c>
      <c r="V713">
        <v>6</v>
      </c>
      <c r="W713" t="s">
        <v>31</v>
      </c>
      <c r="X713" s="2">
        <v>20</v>
      </c>
      <c r="Y713" t="s">
        <v>62</v>
      </c>
      <c r="Z713" t="s">
        <v>60</v>
      </c>
      <c r="AA713">
        <v>0</v>
      </c>
      <c r="AB713">
        <v>3</v>
      </c>
      <c r="AC713">
        <v>5</v>
      </c>
      <c r="AD713">
        <v>3</v>
      </c>
      <c r="AE713">
        <v>0</v>
      </c>
      <c r="AF713">
        <v>0</v>
      </c>
      <c r="AG713">
        <v>0</v>
      </c>
      <c r="AH713">
        <v>0</v>
      </c>
      <c r="AI713" t="str">
        <f t="shared" si="44"/>
        <v>0-2 Years</v>
      </c>
      <c r="AJ713" t="str">
        <f t="shared" si="45"/>
        <v>0-2</v>
      </c>
    </row>
    <row r="714" spans="1:36" x14ac:dyDescent="0.35">
      <c r="A714">
        <v>713</v>
      </c>
      <c r="B714">
        <v>33</v>
      </c>
      <c r="C714" t="str">
        <f t="shared" si="46"/>
        <v>26-35</v>
      </c>
      <c r="D714" t="s">
        <v>38</v>
      </c>
      <c r="E714" t="s">
        <v>32</v>
      </c>
      <c r="F714" s="3">
        <v>1389</v>
      </c>
      <c r="G714" t="s">
        <v>40</v>
      </c>
      <c r="H714" s="1">
        <v>13</v>
      </c>
      <c r="I714" t="s">
        <v>59</v>
      </c>
      <c r="J714" t="s">
        <v>34</v>
      </c>
      <c r="K714" t="s">
        <v>61</v>
      </c>
      <c r="L714" t="s">
        <v>35</v>
      </c>
      <c r="M714" s="3">
        <v>53</v>
      </c>
      <c r="N714" t="s">
        <v>60</v>
      </c>
      <c r="O714" t="s">
        <v>59</v>
      </c>
      <c r="P714" t="s">
        <v>42</v>
      </c>
      <c r="Q714" t="s">
        <v>62</v>
      </c>
      <c r="R714" t="s">
        <v>37</v>
      </c>
      <c r="S714" s="3">
        <v>3452</v>
      </c>
      <c r="T714" s="3">
        <v>17241</v>
      </c>
      <c r="U714" s="3" t="str">
        <f t="shared" si="47"/>
        <v>Low</v>
      </c>
      <c r="V714">
        <v>3</v>
      </c>
      <c r="W714" t="s">
        <v>38</v>
      </c>
      <c r="X714" s="2">
        <v>18</v>
      </c>
      <c r="Y714" t="s">
        <v>60</v>
      </c>
      <c r="Z714" t="s">
        <v>59</v>
      </c>
      <c r="AA714">
        <v>0</v>
      </c>
      <c r="AB714">
        <v>5</v>
      </c>
      <c r="AC714">
        <v>4</v>
      </c>
      <c r="AD714">
        <v>3</v>
      </c>
      <c r="AE714">
        <v>3</v>
      </c>
      <c r="AF714">
        <v>2</v>
      </c>
      <c r="AG714">
        <v>0</v>
      </c>
      <c r="AH714">
        <v>2</v>
      </c>
      <c r="AI714" t="str">
        <f t="shared" si="44"/>
        <v>3-5 Years</v>
      </c>
      <c r="AJ714" t="str">
        <f t="shared" si="45"/>
        <v>0-2</v>
      </c>
    </row>
    <row r="715" spans="1:36" x14ac:dyDescent="0.35">
      <c r="A715">
        <v>714</v>
      </c>
      <c r="B715">
        <v>45</v>
      </c>
      <c r="C715" t="str">
        <f t="shared" si="46"/>
        <v>36-45</v>
      </c>
      <c r="D715" t="s">
        <v>38</v>
      </c>
      <c r="E715" t="s">
        <v>32</v>
      </c>
      <c r="F715" s="3">
        <v>1389</v>
      </c>
      <c r="G715" t="s">
        <v>40</v>
      </c>
      <c r="H715" s="1">
        <v>1</v>
      </c>
      <c r="I715" t="s">
        <v>60</v>
      </c>
      <c r="J715" t="s">
        <v>46</v>
      </c>
      <c r="K715" t="s">
        <v>62</v>
      </c>
      <c r="L715" t="s">
        <v>35</v>
      </c>
      <c r="M715" s="3">
        <v>91</v>
      </c>
      <c r="N715" t="s">
        <v>60</v>
      </c>
      <c r="O715" t="s">
        <v>59</v>
      </c>
      <c r="P715" t="s">
        <v>45</v>
      </c>
      <c r="Q715" t="s">
        <v>62</v>
      </c>
      <c r="R715" t="s">
        <v>47</v>
      </c>
      <c r="S715" s="3">
        <v>2270</v>
      </c>
      <c r="T715" s="3">
        <v>11005</v>
      </c>
      <c r="U715" s="3" t="str">
        <f t="shared" si="47"/>
        <v>Low</v>
      </c>
      <c r="V715">
        <v>3</v>
      </c>
      <c r="W715" t="s">
        <v>38</v>
      </c>
      <c r="X715" s="2">
        <v>14</v>
      </c>
      <c r="Y715" t="s">
        <v>60</v>
      </c>
      <c r="Z715" t="s">
        <v>62</v>
      </c>
      <c r="AA715">
        <v>2</v>
      </c>
      <c r="AB715">
        <v>8</v>
      </c>
      <c r="AC715">
        <v>2</v>
      </c>
      <c r="AD715">
        <v>3</v>
      </c>
      <c r="AE715">
        <v>5</v>
      </c>
      <c r="AF715">
        <v>3</v>
      </c>
      <c r="AG715">
        <v>0</v>
      </c>
      <c r="AH715">
        <v>2</v>
      </c>
      <c r="AI715" t="str">
        <f t="shared" si="44"/>
        <v>3-5 Years</v>
      </c>
      <c r="AJ715" t="str">
        <f t="shared" si="45"/>
        <v>0-2</v>
      </c>
    </row>
    <row r="716" spans="1:36" x14ac:dyDescent="0.35">
      <c r="A716">
        <v>715</v>
      </c>
      <c r="B716">
        <v>50</v>
      </c>
      <c r="C716" t="str">
        <f t="shared" si="46"/>
        <v>46-55</v>
      </c>
      <c r="D716" t="s">
        <v>38</v>
      </c>
      <c r="E716" t="s">
        <v>32</v>
      </c>
      <c r="F716" s="3">
        <v>1389</v>
      </c>
      <c r="G716" t="s">
        <v>40</v>
      </c>
      <c r="H716" s="1">
        <v>1</v>
      </c>
      <c r="I716" t="s">
        <v>58</v>
      </c>
      <c r="J716" t="s">
        <v>46</v>
      </c>
      <c r="K716" t="s">
        <v>62</v>
      </c>
      <c r="L716" t="s">
        <v>41</v>
      </c>
      <c r="M716" s="3">
        <v>66</v>
      </c>
      <c r="N716" t="s">
        <v>60</v>
      </c>
      <c r="O716" t="s">
        <v>62</v>
      </c>
      <c r="P716" t="s">
        <v>53</v>
      </c>
      <c r="Q716" t="s">
        <v>62</v>
      </c>
      <c r="R716" t="s">
        <v>47</v>
      </c>
      <c r="S716" s="3">
        <v>17399</v>
      </c>
      <c r="T716" s="3">
        <v>6615</v>
      </c>
      <c r="U716" s="3" t="str">
        <f t="shared" si="47"/>
        <v>High</v>
      </c>
      <c r="V716">
        <v>9</v>
      </c>
      <c r="W716" t="s">
        <v>38</v>
      </c>
      <c r="X716" s="2">
        <v>22</v>
      </c>
      <c r="Y716" t="s">
        <v>62</v>
      </c>
      <c r="Z716" t="s">
        <v>60</v>
      </c>
      <c r="AA716">
        <v>1</v>
      </c>
      <c r="AB716">
        <v>32</v>
      </c>
      <c r="AC716">
        <v>1</v>
      </c>
      <c r="AD716">
        <v>2</v>
      </c>
      <c r="AE716">
        <v>5</v>
      </c>
      <c r="AF716">
        <v>4</v>
      </c>
      <c r="AG716">
        <v>1</v>
      </c>
      <c r="AH716">
        <v>3</v>
      </c>
      <c r="AI716" t="str">
        <f t="shared" si="44"/>
        <v>3-5 Years</v>
      </c>
      <c r="AJ716" t="str">
        <f t="shared" si="45"/>
        <v>0-2</v>
      </c>
    </row>
    <row r="717" spans="1:36" x14ac:dyDescent="0.35">
      <c r="A717">
        <v>716</v>
      </c>
      <c r="B717">
        <v>33</v>
      </c>
      <c r="C717" t="str">
        <f t="shared" si="46"/>
        <v>26-35</v>
      </c>
      <c r="D717" t="s">
        <v>38</v>
      </c>
      <c r="E717" t="s">
        <v>39</v>
      </c>
      <c r="F717" s="3">
        <v>1389</v>
      </c>
      <c r="G717" t="s">
        <v>40</v>
      </c>
      <c r="H717" s="1">
        <v>1</v>
      </c>
      <c r="I717" t="s">
        <v>60</v>
      </c>
      <c r="J717" t="s">
        <v>44</v>
      </c>
      <c r="K717" t="s">
        <v>60</v>
      </c>
      <c r="L717" t="s">
        <v>35</v>
      </c>
      <c r="M717" s="3">
        <v>84</v>
      </c>
      <c r="N717" t="s">
        <v>62</v>
      </c>
      <c r="O717" t="s">
        <v>61</v>
      </c>
      <c r="P717" t="s">
        <v>49</v>
      </c>
      <c r="Q717" t="s">
        <v>61</v>
      </c>
      <c r="R717" t="s">
        <v>43</v>
      </c>
      <c r="S717" s="3">
        <v>5488</v>
      </c>
      <c r="T717" s="3">
        <v>20161</v>
      </c>
      <c r="U717" s="3" t="str">
        <f t="shared" si="47"/>
        <v>Medium</v>
      </c>
      <c r="V717">
        <v>1</v>
      </c>
      <c r="W717" t="s">
        <v>31</v>
      </c>
      <c r="X717" s="2">
        <v>13</v>
      </c>
      <c r="Y717" t="s">
        <v>60</v>
      </c>
      <c r="Z717" t="s">
        <v>59</v>
      </c>
      <c r="AA717">
        <v>1</v>
      </c>
      <c r="AB717">
        <v>6</v>
      </c>
      <c r="AC717">
        <v>2</v>
      </c>
      <c r="AD717">
        <v>3</v>
      </c>
      <c r="AE717">
        <v>6</v>
      </c>
      <c r="AF717">
        <v>5</v>
      </c>
      <c r="AG717">
        <v>1</v>
      </c>
      <c r="AH717">
        <v>2</v>
      </c>
      <c r="AI717" t="str">
        <f t="shared" si="44"/>
        <v>6-10 Years</v>
      </c>
      <c r="AJ717" t="str">
        <f t="shared" si="45"/>
        <v>0-2</v>
      </c>
    </row>
    <row r="718" spans="1:36" x14ac:dyDescent="0.35">
      <c r="A718">
        <v>717</v>
      </c>
      <c r="B718">
        <v>41</v>
      </c>
      <c r="C718" t="str">
        <f t="shared" si="46"/>
        <v>36-45</v>
      </c>
      <c r="D718" t="s">
        <v>38</v>
      </c>
      <c r="E718" t="s">
        <v>39</v>
      </c>
      <c r="F718" s="3">
        <v>1389</v>
      </c>
      <c r="G718" t="s">
        <v>40</v>
      </c>
      <c r="H718" s="1">
        <v>9</v>
      </c>
      <c r="I718" t="s">
        <v>61</v>
      </c>
      <c r="J718" t="s">
        <v>46</v>
      </c>
      <c r="K718" t="s">
        <v>59</v>
      </c>
      <c r="L718" t="s">
        <v>41</v>
      </c>
      <c r="M718" s="3">
        <v>64</v>
      </c>
      <c r="N718" t="s">
        <v>60</v>
      </c>
      <c r="O718" t="e">
        <v>#N/A</v>
      </c>
      <c r="P718" t="s">
        <v>53</v>
      </c>
      <c r="Q718" t="s">
        <v>60</v>
      </c>
      <c r="R718" t="s">
        <v>47</v>
      </c>
      <c r="S718" s="3">
        <v>19419</v>
      </c>
      <c r="T718" s="3">
        <v>3735</v>
      </c>
      <c r="U718" s="3" t="str">
        <f t="shared" si="47"/>
        <v>High</v>
      </c>
      <c r="V718">
        <v>2</v>
      </c>
      <c r="W718" t="s">
        <v>38</v>
      </c>
      <c r="X718" s="2">
        <v>17</v>
      </c>
      <c r="Y718" t="s">
        <v>60</v>
      </c>
      <c r="Z718" t="s">
        <v>61</v>
      </c>
      <c r="AA718">
        <v>1</v>
      </c>
      <c r="AB718">
        <v>21</v>
      </c>
      <c r="AC718">
        <v>2</v>
      </c>
      <c r="AD718">
        <v>4</v>
      </c>
      <c r="AE718">
        <v>18</v>
      </c>
      <c r="AF718">
        <v>16</v>
      </c>
      <c r="AG718">
        <v>0</v>
      </c>
      <c r="AH718">
        <v>11</v>
      </c>
      <c r="AI718" t="str">
        <f t="shared" si="44"/>
        <v>10+ Years</v>
      </c>
      <c r="AJ718" t="str">
        <f t="shared" si="45"/>
        <v>0-2</v>
      </c>
    </row>
    <row r="719" spans="1:36" x14ac:dyDescent="0.35">
      <c r="A719">
        <v>718</v>
      </c>
      <c r="B719">
        <v>27</v>
      </c>
      <c r="C719" t="str">
        <f t="shared" si="46"/>
        <v>26-35</v>
      </c>
      <c r="D719" t="s">
        <v>38</v>
      </c>
      <c r="E719" t="s">
        <v>32</v>
      </c>
      <c r="F719" s="3">
        <v>1389</v>
      </c>
      <c r="G719" t="s">
        <v>40</v>
      </c>
      <c r="H719" s="1">
        <v>16</v>
      </c>
      <c r="I719" t="s">
        <v>60</v>
      </c>
      <c r="J719" t="s">
        <v>55</v>
      </c>
      <c r="K719" t="s">
        <v>60</v>
      </c>
      <c r="L719" t="s">
        <v>35</v>
      </c>
      <c r="M719" s="3">
        <v>37</v>
      </c>
      <c r="N719" t="s">
        <v>60</v>
      </c>
      <c r="O719" t="s">
        <v>59</v>
      </c>
      <c r="P719" t="s">
        <v>45</v>
      </c>
      <c r="Q719" t="s">
        <v>61</v>
      </c>
      <c r="R719" t="s">
        <v>43</v>
      </c>
      <c r="S719" s="3">
        <v>2811</v>
      </c>
      <c r="T719" s="3">
        <v>12086</v>
      </c>
      <c r="U719" s="3" t="str">
        <f t="shared" si="47"/>
        <v>Low</v>
      </c>
      <c r="V719">
        <v>9</v>
      </c>
      <c r="W719" t="s">
        <v>38</v>
      </c>
      <c r="X719" s="2">
        <v>14</v>
      </c>
      <c r="Y719" t="s">
        <v>60</v>
      </c>
      <c r="Z719" t="s">
        <v>61</v>
      </c>
      <c r="AA719">
        <v>1</v>
      </c>
      <c r="AB719">
        <v>4</v>
      </c>
      <c r="AC719">
        <v>2</v>
      </c>
      <c r="AD719">
        <v>3</v>
      </c>
      <c r="AE719">
        <v>2</v>
      </c>
      <c r="AF719">
        <v>2</v>
      </c>
      <c r="AG719">
        <v>2</v>
      </c>
      <c r="AH719">
        <v>2</v>
      </c>
      <c r="AI719" t="str">
        <f t="shared" si="44"/>
        <v>0-2 Years</v>
      </c>
      <c r="AJ719" t="str">
        <f t="shared" si="45"/>
        <v>0-2</v>
      </c>
    </row>
    <row r="720" spans="1:36" x14ac:dyDescent="0.35">
      <c r="A720">
        <v>719</v>
      </c>
      <c r="B720">
        <v>45</v>
      </c>
      <c r="C720" t="str">
        <f t="shared" si="46"/>
        <v>36-45</v>
      </c>
      <c r="D720" t="s">
        <v>38</v>
      </c>
      <c r="E720" t="s">
        <v>50</v>
      </c>
      <c r="F720" s="3">
        <v>1389</v>
      </c>
      <c r="G720" t="s">
        <v>40</v>
      </c>
      <c r="H720" s="1">
        <v>23</v>
      </c>
      <c r="I720" t="s">
        <v>58</v>
      </c>
      <c r="J720" t="s">
        <v>34</v>
      </c>
      <c r="K720" t="s">
        <v>62</v>
      </c>
      <c r="L720" t="s">
        <v>41</v>
      </c>
      <c r="M720" s="3">
        <v>42</v>
      </c>
      <c r="N720" t="s">
        <v>60</v>
      </c>
      <c r="O720" t="s">
        <v>61</v>
      </c>
      <c r="P720" t="s">
        <v>45</v>
      </c>
      <c r="Q720" t="s">
        <v>59</v>
      </c>
      <c r="R720" t="s">
        <v>43</v>
      </c>
      <c r="S720" s="3">
        <v>3633</v>
      </c>
      <c r="T720" s="3">
        <v>14039</v>
      </c>
      <c r="U720" s="3" t="str">
        <f t="shared" si="47"/>
        <v>Low</v>
      </c>
      <c r="V720">
        <v>1</v>
      </c>
      <c r="W720" t="s">
        <v>31</v>
      </c>
      <c r="X720" s="2">
        <v>15</v>
      </c>
      <c r="Y720" t="s">
        <v>60</v>
      </c>
      <c r="Z720" t="s">
        <v>60</v>
      </c>
      <c r="AA720">
        <v>1</v>
      </c>
      <c r="AB720">
        <v>9</v>
      </c>
      <c r="AC720">
        <v>2</v>
      </c>
      <c r="AD720">
        <v>3</v>
      </c>
      <c r="AE720">
        <v>9</v>
      </c>
      <c r="AF720">
        <v>8</v>
      </c>
      <c r="AG720">
        <v>0</v>
      </c>
      <c r="AH720">
        <v>8</v>
      </c>
      <c r="AI720" t="str">
        <f t="shared" si="44"/>
        <v>6-10 Years</v>
      </c>
      <c r="AJ720" t="str">
        <f t="shared" si="45"/>
        <v>0-2</v>
      </c>
    </row>
    <row r="721" spans="1:36" x14ac:dyDescent="0.35">
      <c r="A721">
        <v>720</v>
      </c>
      <c r="B721">
        <v>47</v>
      </c>
      <c r="C721" t="str">
        <f t="shared" si="46"/>
        <v>46-55</v>
      </c>
      <c r="D721" t="s">
        <v>38</v>
      </c>
      <c r="E721" t="s">
        <v>32</v>
      </c>
      <c r="F721" s="3">
        <v>1389</v>
      </c>
      <c r="G721" t="s">
        <v>33</v>
      </c>
      <c r="H721" s="1">
        <v>4</v>
      </c>
      <c r="I721" t="s">
        <v>58</v>
      </c>
      <c r="J721" t="s">
        <v>34</v>
      </c>
      <c r="K721" t="s">
        <v>62</v>
      </c>
      <c r="L721" t="s">
        <v>35</v>
      </c>
      <c r="M721" s="3">
        <v>83</v>
      </c>
      <c r="N721" t="s">
        <v>60</v>
      </c>
      <c r="O721" t="s">
        <v>61</v>
      </c>
      <c r="P721" t="s">
        <v>36</v>
      </c>
      <c r="Q721" t="s">
        <v>62</v>
      </c>
      <c r="R721" t="s">
        <v>37</v>
      </c>
      <c r="S721" s="3">
        <v>4163</v>
      </c>
      <c r="T721" s="3">
        <v>8571</v>
      </c>
      <c r="U721" s="3" t="str">
        <f t="shared" si="47"/>
        <v>Low</v>
      </c>
      <c r="V721">
        <v>1</v>
      </c>
      <c r="W721" t="s">
        <v>31</v>
      </c>
      <c r="X721" s="2">
        <v>17</v>
      </c>
      <c r="Y721" t="s">
        <v>60</v>
      </c>
      <c r="Z721" t="s">
        <v>60</v>
      </c>
      <c r="AA721">
        <v>0</v>
      </c>
      <c r="AB721">
        <v>9</v>
      </c>
      <c r="AC721">
        <v>0</v>
      </c>
      <c r="AD721">
        <v>3</v>
      </c>
      <c r="AE721">
        <v>9</v>
      </c>
      <c r="AF721">
        <v>0</v>
      </c>
      <c r="AG721">
        <v>0</v>
      </c>
      <c r="AH721">
        <v>7</v>
      </c>
      <c r="AI721" t="str">
        <f t="shared" si="44"/>
        <v>6-10 Years</v>
      </c>
      <c r="AJ721" t="str">
        <f t="shared" si="45"/>
        <v>0-2</v>
      </c>
    </row>
    <row r="722" spans="1:36" x14ac:dyDescent="0.35">
      <c r="A722">
        <v>721</v>
      </c>
      <c r="B722">
        <v>30</v>
      </c>
      <c r="C722" t="str">
        <f t="shared" si="46"/>
        <v>26-35</v>
      </c>
      <c r="D722" t="s">
        <v>31</v>
      </c>
      <c r="E722" t="s">
        <v>32</v>
      </c>
      <c r="F722" s="3">
        <v>1389</v>
      </c>
      <c r="G722" t="s">
        <v>40</v>
      </c>
      <c r="H722" s="1">
        <v>22</v>
      </c>
      <c r="I722" t="s">
        <v>61</v>
      </c>
      <c r="J722" t="s">
        <v>34</v>
      </c>
      <c r="K722" t="s">
        <v>59</v>
      </c>
      <c r="L722" t="s">
        <v>35</v>
      </c>
      <c r="M722" s="3">
        <v>48</v>
      </c>
      <c r="N722" t="s">
        <v>60</v>
      </c>
      <c r="O722" t="s">
        <v>59</v>
      </c>
      <c r="P722" t="s">
        <v>42</v>
      </c>
      <c r="Q722" t="s">
        <v>60</v>
      </c>
      <c r="R722" t="s">
        <v>43</v>
      </c>
      <c r="S722" s="3">
        <v>2132</v>
      </c>
      <c r="T722" s="3">
        <v>11539</v>
      </c>
      <c r="U722" s="3" t="str">
        <f t="shared" si="47"/>
        <v>Low</v>
      </c>
      <c r="V722">
        <v>4</v>
      </c>
      <c r="W722" t="s">
        <v>31</v>
      </c>
      <c r="X722" s="2">
        <v>11</v>
      </c>
      <c r="Y722" t="s">
        <v>60</v>
      </c>
      <c r="Z722" t="s">
        <v>61</v>
      </c>
      <c r="AA722">
        <v>0</v>
      </c>
      <c r="AB722">
        <v>7</v>
      </c>
      <c r="AC722">
        <v>2</v>
      </c>
      <c r="AD722">
        <v>3</v>
      </c>
      <c r="AE722">
        <v>5</v>
      </c>
      <c r="AF722">
        <v>2</v>
      </c>
      <c r="AG722">
        <v>0</v>
      </c>
      <c r="AH722">
        <v>1</v>
      </c>
      <c r="AI722" t="str">
        <f t="shared" si="44"/>
        <v>3-5 Years</v>
      </c>
      <c r="AJ722" t="str">
        <f t="shared" si="45"/>
        <v>0-2</v>
      </c>
    </row>
    <row r="723" spans="1:36" x14ac:dyDescent="0.35">
      <c r="A723">
        <v>722</v>
      </c>
      <c r="B723">
        <v>50</v>
      </c>
      <c r="C723" t="str">
        <f t="shared" si="46"/>
        <v>46-55</v>
      </c>
      <c r="D723" t="s">
        <v>38</v>
      </c>
      <c r="E723" t="s">
        <v>32</v>
      </c>
      <c r="F723" s="3">
        <v>1389</v>
      </c>
      <c r="G723" t="s">
        <v>40</v>
      </c>
      <c r="H723" s="1">
        <v>24</v>
      </c>
      <c r="I723" t="s">
        <v>61</v>
      </c>
      <c r="J723" t="s">
        <v>34</v>
      </c>
      <c r="K723" t="s">
        <v>62</v>
      </c>
      <c r="L723" t="s">
        <v>41</v>
      </c>
      <c r="M723" s="3">
        <v>95</v>
      </c>
      <c r="N723" t="s">
        <v>60</v>
      </c>
      <c r="O723" t="s">
        <v>62</v>
      </c>
      <c r="P723" t="s">
        <v>48</v>
      </c>
      <c r="Q723" t="s">
        <v>60</v>
      </c>
      <c r="R723" t="s">
        <v>43</v>
      </c>
      <c r="S723" s="3">
        <v>13973</v>
      </c>
      <c r="T723" s="3">
        <v>4161</v>
      </c>
      <c r="U723" s="3" t="str">
        <f t="shared" si="47"/>
        <v>High</v>
      </c>
      <c r="V723">
        <v>3</v>
      </c>
      <c r="W723" t="s">
        <v>31</v>
      </c>
      <c r="X723" s="2">
        <v>18</v>
      </c>
      <c r="Y723" t="s">
        <v>60</v>
      </c>
      <c r="Z723" t="s">
        <v>62</v>
      </c>
      <c r="AA723">
        <v>1</v>
      </c>
      <c r="AB723">
        <v>22</v>
      </c>
      <c r="AC723">
        <v>2</v>
      </c>
      <c r="AD723">
        <v>3</v>
      </c>
      <c r="AE723">
        <v>12</v>
      </c>
      <c r="AF723">
        <v>11</v>
      </c>
      <c r="AG723">
        <v>1</v>
      </c>
      <c r="AH723">
        <v>5</v>
      </c>
      <c r="AI723" t="str">
        <f t="shared" si="44"/>
        <v>10+ Years</v>
      </c>
      <c r="AJ723" t="str">
        <f t="shared" si="45"/>
        <v>0-2</v>
      </c>
    </row>
    <row r="724" spans="1:36" x14ac:dyDescent="0.35">
      <c r="A724">
        <v>723</v>
      </c>
      <c r="B724">
        <v>38</v>
      </c>
      <c r="C724" t="str">
        <f t="shared" si="46"/>
        <v>36-45</v>
      </c>
      <c r="D724" t="s">
        <v>38</v>
      </c>
      <c r="E724" t="s">
        <v>39</v>
      </c>
      <c r="F724" s="3">
        <v>1389</v>
      </c>
      <c r="G724" t="s">
        <v>40</v>
      </c>
      <c r="H724" s="1">
        <v>10</v>
      </c>
      <c r="I724" t="s">
        <v>59</v>
      </c>
      <c r="J724" t="s">
        <v>46</v>
      </c>
      <c r="K724" t="s">
        <v>60</v>
      </c>
      <c r="L724" t="s">
        <v>41</v>
      </c>
      <c r="M724" s="3">
        <v>66</v>
      </c>
      <c r="N724" t="s">
        <v>60</v>
      </c>
      <c r="O724" t="s">
        <v>59</v>
      </c>
      <c r="P724" t="s">
        <v>42</v>
      </c>
      <c r="Q724" t="s">
        <v>60</v>
      </c>
      <c r="R724" t="s">
        <v>43</v>
      </c>
      <c r="S724" s="3">
        <v>2684</v>
      </c>
      <c r="T724" s="3">
        <v>12127</v>
      </c>
      <c r="U724" s="3" t="str">
        <f t="shared" si="47"/>
        <v>Low</v>
      </c>
      <c r="V724">
        <v>0</v>
      </c>
      <c r="W724" t="s">
        <v>38</v>
      </c>
      <c r="X724" s="2">
        <v>17</v>
      </c>
      <c r="Y724" t="s">
        <v>60</v>
      </c>
      <c r="Z724" t="s">
        <v>61</v>
      </c>
      <c r="AA724">
        <v>1</v>
      </c>
      <c r="AB724">
        <v>3</v>
      </c>
      <c r="AC724">
        <v>0</v>
      </c>
      <c r="AD724">
        <v>2</v>
      </c>
      <c r="AE724">
        <v>2</v>
      </c>
      <c r="AF724">
        <v>1</v>
      </c>
      <c r="AG724">
        <v>0</v>
      </c>
      <c r="AH724">
        <v>2</v>
      </c>
      <c r="AI724" t="str">
        <f t="shared" si="44"/>
        <v>0-2 Years</v>
      </c>
      <c r="AJ724" t="str">
        <f t="shared" si="45"/>
        <v>0-2</v>
      </c>
    </row>
    <row r="725" spans="1:36" x14ac:dyDescent="0.35">
      <c r="A725">
        <v>724</v>
      </c>
      <c r="B725">
        <v>46</v>
      </c>
      <c r="C725" t="str">
        <f t="shared" si="46"/>
        <v>46-55</v>
      </c>
      <c r="D725" t="s">
        <v>38</v>
      </c>
      <c r="E725" t="s">
        <v>32</v>
      </c>
      <c r="F725" s="3">
        <v>1389</v>
      </c>
      <c r="G725" t="s">
        <v>40</v>
      </c>
      <c r="H725" s="1">
        <v>7</v>
      </c>
      <c r="I725" t="s">
        <v>58</v>
      </c>
      <c r="J725" t="s">
        <v>46</v>
      </c>
      <c r="K725" t="s">
        <v>62</v>
      </c>
      <c r="L725" t="s">
        <v>41</v>
      </c>
      <c r="M725" s="3">
        <v>75</v>
      </c>
      <c r="N725" t="s">
        <v>60</v>
      </c>
      <c r="O725" t="s">
        <v>60</v>
      </c>
      <c r="P725" t="s">
        <v>48</v>
      </c>
      <c r="Q725" t="s">
        <v>60</v>
      </c>
      <c r="R725" t="s">
        <v>47</v>
      </c>
      <c r="S725" s="3">
        <v>10845</v>
      </c>
      <c r="T725" s="3">
        <v>24208</v>
      </c>
      <c r="U725" s="3" t="str">
        <f t="shared" si="47"/>
        <v>High</v>
      </c>
      <c r="V725">
        <v>6</v>
      </c>
      <c r="W725" t="s">
        <v>38</v>
      </c>
      <c r="X725" s="2">
        <v>13</v>
      </c>
      <c r="Y725" t="s">
        <v>60</v>
      </c>
      <c r="Z725" t="s">
        <v>61</v>
      </c>
      <c r="AA725">
        <v>1</v>
      </c>
      <c r="AB725">
        <v>13</v>
      </c>
      <c r="AC725">
        <v>3</v>
      </c>
      <c r="AD725">
        <v>3</v>
      </c>
      <c r="AE725">
        <v>8</v>
      </c>
      <c r="AF725">
        <v>7</v>
      </c>
      <c r="AG725">
        <v>0</v>
      </c>
      <c r="AH725">
        <v>7</v>
      </c>
      <c r="AI725" t="str">
        <f t="shared" si="44"/>
        <v>6-10 Years</v>
      </c>
      <c r="AJ725" t="str">
        <f t="shared" si="45"/>
        <v>0-2</v>
      </c>
    </row>
    <row r="726" spans="1:36" x14ac:dyDescent="0.35">
      <c r="A726">
        <v>725</v>
      </c>
      <c r="B726">
        <v>24</v>
      </c>
      <c r="C726" t="str">
        <f t="shared" si="46"/>
        <v>18-25</v>
      </c>
      <c r="D726" t="s">
        <v>38</v>
      </c>
      <c r="E726" t="s">
        <v>32</v>
      </c>
      <c r="F726" s="3">
        <v>1389</v>
      </c>
      <c r="G726" t="s">
        <v>40</v>
      </c>
      <c r="H726" s="1">
        <v>17</v>
      </c>
      <c r="I726" t="s">
        <v>59</v>
      </c>
      <c r="J726" t="s">
        <v>46</v>
      </c>
      <c r="K726" t="s">
        <v>62</v>
      </c>
      <c r="L726" t="s">
        <v>35</v>
      </c>
      <c r="M726" s="3">
        <v>41</v>
      </c>
      <c r="N726" t="s">
        <v>61</v>
      </c>
      <c r="O726" t="s">
        <v>61</v>
      </c>
      <c r="P726" t="s">
        <v>48</v>
      </c>
      <c r="Q726" t="s">
        <v>60</v>
      </c>
      <c r="R726" t="s">
        <v>47</v>
      </c>
      <c r="S726" s="3">
        <v>4377</v>
      </c>
      <c r="T726" s="3">
        <v>24117</v>
      </c>
      <c r="U726" s="3" t="str">
        <f t="shared" si="47"/>
        <v>Low</v>
      </c>
      <c r="V726">
        <v>1</v>
      </c>
      <c r="W726" t="s">
        <v>38</v>
      </c>
      <c r="X726" s="2">
        <v>15</v>
      </c>
      <c r="Y726" t="s">
        <v>60</v>
      </c>
      <c r="Z726" t="s">
        <v>61</v>
      </c>
      <c r="AA726">
        <v>2</v>
      </c>
      <c r="AB726">
        <v>5</v>
      </c>
      <c r="AC726">
        <v>6</v>
      </c>
      <c r="AD726">
        <v>3</v>
      </c>
      <c r="AE726">
        <v>4</v>
      </c>
      <c r="AF726">
        <v>2</v>
      </c>
      <c r="AG726">
        <v>3</v>
      </c>
      <c r="AH726">
        <v>2</v>
      </c>
      <c r="AI726" t="str">
        <f t="shared" si="44"/>
        <v>3-5 Years</v>
      </c>
      <c r="AJ726" t="str">
        <f t="shared" si="45"/>
        <v>3-5</v>
      </c>
    </row>
    <row r="727" spans="1:36" x14ac:dyDescent="0.35">
      <c r="A727">
        <v>726</v>
      </c>
      <c r="B727">
        <v>35</v>
      </c>
      <c r="C727" t="str">
        <f t="shared" si="46"/>
        <v>26-35</v>
      </c>
      <c r="D727" t="s">
        <v>31</v>
      </c>
      <c r="E727" t="s">
        <v>32</v>
      </c>
      <c r="F727" s="3">
        <v>1389</v>
      </c>
      <c r="G727" t="s">
        <v>40</v>
      </c>
      <c r="H727" s="1">
        <v>14</v>
      </c>
      <c r="I727" t="s">
        <v>60</v>
      </c>
      <c r="J727" t="s">
        <v>44</v>
      </c>
      <c r="K727" t="s">
        <v>60</v>
      </c>
      <c r="L727" t="s">
        <v>41</v>
      </c>
      <c r="M727" s="3">
        <v>39</v>
      </c>
      <c r="N727" t="s">
        <v>61</v>
      </c>
      <c r="O727" t="s">
        <v>59</v>
      </c>
      <c r="P727" t="s">
        <v>45</v>
      </c>
      <c r="Q727" t="s">
        <v>61</v>
      </c>
      <c r="R727" t="s">
        <v>47</v>
      </c>
      <c r="S727" s="3">
        <v>3743</v>
      </c>
      <c r="T727" s="3">
        <v>10074</v>
      </c>
      <c r="U727" s="3" t="str">
        <f t="shared" si="47"/>
        <v>Low</v>
      </c>
      <c r="V727">
        <v>1</v>
      </c>
      <c r="W727" t="s">
        <v>31</v>
      </c>
      <c r="X727" s="2">
        <v>24</v>
      </c>
      <c r="Y727" t="s">
        <v>62</v>
      </c>
      <c r="Z727" t="s">
        <v>62</v>
      </c>
      <c r="AA727">
        <v>1</v>
      </c>
      <c r="AB727">
        <v>5</v>
      </c>
      <c r="AC727">
        <v>2</v>
      </c>
      <c r="AD727">
        <v>1</v>
      </c>
      <c r="AE727">
        <v>4</v>
      </c>
      <c r="AF727">
        <v>2</v>
      </c>
      <c r="AG727">
        <v>0</v>
      </c>
      <c r="AH727">
        <v>2</v>
      </c>
      <c r="AI727" t="str">
        <f t="shared" si="44"/>
        <v>3-5 Years</v>
      </c>
      <c r="AJ727" t="str">
        <f t="shared" si="45"/>
        <v>0-2</v>
      </c>
    </row>
    <row r="728" spans="1:36" x14ac:dyDescent="0.35">
      <c r="A728">
        <v>727</v>
      </c>
      <c r="B728">
        <v>31</v>
      </c>
      <c r="C728" t="str">
        <f t="shared" si="46"/>
        <v>26-35</v>
      </c>
      <c r="D728" t="s">
        <v>38</v>
      </c>
      <c r="E728" t="s">
        <v>39</v>
      </c>
      <c r="F728" s="3">
        <v>1389</v>
      </c>
      <c r="G728" t="s">
        <v>40</v>
      </c>
      <c r="H728" s="1">
        <v>1</v>
      </c>
      <c r="I728" t="s">
        <v>59</v>
      </c>
      <c r="J728" t="s">
        <v>34</v>
      </c>
      <c r="K728" t="s">
        <v>60</v>
      </c>
      <c r="L728" t="s">
        <v>35</v>
      </c>
      <c r="M728" s="3">
        <v>96</v>
      </c>
      <c r="N728" t="s">
        <v>60</v>
      </c>
      <c r="O728" t="s">
        <v>61</v>
      </c>
      <c r="P728" t="s">
        <v>48</v>
      </c>
      <c r="Q728" t="s">
        <v>59</v>
      </c>
      <c r="R728" t="s">
        <v>43</v>
      </c>
      <c r="S728" s="3">
        <v>4148</v>
      </c>
      <c r="T728" s="3">
        <v>11275</v>
      </c>
      <c r="U728" s="3" t="str">
        <f t="shared" si="47"/>
        <v>Low</v>
      </c>
      <c r="V728">
        <v>1</v>
      </c>
      <c r="W728" t="s">
        <v>38</v>
      </c>
      <c r="X728" s="2">
        <v>12</v>
      </c>
      <c r="Y728" t="s">
        <v>60</v>
      </c>
      <c r="Z728" t="s">
        <v>60</v>
      </c>
      <c r="AA728">
        <v>1</v>
      </c>
      <c r="AB728">
        <v>4</v>
      </c>
      <c r="AC728">
        <v>1</v>
      </c>
      <c r="AD728">
        <v>3</v>
      </c>
      <c r="AE728">
        <v>4</v>
      </c>
      <c r="AF728">
        <v>3</v>
      </c>
      <c r="AG728">
        <v>0</v>
      </c>
      <c r="AH728">
        <v>3</v>
      </c>
      <c r="AI728" t="str">
        <f t="shared" si="44"/>
        <v>3-5 Years</v>
      </c>
      <c r="AJ728" t="str">
        <f t="shared" si="45"/>
        <v>0-2</v>
      </c>
    </row>
    <row r="729" spans="1:36" x14ac:dyDescent="0.35">
      <c r="A729">
        <v>728</v>
      </c>
      <c r="B729">
        <v>18</v>
      </c>
      <c r="C729" t="str">
        <f t="shared" si="46"/>
        <v>18-25</v>
      </c>
      <c r="D729" t="s">
        <v>38</v>
      </c>
      <c r="E729" t="s">
        <v>50</v>
      </c>
      <c r="F729" s="3">
        <v>1389</v>
      </c>
      <c r="G729" t="s">
        <v>40</v>
      </c>
      <c r="H729" s="1">
        <v>5</v>
      </c>
      <c r="I729" t="s">
        <v>58</v>
      </c>
      <c r="J729" t="s">
        <v>34</v>
      </c>
      <c r="K729" t="s">
        <v>61</v>
      </c>
      <c r="L729" t="s">
        <v>41</v>
      </c>
      <c r="M729" s="3">
        <v>73</v>
      </c>
      <c r="N729" t="s">
        <v>60</v>
      </c>
      <c r="O729" t="s">
        <v>59</v>
      </c>
      <c r="P729" t="s">
        <v>42</v>
      </c>
      <c r="Q729" t="s">
        <v>62</v>
      </c>
      <c r="R729" t="s">
        <v>37</v>
      </c>
      <c r="S729" s="3">
        <v>1051</v>
      </c>
      <c r="T729" s="3">
        <v>13493</v>
      </c>
      <c r="U729" s="3" t="str">
        <f t="shared" si="47"/>
        <v>Low</v>
      </c>
      <c r="V729">
        <v>1</v>
      </c>
      <c r="W729" t="s">
        <v>38</v>
      </c>
      <c r="X729" s="2">
        <v>15</v>
      </c>
      <c r="Y729" t="s">
        <v>60</v>
      </c>
      <c r="Z729" t="s">
        <v>62</v>
      </c>
      <c r="AA729">
        <v>0</v>
      </c>
      <c r="AB729">
        <v>0</v>
      </c>
      <c r="AC729">
        <v>2</v>
      </c>
      <c r="AD729">
        <v>3</v>
      </c>
      <c r="AE729">
        <v>0</v>
      </c>
      <c r="AF729">
        <v>0</v>
      </c>
      <c r="AG729">
        <v>0</v>
      </c>
      <c r="AH729">
        <v>0</v>
      </c>
      <c r="AI729" t="str">
        <f t="shared" si="44"/>
        <v>0-2 Years</v>
      </c>
      <c r="AJ729" t="str">
        <f t="shared" si="45"/>
        <v>0-2</v>
      </c>
    </row>
    <row r="730" spans="1:36" x14ac:dyDescent="0.35">
      <c r="A730">
        <v>729</v>
      </c>
      <c r="B730">
        <v>54</v>
      </c>
      <c r="C730" t="str">
        <f t="shared" si="46"/>
        <v>46-55</v>
      </c>
      <c r="D730" t="s">
        <v>38</v>
      </c>
      <c r="E730" t="s">
        <v>32</v>
      </c>
      <c r="F730" s="3">
        <v>1389</v>
      </c>
      <c r="G730" t="s">
        <v>40</v>
      </c>
      <c r="H730" s="1">
        <v>17</v>
      </c>
      <c r="I730" t="s">
        <v>61</v>
      </c>
      <c r="J730" t="s">
        <v>55</v>
      </c>
      <c r="K730" t="s">
        <v>60</v>
      </c>
      <c r="L730" t="s">
        <v>35</v>
      </c>
      <c r="M730" s="3">
        <v>56</v>
      </c>
      <c r="N730" t="s">
        <v>60</v>
      </c>
      <c r="O730" t="s">
        <v>60</v>
      </c>
      <c r="P730" t="s">
        <v>48</v>
      </c>
      <c r="Q730" t="s">
        <v>60</v>
      </c>
      <c r="R730" t="s">
        <v>43</v>
      </c>
      <c r="S730" s="3">
        <v>10739</v>
      </c>
      <c r="T730" s="3">
        <v>13943</v>
      </c>
      <c r="U730" s="3" t="str">
        <f t="shared" si="47"/>
        <v>High</v>
      </c>
      <c r="V730">
        <v>8</v>
      </c>
      <c r="W730" t="s">
        <v>38</v>
      </c>
      <c r="X730" s="2">
        <v>11</v>
      </c>
      <c r="Y730" t="s">
        <v>60</v>
      </c>
      <c r="Z730" t="s">
        <v>60</v>
      </c>
      <c r="AA730">
        <v>1</v>
      </c>
      <c r="AB730">
        <v>22</v>
      </c>
      <c r="AC730">
        <v>2</v>
      </c>
      <c r="AD730">
        <v>3</v>
      </c>
      <c r="AE730">
        <v>10</v>
      </c>
      <c r="AF730">
        <v>7</v>
      </c>
      <c r="AG730">
        <v>0</v>
      </c>
      <c r="AH730">
        <v>8</v>
      </c>
      <c r="AI730" t="str">
        <f t="shared" si="44"/>
        <v>6-10 Years</v>
      </c>
      <c r="AJ730" t="str">
        <f t="shared" si="45"/>
        <v>0-2</v>
      </c>
    </row>
    <row r="731" spans="1:36" x14ac:dyDescent="0.35">
      <c r="A731">
        <v>730</v>
      </c>
      <c r="B731">
        <v>35</v>
      </c>
      <c r="C731" t="str">
        <f t="shared" si="46"/>
        <v>26-35</v>
      </c>
      <c r="D731" t="s">
        <v>38</v>
      </c>
      <c r="E731" t="s">
        <v>32</v>
      </c>
      <c r="F731" s="3">
        <v>1389</v>
      </c>
      <c r="G731" t="s">
        <v>40</v>
      </c>
      <c r="H731" s="1">
        <v>25</v>
      </c>
      <c r="I731" t="s">
        <v>60</v>
      </c>
      <c r="J731" t="s">
        <v>46</v>
      </c>
      <c r="K731" t="s">
        <v>60</v>
      </c>
      <c r="L731" t="s">
        <v>35</v>
      </c>
      <c r="M731" s="3">
        <v>57</v>
      </c>
      <c r="N731" t="s">
        <v>60</v>
      </c>
      <c r="O731" t="s">
        <v>60</v>
      </c>
      <c r="P731" t="s">
        <v>49</v>
      </c>
      <c r="Q731" t="s">
        <v>60</v>
      </c>
      <c r="R731" t="s">
        <v>47</v>
      </c>
      <c r="S731" s="3">
        <v>10388</v>
      </c>
      <c r="T731" s="3">
        <v>6975</v>
      </c>
      <c r="U731" s="3" t="str">
        <f t="shared" si="47"/>
        <v>High</v>
      </c>
      <c r="V731">
        <v>1</v>
      </c>
      <c r="W731" t="s">
        <v>31</v>
      </c>
      <c r="X731" s="2">
        <v>11</v>
      </c>
      <c r="Y731" t="s">
        <v>60</v>
      </c>
      <c r="Z731" t="s">
        <v>60</v>
      </c>
      <c r="AA731">
        <v>1</v>
      </c>
      <c r="AB731">
        <v>16</v>
      </c>
      <c r="AC731">
        <v>3</v>
      </c>
      <c r="AD731">
        <v>2</v>
      </c>
      <c r="AE731">
        <v>16</v>
      </c>
      <c r="AF731">
        <v>10</v>
      </c>
      <c r="AG731">
        <v>10</v>
      </c>
      <c r="AH731">
        <v>1</v>
      </c>
      <c r="AI731" t="str">
        <f t="shared" si="44"/>
        <v>10+ Years</v>
      </c>
      <c r="AJ731" t="str">
        <f t="shared" si="45"/>
        <v>6+</v>
      </c>
    </row>
    <row r="732" spans="1:36" x14ac:dyDescent="0.35">
      <c r="A732">
        <v>731</v>
      </c>
      <c r="B732">
        <v>30</v>
      </c>
      <c r="C732" t="str">
        <f t="shared" si="46"/>
        <v>26-35</v>
      </c>
      <c r="D732" t="s">
        <v>38</v>
      </c>
      <c r="E732" t="s">
        <v>32</v>
      </c>
      <c r="F732" s="3">
        <v>1389</v>
      </c>
      <c r="G732" t="s">
        <v>40</v>
      </c>
      <c r="H732" s="1">
        <v>8</v>
      </c>
      <c r="I732" t="s">
        <v>58</v>
      </c>
      <c r="J732" t="s">
        <v>34</v>
      </c>
      <c r="K732" t="s">
        <v>61</v>
      </c>
      <c r="L732" t="s">
        <v>35</v>
      </c>
      <c r="M732" s="3">
        <v>73</v>
      </c>
      <c r="N732" t="s">
        <v>62</v>
      </c>
      <c r="O732" t="s">
        <v>60</v>
      </c>
      <c r="P732" t="s">
        <v>53</v>
      </c>
      <c r="Q732" t="s">
        <v>59</v>
      </c>
      <c r="R732" t="s">
        <v>43</v>
      </c>
      <c r="S732" s="3">
        <v>11416</v>
      </c>
      <c r="T732" s="3">
        <v>17802</v>
      </c>
      <c r="U732" s="3" t="str">
        <f t="shared" si="47"/>
        <v>High</v>
      </c>
      <c r="V732">
        <v>0</v>
      </c>
      <c r="W732" t="s">
        <v>31</v>
      </c>
      <c r="X732" s="2">
        <v>12</v>
      </c>
      <c r="Y732" t="s">
        <v>60</v>
      </c>
      <c r="Z732" t="s">
        <v>60</v>
      </c>
      <c r="AA732">
        <v>3</v>
      </c>
      <c r="AB732">
        <v>9</v>
      </c>
      <c r="AC732">
        <v>4</v>
      </c>
      <c r="AD732">
        <v>2</v>
      </c>
      <c r="AE732">
        <v>8</v>
      </c>
      <c r="AF732">
        <v>7</v>
      </c>
      <c r="AG732">
        <v>1</v>
      </c>
      <c r="AH732">
        <v>7</v>
      </c>
      <c r="AI732" t="str">
        <f t="shared" si="44"/>
        <v>6-10 Years</v>
      </c>
      <c r="AJ732" t="str">
        <f t="shared" si="45"/>
        <v>0-2</v>
      </c>
    </row>
    <row r="733" spans="1:36" x14ac:dyDescent="0.35">
      <c r="A733">
        <v>732</v>
      </c>
      <c r="B733">
        <v>20</v>
      </c>
      <c r="C733" t="str">
        <f t="shared" si="46"/>
        <v>18-25</v>
      </c>
      <c r="D733" t="s">
        <v>31</v>
      </c>
      <c r="E733" t="s">
        <v>32</v>
      </c>
      <c r="F733" s="3">
        <v>1389</v>
      </c>
      <c r="G733" t="s">
        <v>40</v>
      </c>
      <c r="H733" s="1">
        <v>11</v>
      </c>
      <c r="I733" t="s">
        <v>61</v>
      </c>
      <c r="J733" t="s">
        <v>46</v>
      </c>
      <c r="K733" t="s">
        <v>62</v>
      </c>
      <c r="L733" t="s">
        <v>35</v>
      </c>
      <c r="M733" s="3">
        <v>98</v>
      </c>
      <c r="N733" t="s">
        <v>61</v>
      </c>
      <c r="O733" t="s">
        <v>59</v>
      </c>
      <c r="P733" t="s">
        <v>42</v>
      </c>
      <c r="Q733" t="s">
        <v>59</v>
      </c>
      <c r="R733" t="s">
        <v>37</v>
      </c>
      <c r="S733" s="3">
        <v>2600</v>
      </c>
      <c r="T733" s="3">
        <v>18275</v>
      </c>
      <c r="U733" s="3" t="str">
        <f t="shared" si="47"/>
        <v>Low</v>
      </c>
      <c r="V733">
        <v>1</v>
      </c>
      <c r="W733" t="s">
        <v>31</v>
      </c>
      <c r="X733" s="2">
        <v>15</v>
      </c>
      <c r="Y733" t="s">
        <v>60</v>
      </c>
      <c r="Z733" t="s">
        <v>59</v>
      </c>
      <c r="AA733">
        <v>0</v>
      </c>
      <c r="AB733">
        <v>1</v>
      </c>
      <c r="AC733">
        <v>2</v>
      </c>
      <c r="AD733">
        <v>3</v>
      </c>
      <c r="AE733">
        <v>1</v>
      </c>
      <c r="AF733">
        <v>0</v>
      </c>
      <c r="AG733">
        <v>0</v>
      </c>
      <c r="AH733">
        <v>0</v>
      </c>
      <c r="AI733" t="str">
        <f t="shared" si="44"/>
        <v>0-2 Years</v>
      </c>
      <c r="AJ733" t="str">
        <f t="shared" si="45"/>
        <v>0-2</v>
      </c>
    </row>
    <row r="734" spans="1:36" x14ac:dyDescent="0.35">
      <c r="A734">
        <v>733</v>
      </c>
      <c r="B734">
        <v>30</v>
      </c>
      <c r="C734" t="str">
        <f t="shared" si="46"/>
        <v>26-35</v>
      </c>
      <c r="D734" t="s">
        <v>31</v>
      </c>
      <c r="E734" t="s">
        <v>39</v>
      </c>
      <c r="F734" s="3">
        <v>1389</v>
      </c>
      <c r="G734" t="s">
        <v>40</v>
      </c>
      <c r="H734" s="1">
        <v>5</v>
      </c>
      <c r="I734" t="s">
        <v>61</v>
      </c>
      <c r="J734" t="s">
        <v>46</v>
      </c>
      <c r="K734" t="s">
        <v>61</v>
      </c>
      <c r="L734" t="s">
        <v>35</v>
      </c>
      <c r="M734" s="3">
        <v>60</v>
      </c>
      <c r="N734" t="s">
        <v>60</v>
      </c>
      <c r="O734" t="s">
        <v>59</v>
      </c>
      <c r="P734" t="s">
        <v>45</v>
      </c>
      <c r="Q734" t="s">
        <v>61</v>
      </c>
      <c r="R734" t="s">
        <v>37</v>
      </c>
      <c r="S734" s="3">
        <v>2422</v>
      </c>
      <c r="T734" s="3">
        <v>25725</v>
      </c>
      <c r="U734" s="3" t="str">
        <f t="shared" si="47"/>
        <v>Low</v>
      </c>
      <c r="V734">
        <v>0</v>
      </c>
      <c r="W734" t="s">
        <v>38</v>
      </c>
      <c r="X734" s="2">
        <v>17</v>
      </c>
      <c r="Y734" t="s">
        <v>60</v>
      </c>
      <c r="Z734" t="s">
        <v>59</v>
      </c>
      <c r="AA734">
        <v>0</v>
      </c>
      <c r="AB734">
        <v>4</v>
      </c>
      <c r="AC734">
        <v>3</v>
      </c>
      <c r="AD734">
        <v>3</v>
      </c>
      <c r="AE734">
        <v>3</v>
      </c>
      <c r="AF734">
        <v>2</v>
      </c>
      <c r="AG734">
        <v>1</v>
      </c>
      <c r="AH734">
        <v>2</v>
      </c>
      <c r="AI734" t="str">
        <f t="shared" si="44"/>
        <v>3-5 Years</v>
      </c>
      <c r="AJ734" t="str">
        <f t="shared" si="45"/>
        <v>0-2</v>
      </c>
    </row>
    <row r="735" spans="1:36" x14ac:dyDescent="0.35">
      <c r="A735">
        <v>734</v>
      </c>
      <c r="B735">
        <v>26</v>
      </c>
      <c r="C735" t="str">
        <f t="shared" si="46"/>
        <v>26-35</v>
      </c>
      <c r="D735" t="s">
        <v>38</v>
      </c>
      <c r="E735" t="s">
        <v>32</v>
      </c>
      <c r="F735" s="3">
        <v>1389</v>
      </c>
      <c r="G735" t="s">
        <v>40</v>
      </c>
      <c r="H735" s="1">
        <v>2</v>
      </c>
      <c r="I735" t="s">
        <v>58</v>
      </c>
      <c r="J735" t="s">
        <v>46</v>
      </c>
      <c r="K735" t="s">
        <v>62</v>
      </c>
      <c r="L735" t="s">
        <v>41</v>
      </c>
      <c r="M735" s="3">
        <v>32</v>
      </c>
      <c r="N735" t="s">
        <v>62</v>
      </c>
      <c r="O735" t="s">
        <v>61</v>
      </c>
      <c r="P735" t="s">
        <v>48</v>
      </c>
      <c r="Q735" t="s">
        <v>62</v>
      </c>
      <c r="R735" t="s">
        <v>43</v>
      </c>
      <c r="S735" s="3">
        <v>5472</v>
      </c>
      <c r="T735" s="3">
        <v>3334</v>
      </c>
      <c r="U735" s="3" t="str">
        <f t="shared" si="47"/>
        <v>Medium</v>
      </c>
      <c r="V735">
        <v>1</v>
      </c>
      <c r="W735" t="s">
        <v>38</v>
      </c>
      <c r="X735" s="2">
        <v>12</v>
      </c>
      <c r="Y735" t="s">
        <v>60</v>
      </c>
      <c r="Z735" t="s">
        <v>61</v>
      </c>
      <c r="AA735">
        <v>0</v>
      </c>
      <c r="AB735">
        <v>8</v>
      </c>
      <c r="AC735">
        <v>2</v>
      </c>
      <c r="AD735">
        <v>3</v>
      </c>
      <c r="AE735">
        <v>8</v>
      </c>
      <c r="AF735">
        <v>7</v>
      </c>
      <c r="AG735">
        <v>1</v>
      </c>
      <c r="AH735">
        <v>3</v>
      </c>
      <c r="AI735" t="str">
        <f t="shared" si="44"/>
        <v>6-10 Years</v>
      </c>
      <c r="AJ735" t="str">
        <f t="shared" si="45"/>
        <v>0-2</v>
      </c>
    </row>
    <row r="736" spans="1:36" x14ac:dyDescent="0.35">
      <c r="A736">
        <v>735</v>
      </c>
      <c r="B736">
        <v>22</v>
      </c>
      <c r="C736" t="str">
        <f t="shared" si="46"/>
        <v>18-25</v>
      </c>
      <c r="D736" t="s">
        <v>38</v>
      </c>
      <c r="E736" t="s">
        <v>32</v>
      </c>
      <c r="F736" s="3">
        <v>1389</v>
      </c>
      <c r="G736" t="s">
        <v>40</v>
      </c>
      <c r="H736" s="1">
        <v>8</v>
      </c>
      <c r="I736" t="s">
        <v>59</v>
      </c>
      <c r="J736" t="s">
        <v>34</v>
      </c>
      <c r="K736" t="s">
        <v>61</v>
      </c>
      <c r="L736" t="s">
        <v>41</v>
      </c>
      <c r="M736" s="3">
        <v>94</v>
      </c>
      <c r="N736" t="s">
        <v>59</v>
      </c>
      <c r="O736" t="s">
        <v>59</v>
      </c>
      <c r="P736" t="s">
        <v>45</v>
      </c>
      <c r="Q736" t="s">
        <v>59</v>
      </c>
      <c r="R736" t="s">
        <v>43</v>
      </c>
      <c r="S736" s="3">
        <v>2451</v>
      </c>
      <c r="T736" s="3">
        <v>6881</v>
      </c>
      <c r="U736" s="3" t="str">
        <f t="shared" si="47"/>
        <v>Low</v>
      </c>
      <c r="V736">
        <v>1</v>
      </c>
      <c r="W736" t="s">
        <v>38</v>
      </c>
      <c r="X736" s="2">
        <v>15</v>
      </c>
      <c r="Y736" t="s">
        <v>60</v>
      </c>
      <c r="Z736" t="s">
        <v>59</v>
      </c>
      <c r="AA736">
        <v>1</v>
      </c>
      <c r="AB736">
        <v>4</v>
      </c>
      <c r="AC736">
        <v>3</v>
      </c>
      <c r="AD736">
        <v>2</v>
      </c>
      <c r="AE736">
        <v>4</v>
      </c>
      <c r="AF736">
        <v>3</v>
      </c>
      <c r="AG736">
        <v>1</v>
      </c>
      <c r="AH736">
        <v>1</v>
      </c>
      <c r="AI736" t="str">
        <f t="shared" si="44"/>
        <v>3-5 Years</v>
      </c>
      <c r="AJ736" t="str">
        <f t="shared" si="45"/>
        <v>0-2</v>
      </c>
    </row>
    <row r="737" spans="1:36" x14ac:dyDescent="0.35">
      <c r="A737">
        <v>736</v>
      </c>
      <c r="B737">
        <v>48</v>
      </c>
      <c r="C737" t="str">
        <f t="shared" si="46"/>
        <v>46-55</v>
      </c>
      <c r="D737" t="s">
        <v>38</v>
      </c>
      <c r="E737" t="s">
        <v>32</v>
      </c>
      <c r="F737" s="3">
        <v>1389</v>
      </c>
      <c r="G737" t="s">
        <v>40</v>
      </c>
      <c r="H737" s="1">
        <v>6</v>
      </c>
      <c r="I737" t="s">
        <v>61</v>
      </c>
      <c r="J737" t="s">
        <v>34</v>
      </c>
      <c r="K737" t="s">
        <v>59</v>
      </c>
      <c r="L737" t="s">
        <v>41</v>
      </c>
      <c r="M737" s="3">
        <v>97</v>
      </c>
      <c r="N737" t="s">
        <v>61</v>
      </c>
      <c r="O737" t="s">
        <v>61</v>
      </c>
      <c r="P737" t="s">
        <v>49</v>
      </c>
      <c r="Q737" t="s">
        <v>60</v>
      </c>
      <c r="R737" t="s">
        <v>37</v>
      </c>
      <c r="S737" s="3">
        <v>4240</v>
      </c>
      <c r="T737" s="3">
        <v>13119</v>
      </c>
      <c r="U737" s="3" t="str">
        <f t="shared" si="47"/>
        <v>Low</v>
      </c>
      <c r="V737">
        <v>2</v>
      </c>
      <c r="W737" t="s">
        <v>38</v>
      </c>
      <c r="X737" s="2">
        <v>13</v>
      </c>
      <c r="Y737" t="s">
        <v>60</v>
      </c>
      <c r="Z737" t="s">
        <v>62</v>
      </c>
      <c r="AA737">
        <v>0</v>
      </c>
      <c r="AB737">
        <v>19</v>
      </c>
      <c r="AC737">
        <v>0</v>
      </c>
      <c r="AD737">
        <v>3</v>
      </c>
      <c r="AE737">
        <v>2</v>
      </c>
      <c r="AF737">
        <v>2</v>
      </c>
      <c r="AG737">
        <v>2</v>
      </c>
      <c r="AH737">
        <v>2</v>
      </c>
      <c r="AI737" t="str">
        <f t="shared" si="44"/>
        <v>0-2 Years</v>
      </c>
      <c r="AJ737" t="str">
        <f t="shared" si="45"/>
        <v>0-2</v>
      </c>
    </row>
    <row r="738" spans="1:36" x14ac:dyDescent="0.35">
      <c r="A738">
        <v>737</v>
      </c>
      <c r="B738">
        <v>48</v>
      </c>
      <c r="C738" t="str">
        <f t="shared" si="46"/>
        <v>46-55</v>
      </c>
      <c r="D738" t="s">
        <v>38</v>
      </c>
      <c r="E738" t="s">
        <v>32</v>
      </c>
      <c r="F738" s="3">
        <v>1389</v>
      </c>
      <c r="G738" t="s">
        <v>40</v>
      </c>
      <c r="H738" s="1">
        <v>4</v>
      </c>
      <c r="I738" t="s">
        <v>60</v>
      </c>
      <c r="J738" t="s">
        <v>34</v>
      </c>
      <c r="K738" t="s">
        <v>60</v>
      </c>
      <c r="L738" t="s">
        <v>41</v>
      </c>
      <c r="M738" s="3">
        <v>78</v>
      </c>
      <c r="N738" t="s">
        <v>61</v>
      </c>
      <c r="O738" t="s">
        <v>60</v>
      </c>
      <c r="P738" t="s">
        <v>49</v>
      </c>
      <c r="Q738" t="s">
        <v>60</v>
      </c>
      <c r="R738" t="s">
        <v>37</v>
      </c>
      <c r="S738" s="3">
        <v>10999</v>
      </c>
      <c r="T738" s="3">
        <v>22245</v>
      </c>
      <c r="U738" s="3" t="str">
        <f t="shared" si="47"/>
        <v>High</v>
      </c>
      <c r="V738">
        <v>7</v>
      </c>
      <c r="W738" t="s">
        <v>38</v>
      </c>
      <c r="X738" s="2">
        <v>14</v>
      </c>
      <c r="Y738" t="s">
        <v>60</v>
      </c>
      <c r="Z738" t="s">
        <v>61</v>
      </c>
      <c r="AA738">
        <v>0</v>
      </c>
      <c r="AB738">
        <v>27</v>
      </c>
      <c r="AC738">
        <v>3</v>
      </c>
      <c r="AD738">
        <v>3</v>
      </c>
      <c r="AE738">
        <v>15</v>
      </c>
      <c r="AF738">
        <v>11</v>
      </c>
      <c r="AG738">
        <v>4</v>
      </c>
      <c r="AH738">
        <v>8</v>
      </c>
      <c r="AI738" t="str">
        <f t="shared" si="44"/>
        <v>10+ Years</v>
      </c>
      <c r="AJ738" t="str">
        <f t="shared" si="45"/>
        <v>3-5</v>
      </c>
    </row>
    <row r="739" spans="1:36" x14ac:dyDescent="0.35">
      <c r="A739">
        <v>738</v>
      </c>
      <c r="B739">
        <v>41</v>
      </c>
      <c r="C739" t="str">
        <f t="shared" si="46"/>
        <v>36-45</v>
      </c>
      <c r="D739" t="s">
        <v>38</v>
      </c>
      <c r="E739" t="s">
        <v>32</v>
      </c>
      <c r="F739" s="3">
        <v>1389</v>
      </c>
      <c r="G739" t="s">
        <v>40</v>
      </c>
      <c r="H739" s="1">
        <v>7</v>
      </c>
      <c r="I739" t="s">
        <v>58</v>
      </c>
      <c r="J739" t="s">
        <v>46</v>
      </c>
      <c r="K739" t="s">
        <v>62</v>
      </c>
      <c r="L739" t="s">
        <v>35</v>
      </c>
      <c r="M739" s="3">
        <v>42</v>
      </c>
      <c r="N739" t="s">
        <v>60</v>
      </c>
      <c r="O739" t="s">
        <v>61</v>
      </c>
      <c r="P739" t="s">
        <v>48</v>
      </c>
      <c r="Q739" t="s">
        <v>60</v>
      </c>
      <c r="R739" t="s">
        <v>37</v>
      </c>
      <c r="S739" s="3">
        <v>5003</v>
      </c>
      <c r="T739" s="3">
        <v>23371</v>
      </c>
      <c r="U739" s="3" t="str">
        <f t="shared" si="47"/>
        <v>Medium</v>
      </c>
      <c r="V739">
        <v>6</v>
      </c>
      <c r="W739" t="s">
        <v>38</v>
      </c>
      <c r="X739" s="2">
        <v>14</v>
      </c>
      <c r="Y739" t="s">
        <v>60</v>
      </c>
      <c r="Z739" t="s">
        <v>61</v>
      </c>
      <c r="AA739">
        <v>0</v>
      </c>
      <c r="AB739">
        <v>8</v>
      </c>
      <c r="AC739">
        <v>6</v>
      </c>
      <c r="AD739">
        <v>3</v>
      </c>
      <c r="AE739">
        <v>2</v>
      </c>
      <c r="AF739">
        <v>2</v>
      </c>
      <c r="AG739">
        <v>2</v>
      </c>
      <c r="AH739">
        <v>1</v>
      </c>
      <c r="AI739" t="str">
        <f t="shared" si="44"/>
        <v>0-2 Years</v>
      </c>
      <c r="AJ739" t="str">
        <f t="shared" si="45"/>
        <v>0-2</v>
      </c>
    </row>
    <row r="740" spans="1:36" x14ac:dyDescent="0.35">
      <c r="A740">
        <v>739</v>
      </c>
      <c r="B740">
        <v>39</v>
      </c>
      <c r="C740" t="str">
        <f t="shared" si="46"/>
        <v>36-45</v>
      </c>
      <c r="D740" t="s">
        <v>38</v>
      </c>
      <c r="E740" t="s">
        <v>32</v>
      </c>
      <c r="F740" s="3">
        <v>1389</v>
      </c>
      <c r="G740" t="s">
        <v>40</v>
      </c>
      <c r="H740" s="1">
        <v>1</v>
      </c>
      <c r="I740" t="s">
        <v>59</v>
      </c>
      <c r="J740" t="s">
        <v>34</v>
      </c>
      <c r="K740" t="s">
        <v>62</v>
      </c>
      <c r="L740" t="s">
        <v>35</v>
      </c>
      <c r="M740" s="3">
        <v>65</v>
      </c>
      <c r="N740" t="s">
        <v>61</v>
      </c>
      <c r="O740" t="s">
        <v>62</v>
      </c>
      <c r="P740" t="s">
        <v>48</v>
      </c>
      <c r="Q740" t="s">
        <v>62</v>
      </c>
      <c r="R740" t="s">
        <v>43</v>
      </c>
      <c r="S740" s="3">
        <v>12742</v>
      </c>
      <c r="T740" s="3">
        <v>7060</v>
      </c>
      <c r="U740" s="3" t="str">
        <f t="shared" si="47"/>
        <v>High</v>
      </c>
      <c r="V740">
        <v>1</v>
      </c>
      <c r="W740" t="s">
        <v>38</v>
      </c>
      <c r="X740" s="2">
        <v>16</v>
      </c>
      <c r="Y740" t="s">
        <v>60</v>
      </c>
      <c r="Z740" t="s">
        <v>60</v>
      </c>
      <c r="AA740">
        <v>1</v>
      </c>
      <c r="AB740">
        <v>21</v>
      </c>
      <c r="AC740">
        <v>3</v>
      </c>
      <c r="AD740">
        <v>3</v>
      </c>
      <c r="AE740">
        <v>21</v>
      </c>
      <c r="AF740">
        <v>6</v>
      </c>
      <c r="AG740">
        <v>11</v>
      </c>
      <c r="AH740">
        <v>8</v>
      </c>
      <c r="AI740" t="str">
        <f t="shared" si="44"/>
        <v>10+ Years</v>
      </c>
      <c r="AJ740" t="str">
        <f t="shared" si="45"/>
        <v>6+</v>
      </c>
    </row>
    <row r="741" spans="1:36" x14ac:dyDescent="0.35">
      <c r="A741">
        <v>740</v>
      </c>
      <c r="B741">
        <v>27</v>
      </c>
      <c r="C741" t="str">
        <f t="shared" si="46"/>
        <v>26-35</v>
      </c>
      <c r="D741" t="s">
        <v>38</v>
      </c>
      <c r="E741" t="s">
        <v>32</v>
      </c>
      <c r="F741" s="3">
        <v>1389</v>
      </c>
      <c r="G741" t="s">
        <v>40</v>
      </c>
      <c r="H741" s="1">
        <v>2</v>
      </c>
      <c r="I741" t="s">
        <v>60</v>
      </c>
      <c r="J741" t="s">
        <v>34</v>
      </c>
      <c r="K741" t="s">
        <v>59</v>
      </c>
      <c r="L741" t="s">
        <v>35</v>
      </c>
      <c r="M741" s="3">
        <v>47</v>
      </c>
      <c r="N741" t="s">
        <v>60</v>
      </c>
      <c r="O741" t="s">
        <v>61</v>
      </c>
      <c r="P741" t="s">
        <v>48</v>
      </c>
      <c r="Q741" t="s">
        <v>62</v>
      </c>
      <c r="R741" t="s">
        <v>43</v>
      </c>
      <c r="S741" s="3">
        <v>4227</v>
      </c>
      <c r="T741" s="3">
        <v>4658</v>
      </c>
      <c r="U741" s="3" t="str">
        <f t="shared" si="47"/>
        <v>Low</v>
      </c>
      <c r="V741">
        <v>0</v>
      </c>
      <c r="W741" t="s">
        <v>38</v>
      </c>
      <c r="X741" s="2">
        <v>18</v>
      </c>
      <c r="Y741" t="s">
        <v>60</v>
      </c>
      <c r="Z741" t="s">
        <v>61</v>
      </c>
      <c r="AA741">
        <v>1</v>
      </c>
      <c r="AB741">
        <v>4</v>
      </c>
      <c r="AC741">
        <v>2</v>
      </c>
      <c r="AD741">
        <v>3</v>
      </c>
      <c r="AE741">
        <v>3</v>
      </c>
      <c r="AF741">
        <v>2</v>
      </c>
      <c r="AG741">
        <v>2</v>
      </c>
      <c r="AH741">
        <v>2</v>
      </c>
      <c r="AI741" t="str">
        <f t="shared" si="44"/>
        <v>3-5 Years</v>
      </c>
      <c r="AJ741" t="str">
        <f t="shared" si="45"/>
        <v>0-2</v>
      </c>
    </row>
    <row r="742" spans="1:36" x14ac:dyDescent="0.35">
      <c r="A742">
        <v>741</v>
      </c>
      <c r="B742">
        <v>35</v>
      </c>
      <c r="C742" t="str">
        <f t="shared" si="46"/>
        <v>26-35</v>
      </c>
      <c r="D742" t="s">
        <v>38</v>
      </c>
      <c r="E742" t="s">
        <v>32</v>
      </c>
      <c r="F742" s="3">
        <v>1389</v>
      </c>
      <c r="G742" t="s">
        <v>40</v>
      </c>
      <c r="H742" s="1">
        <v>10</v>
      </c>
      <c r="I742" t="s">
        <v>61</v>
      </c>
      <c r="J742" t="s">
        <v>44</v>
      </c>
      <c r="K742" t="s">
        <v>61</v>
      </c>
      <c r="L742" t="s">
        <v>41</v>
      </c>
      <c r="M742" s="3">
        <v>45</v>
      </c>
      <c r="N742" t="s">
        <v>60</v>
      </c>
      <c r="O742" t="s">
        <v>59</v>
      </c>
      <c r="P742" t="s">
        <v>45</v>
      </c>
      <c r="Q742" t="s">
        <v>62</v>
      </c>
      <c r="R742" t="s">
        <v>47</v>
      </c>
      <c r="S742" s="3">
        <v>3917</v>
      </c>
      <c r="T742" s="3">
        <v>9541</v>
      </c>
      <c r="U742" s="3" t="str">
        <f t="shared" si="47"/>
        <v>Low</v>
      </c>
      <c r="V742">
        <v>1</v>
      </c>
      <c r="W742" t="s">
        <v>38</v>
      </c>
      <c r="X742" s="2">
        <v>20</v>
      </c>
      <c r="Y742" t="s">
        <v>62</v>
      </c>
      <c r="Z742" t="s">
        <v>59</v>
      </c>
      <c r="AA742">
        <v>1</v>
      </c>
      <c r="AB742">
        <v>3</v>
      </c>
      <c r="AC742">
        <v>4</v>
      </c>
      <c r="AD742">
        <v>2</v>
      </c>
      <c r="AE742">
        <v>3</v>
      </c>
      <c r="AF742">
        <v>2</v>
      </c>
      <c r="AG742">
        <v>1</v>
      </c>
      <c r="AH742">
        <v>2</v>
      </c>
      <c r="AI742" t="str">
        <f t="shared" si="44"/>
        <v>3-5 Years</v>
      </c>
      <c r="AJ742" t="str">
        <f t="shared" si="45"/>
        <v>0-2</v>
      </c>
    </row>
    <row r="743" spans="1:36" x14ac:dyDescent="0.35">
      <c r="A743">
        <v>742</v>
      </c>
      <c r="B743">
        <v>42</v>
      </c>
      <c r="C743" t="str">
        <f t="shared" si="46"/>
        <v>36-45</v>
      </c>
      <c r="D743" t="s">
        <v>38</v>
      </c>
      <c r="E743" t="s">
        <v>32</v>
      </c>
      <c r="F743" s="3">
        <v>1389</v>
      </c>
      <c r="G743" t="s">
        <v>33</v>
      </c>
      <c r="H743" s="1">
        <v>5</v>
      </c>
      <c r="I743" t="s">
        <v>58</v>
      </c>
      <c r="J743" t="s">
        <v>54</v>
      </c>
      <c r="K743" t="s">
        <v>62</v>
      </c>
      <c r="L743" t="s">
        <v>41</v>
      </c>
      <c r="M743" s="3">
        <v>90</v>
      </c>
      <c r="N743" t="s">
        <v>60</v>
      </c>
      <c r="O743" t="e">
        <v>#N/A</v>
      </c>
      <c r="P743" t="s">
        <v>51</v>
      </c>
      <c r="Q743" t="s">
        <v>60</v>
      </c>
      <c r="R743" t="s">
        <v>43</v>
      </c>
      <c r="S743" s="3">
        <v>18303</v>
      </c>
      <c r="T743" s="3">
        <v>7770</v>
      </c>
      <c r="U743" s="3" t="str">
        <f t="shared" si="47"/>
        <v>High</v>
      </c>
      <c r="V743">
        <v>6</v>
      </c>
      <c r="W743" t="s">
        <v>38</v>
      </c>
      <c r="X743" s="2">
        <v>13</v>
      </c>
      <c r="Y743" t="s">
        <v>60</v>
      </c>
      <c r="Z743" t="s">
        <v>61</v>
      </c>
      <c r="AA743">
        <v>0</v>
      </c>
      <c r="AB743">
        <v>21</v>
      </c>
      <c r="AC743">
        <v>3</v>
      </c>
      <c r="AD743">
        <v>4</v>
      </c>
      <c r="AE743">
        <v>1</v>
      </c>
      <c r="AF743">
        <v>0</v>
      </c>
      <c r="AG743">
        <v>0</v>
      </c>
      <c r="AH743">
        <v>0</v>
      </c>
      <c r="AI743" t="str">
        <f t="shared" si="44"/>
        <v>0-2 Years</v>
      </c>
      <c r="AJ743" t="str">
        <f t="shared" si="45"/>
        <v>0-2</v>
      </c>
    </row>
    <row r="744" spans="1:36" x14ac:dyDescent="0.35">
      <c r="A744">
        <v>743</v>
      </c>
      <c r="B744">
        <v>50</v>
      </c>
      <c r="C744" t="str">
        <f t="shared" si="46"/>
        <v>46-55</v>
      </c>
      <c r="D744" t="s">
        <v>38</v>
      </c>
      <c r="E744" t="s">
        <v>32</v>
      </c>
      <c r="F744" s="3">
        <v>1389</v>
      </c>
      <c r="G744" t="s">
        <v>40</v>
      </c>
      <c r="H744" s="1">
        <v>9</v>
      </c>
      <c r="I744" t="s">
        <v>61</v>
      </c>
      <c r="J744" t="s">
        <v>34</v>
      </c>
      <c r="K744" t="s">
        <v>59</v>
      </c>
      <c r="L744" t="s">
        <v>41</v>
      </c>
      <c r="M744" s="3">
        <v>64</v>
      </c>
      <c r="N744" t="s">
        <v>60</v>
      </c>
      <c r="O744" t="s">
        <v>59</v>
      </c>
      <c r="P744" t="s">
        <v>45</v>
      </c>
      <c r="Q744" t="s">
        <v>62</v>
      </c>
      <c r="R744" t="s">
        <v>43</v>
      </c>
      <c r="S744" s="3">
        <v>2380</v>
      </c>
      <c r="T744" s="3">
        <v>20165</v>
      </c>
      <c r="U744" s="3" t="str">
        <f t="shared" si="47"/>
        <v>Low</v>
      </c>
      <c r="V744">
        <v>4</v>
      </c>
      <c r="W744" t="s">
        <v>38</v>
      </c>
      <c r="X744" s="2">
        <v>18</v>
      </c>
      <c r="Y744" t="s">
        <v>60</v>
      </c>
      <c r="Z744" t="s">
        <v>61</v>
      </c>
      <c r="AA744">
        <v>0</v>
      </c>
      <c r="AB744">
        <v>8</v>
      </c>
      <c r="AC744">
        <v>5</v>
      </c>
      <c r="AD744">
        <v>3</v>
      </c>
      <c r="AE744">
        <v>1</v>
      </c>
      <c r="AF744">
        <v>0</v>
      </c>
      <c r="AG744">
        <v>0</v>
      </c>
      <c r="AH744">
        <v>0</v>
      </c>
      <c r="AI744" t="str">
        <f t="shared" si="44"/>
        <v>0-2 Years</v>
      </c>
      <c r="AJ744" t="str">
        <f t="shared" si="45"/>
        <v>0-2</v>
      </c>
    </row>
    <row r="745" spans="1:36" x14ac:dyDescent="0.35">
      <c r="A745">
        <v>744</v>
      </c>
      <c r="B745">
        <v>59</v>
      </c>
      <c r="C745" t="str">
        <f t="shared" si="46"/>
        <v>55+</v>
      </c>
      <c r="D745" t="s">
        <v>38</v>
      </c>
      <c r="E745" t="s">
        <v>32</v>
      </c>
      <c r="F745" s="3">
        <v>1389</v>
      </c>
      <c r="G745" t="s">
        <v>40</v>
      </c>
      <c r="H745" s="1">
        <v>2</v>
      </c>
      <c r="I745" t="s">
        <v>61</v>
      </c>
      <c r="J745" t="s">
        <v>34</v>
      </c>
      <c r="K745" t="s">
        <v>60</v>
      </c>
      <c r="L745" t="s">
        <v>35</v>
      </c>
      <c r="M745" s="3">
        <v>69</v>
      </c>
      <c r="N745" t="s">
        <v>61</v>
      </c>
      <c r="O745" t="s">
        <v>62</v>
      </c>
      <c r="P745" t="s">
        <v>48</v>
      </c>
      <c r="Q745" t="s">
        <v>62</v>
      </c>
      <c r="R745" t="s">
        <v>37</v>
      </c>
      <c r="S745" s="3">
        <v>13726</v>
      </c>
      <c r="T745" s="3">
        <v>21829</v>
      </c>
      <c r="U745" s="3" t="str">
        <f t="shared" si="47"/>
        <v>High</v>
      </c>
      <c r="V745">
        <v>3</v>
      </c>
      <c r="W745" t="s">
        <v>31</v>
      </c>
      <c r="X745" s="2">
        <v>13</v>
      </c>
      <c r="Y745" t="s">
        <v>60</v>
      </c>
      <c r="Z745" t="s">
        <v>59</v>
      </c>
      <c r="AA745">
        <v>0</v>
      </c>
      <c r="AB745">
        <v>30</v>
      </c>
      <c r="AC745">
        <v>4</v>
      </c>
      <c r="AD745">
        <v>3</v>
      </c>
      <c r="AE745">
        <v>5</v>
      </c>
      <c r="AF745">
        <v>3</v>
      </c>
      <c r="AG745">
        <v>4</v>
      </c>
      <c r="AH745">
        <v>3</v>
      </c>
      <c r="AI745" t="str">
        <f t="shared" si="44"/>
        <v>3-5 Years</v>
      </c>
      <c r="AJ745" t="str">
        <f t="shared" si="45"/>
        <v>3-5</v>
      </c>
    </row>
    <row r="746" spans="1:36" x14ac:dyDescent="0.35">
      <c r="A746">
        <v>745</v>
      </c>
      <c r="B746">
        <v>37</v>
      </c>
      <c r="C746" t="str">
        <f t="shared" si="46"/>
        <v>36-45</v>
      </c>
      <c r="D746" t="s">
        <v>31</v>
      </c>
      <c r="E746" t="s">
        <v>32</v>
      </c>
      <c r="F746" s="3">
        <v>1389</v>
      </c>
      <c r="G746" t="s">
        <v>40</v>
      </c>
      <c r="H746" s="1">
        <v>11</v>
      </c>
      <c r="I746" t="s">
        <v>58</v>
      </c>
      <c r="J746" t="s">
        <v>46</v>
      </c>
      <c r="K746" t="s">
        <v>59</v>
      </c>
      <c r="L746" t="s">
        <v>35</v>
      </c>
      <c r="M746" s="3">
        <v>61</v>
      </c>
      <c r="N746" t="s">
        <v>59</v>
      </c>
      <c r="O746" t="s">
        <v>61</v>
      </c>
      <c r="P746" t="s">
        <v>49</v>
      </c>
      <c r="Q746" t="s">
        <v>61</v>
      </c>
      <c r="R746" t="s">
        <v>43</v>
      </c>
      <c r="S746" s="3">
        <v>4777</v>
      </c>
      <c r="T746" s="3">
        <v>14382</v>
      </c>
      <c r="U746" s="3" t="str">
        <f t="shared" si="47"/>
        <v>Low</v>
      </c>
      <c r="V746">
        <v>5</v>
      </c>
      <c r="W746" t="s">
        <v>38</v>
      </c>
      <c r="X746" s="2">
        <v>15</v>
      </c>
      <c r="Y746" t="s">
        <v>60</v>
      </c>
      <c r="Z746" t="s">
        <v>59</v>
      </c>
      <c r="AA746">
        <v>0</v>
      </c>
      <c r="AB746">
        <v>15</v>
      </c>
      <c r="AC746">
        <v>2</v>
      </c>
      <c r="AD746">
        <v>1</v>
      </c>
      <c r="AE746">
        <v>1</v>
      </c>
      <c r="AF746">
        <v>0</v>
      </c>
      <c r="AG746">
        <v>0</v>
      </c>
      <c r="AH746">
        <v>0</v>
      </c>
      <c r="AI746" t="str">
        <f t="shared" si="44"/>
        <v>0-2 Years</v>
      </c>
      <c r="AJ746" t="str">
        <f t="shared" si="45"/>
        <v>0-2</v>
      </c>
    </row>
    <row r="747" spans="1:36" x14ac:dyDescent="0.35">
      <c r="A747">
        <v>746</v>
      </c>
      <c r="B747">
        <v>55</v>
      </c>
      <c r="C747" t="str">
        <f t="shared" si="46"/>
        <v>46-55</v>
      </c>
      <c r="D747" t="s">
        <v>38</v>
      </c>
      <c r="E747" t="s">
        <v>39</v>
      </c>
      <c r="F747" s="3">
        <v>1389</v>
      </c>
      <c r="G747" t="s">
        <v>40</v>
      </c>
      <c r="H747" s="1">
        <v>18</v>
      </c>
      <c r="I747" t="s">
        <v>60</v>
      </c>
      <c r="J747" t="s">
        <v>46</v>
      </c>
      <c r="K747" t="s">
        <v>60</v>
      </c>
      <c r="L747" t="s">
        <v>41</v>
      </c>
      <c r="M747" s="3">
        <v>62</v>
      </c>
      <c r="N747" t="s">
        <v>60</v>
      </c>
      <c r="O747" t="s">
        <v>61</v>
      </c>
      <c r="P747" t="s">
        <v>49</v>
      </c>
      <c r="Q747" t="s">
        <v>61</v>
      </c>
      <c r="R747" t="s">
        <v>43</v>
      </c>
      <c r="S747" s="3">
        <v>6385</v>
      </c>
      <c r="T747" s="3">
        <v>12992</v>
      </c>
      <c r="U747" s="3" t="str">
        <f t="shared" si="47"/>
        <v>Medium</v>
      </c>
      <c r="V747">
        <v>3</v>
      </c>
      <c r="W747" t="s">
        <v>31</v>
      </c>
      <c r="X747" s="2">
        <v>14</v>
      </c>
      <c r="Y747" t="s">
        <v>60</v>
      </c>
      <c r="Z747" t="s">
        <v>62</v>
      </c>
      <c r="AA747">
        <v>2</v>
      </c>
      <c r="AB747">
        <v>17</v>
      </c>
      <c r="AC747">
        <v>3</v>
      </c>
      <c r="AD747">
        <v>3</v>
      </c>
      <c r="AE747">
        <v>8</v>
      </c>
      <c r="AF747">
        <v>7</v>
      </c>
      <c r="AG747">
        <v>6</v>
      </c>
      <c r="AH747">
        <v>7</v>
      </c>
      <c r="AI747" t="str">
        <f t="shared" si="44"/>
        <v>6-10 Years</v>
      </c>
      <c r="AJ747" t="str">
        <f t="shared" si="45"/>
        <v>6+</v>
      </c>
    </row>
    <row r="748" spans="1:36" x14ac:dyDescent="0.35">
      <c r="A748">
        <v>747</v>
      </c>
      <c r="B748">
        <v>41</v>
      </c>
      <c r="C748" t="str">
        <f t="shared" si="46"/>
        <v>36-45</v>
      </c>
      <c r="D748" t="s">
        <v>38</v>
      </c>
      <c r="E748" t="s">
        <v>50</v>
      </c>
      <c r="F748" s="3">
        <v>1389</v>
      </c>
      <c r="G748" t="s">
        <v>40</v>
      </c>
      <c r="H748" s="1">
        <v>7</v>
      </c>
      <c r="I748" t="s">
        <v>59</v>
      </c>
      <c r="J748" t="s">
        <v>34</v>
      </c>
      <c r="K748" t="s">
        <v>61</v>
      </c>
      <c r="L748" t="s">
        <v>35</v>
      </c>
      <c r="M748" s="3">
        <v>55</v>
      </c>
      <c r="N748" t="s">
        <v>59</v>
      </c>
      <c r="O748" t="e">
        <v>#N/A</v>
      </c>
      <c r="P748" t="s">
        <v>53</v>
      </c>
      <c r="Q748" t="s">
        <v>60</v>
      </c>
      <c r="R748" t="s">
        <v>47</v>
      </c>
      <c r="S748" s="3">
        <v>19973</v>
      </c>
      <c r="T748" s="3">
        <v>20284</v>
      </c>
      <c r="U748" s="3" t="str">
        <f t="shared" si="47"/>
        <v>High</v>
      </c>
      <c r="V748">
        <v>1</v>
      </c>
      <c r="W748" t="s">
        <v>38</v>
      </c>
      <c r="X748" s="2">
        <v>22</v>
      </c>
      <c r="Y748" t="s">
        <v>62</v>
      </c>
      <c r="Z748" t="s">
        <v>61</v>
      </c>
      <c r="AA748">
        <v>2</v>
      </c>
      <c r="AB748">
        <v>21</v>
      </c>
      <c r="AC748">
        <v>3</v>
      </c>
      <c r="AD748">
        <v>3</v>
      </c>
      <c r="AE748">
        <v>21</v>
      </c>
      <c r="AF748">
        <v>16</v>
      </c>
      <c r="AG748">
        <v>5</v>
      </c>
      <c r="AH748">
        <v>10</v>
      </c>
      <c r="AI748" t="str">
        <f t="shared" si="44"/>
        <v>10+ Years</v>
      </c>
      <c r="AJ748" t="str">
        <f t="shared" si="45"/>
        <v>3-5</v>
      </c>
    </row>
    <row r="749" spans="1:36" x14ac:dyDescent="0.35">
      <c r="A749">
        <v>748</v>
      </c>
      <c r="B749">
        <v>38</v>
      </c>
      <c r="C749" t="str">
        <f t="shared" si="46"/>
        <v>36-45</v>
      </c>
      <c r="D749" t="s">
        <v>38</v>
      </c>
      <c r="E749" t="s">
        <v>32</v>
      </c>
      <c r="F749" s="3">
        <v>1389</v>
      </c>
      <c r="G749" t="s">
        <v>33</v>
      </c>
      <c r="H749" s="1">
        <v>3</v>
      </c>
      <c r="I749" t="s">
        <v>60</v>
      </c>
      <c r="J749" t="s">
        <v>34</v>
      </c>
      <c r="K749" t="s">
        <v>61</v>
      </c>
      <c r="L749" t="s">
        <v>41</v>
      </c>
      <c r="M749" s="3">
        <v>42</v>
      </c>
      <c r="N749" t="s">
        <v>60</v>
      </c>
      <c r="O749" t="s">
        <v>61</v>
      </c>
      <c r="P749" t="s">
        <v>36</v>
      </c>
      <c r="Q749" t="s">
        <v>62</v>
      </c>
      <c r="R749" t="s">
        <v>37</v>
      </c>
      <c r="S749" s="3">
        <v>6861</v>
      </c>
      <c r="T749" s="3">
        <v>4981</v>
      </c>
      <c r="U749" s="3" t="str">
        <f t="shared" si="47"/>
        <v>Medium</v>
      </c>
      <c r="V749">
        <v>8</v>
      </c>
      <c r="W749" t="s">
        <v>31</v>
      </c>
      <c r="X749" s="2">
        <v>12</v>
      </c>
      <c r="Y749" t="s">
        <v>60</v>
      </c>
      <c r="Z749" t="s">
        <v>60</v>
      </c>
      <c r="AA749">
        <v>0</v>
      </c>
      <c r="AB749">
        <v>19</v>
      </c>
      <c r="AC749">
        <v>1</v>
      </c>
      <c r="AD749">
        <v>3</v>
      </c>
      <c r="AE749">
        <v>1</v>
      </c>
      <c r="AF749">
        <v>0</v>
      </c>
      <c r="AG749">
        <v>0</v>
      </c>
      <c r="AH749">
        <v>0</v>
      </c>
      <c r="AI749" t="str">
        <f t="shared" si="44"/>
        <v>0-2 Years</v>
      </c>
      <c r="AJ749" t="str">
        <f t="shared" si="45"/>
        <v>0-2</v>
      </c>
    </row>
    <row r="750" spans="1:36" x14ac:dyDescent="0.35">
      <c r="A750">
        <v>749</v>
      </c>
      <c r="B750">
        <v>26</v>
      </c>
      <c r="C750" t="str">
        <f t="shared" si="46"/>
        <v>26-35</v>
      </c>
      <c r="D750" t="s">
        <v>31</v>
      </c>
      <c r="E750" t="s">
        <v>50</v>
      </c>
      <c r="F750" s="3">
        <v>1389</v>
      </c>
      <c r="G750" t="s">
        <v>33</v>
      </c>
      <c r="H750" s="1">
        <v>29</v>
      </c>
      <c r="I750" t="s">
        <v>58</v>
      </c>
      <c r="J750" t="s">
        <v>46</v>
      </c>
      <c r="K750" t="s">
        <v>61</v>
      </c>
      <c r="L750" t="s">
        <v>41</v>
      </c>
      <c r="M750" s="3">
        <v>79</v>
      </c>
      <c r="N750" t="s">
        <v>59</v>
      </c>
      <c r="O750" t="s">
        <v>61</v>
      </c>
      <c r="P750" t="s">
        <v>36</v>
      </c>
      <c r="Q750" t="s">
        <v>59</v>
      </c>
      <c r="R750" t="s">
        <v>37</v>
      </c>
      <c r="S750" s="3">
        <v>4969</v>
      </c>
      <c r="T750" s="3">
        <v>21813</v>
      </c>
      <c r="U750" s="3" t="str">
        <f t="shared" si="47"/>
        <v>Low</v>
      </c>
      <c r="V750">
        <v>8</v>
      </c>
      <c r="W750" t="s">
        <v>38</v>
      </c>
      <c r="X750" s="2">
        <v>18</v>
      </c>
      <c r="Y750" t="s">
        <v>60</v>
      </c>
      <c r="Z750" t="s">
        <v>62</v>
      </c>
      <c r="AA750">
        <v>0</v>
      </c>
      <c r="AB750">
        <v>7</v>
      </c>
      <c r="AC750">
        <v>6</v>
      </c>
      <c r="AD750">
        <v>3</v>
      </c>
      <c r="AE750">
        <v>2</v>
      </c>
      <c r="AF750">
        <v>2</v>
      </c>
      <c r="AG750">
        <v>2</v>
      </c>
      <c r="AH750">
        <v>2</v>
      </c>
      <c r="AI750" t="str">
        <f t="shared" si="44"/>
        <v>0-2 Years</v>
      </c>
      <c r="AJ750" t="str">
        <f t="shared" si="45"/>
        <v>0-2</v>
      </c>
    </row>
    <row r="751" spans="1:36" x14ac:dyDescent="0.35">
      <c r="A751">
        <v>750</v>
      </c>
      <c r="B751">
        <v>52</v>
      </c>
      <c r="C751" t="str">
        <f t="shared" si="46"/>
        <v>46-55</v>
      </c>
      <c r="D751" t="s">
        <v>31</v>
      </c>
      <c r="E751" t="s">
        <v>32</v>
      </c>
      <c r="F751" s="3">
        <v>1389</v>
      </c>
      <c r="G751" t="s">
        <v>33</v>
      </c>
      <c r="H751" s="1">
        <v>2</v>
      </c>
      <c r="I751" t="s">
        <v>59</v>
      </c>
      <c r="J751" t="s">
        <v>54</v>
      </c>
      <c r="K751" t="s">
        <v>59</v>
      </c>
      <c r="L751" t="s">
        <v>35</v>
      </c>
      <c r="M751" s="3">
        <v>57</v>
      </c>
      <c r="N751" t="s">
        <v>59</v>
      </c>
      <c r="O751" t="e">
        <v>#N/A</v>
      </c>
      <c r="P751" t="s">
        <v>51</v>
      </c>
      <c r="Q751" t="s">
        <v>62</v>
      </c>
      <c r="R751" t="s">
        <v>43</v>
      </c>
      <c r="S751" s="3">
        <v>19845</v>
      </c>
      <c r="T751" s="3">
        <v>25846</v>
      </c>
      <c r="U751" s="3" t="str">
        <f t="shared" si="47"/>
        <v>High</v>
      </c>
      <c r="V751">
        <v>1</v>
      </c>
      <c r="W751" t="s">
        <v>38</v>
      </c>
      <c r="X751" s="2">
        <v>15</v>
      </c>
      <c r="Y751" t="s">
        <v>60</v>
      </c>
      <c r="Z751" t="s">
        <v>62</v>
      </c>
      <c r="AA751">
        <v>1</v>
      </c>
      <c r="AB751">
        <v>33</v>
      </c>
      <c r="AC751">
        <v>3</v>
      </c>
      <c r="AD751">
        <v>3</v>
      </c>
      <c r="AE751">
        <v>32</v>
      </c>
      <c r="AF751">
        <v>14</v>
      </c>
      <c r="AG751">
        <v>6</v>
      </c>
      <c r="AH751">
        <v>9</v>
      </c>
      <c r="AI751" t="str">
        <f t="shared" si="44"/>
        <v>10+ Years</v>
      </c>
      <c r="AJ751" t="str">
        <f t="shared" si="45"/>
        <v>6+</v>
      </c>
    </row>
    <row r="752" spans="1:36" x14ac:dyDescent="0.35">
      <c r="A752">
        <v>751</v>
      </c>
      <c r="B752">
        <v>44</v>
      </c>
      <c r="C752" t="str">
        <f t="shared" si="46"/>
        <v>36-45</v>
      </c>
      <c r="D752" t="s">
        <v>38</v>
      </c>
      <c r="E752" t="s">
        <v>32</v>
      </c>
      <c r="F752" s="3">
        <v>1389</v>
      </c>
      <c r="G752" t="s">
        <v>33</v>
      </c>
      <c r="H752" s="1">
        <v>28</v>
      </c>
      <c r="I752" t="s">
        <v>61</v>
      </c>
      <c r="J752" t="s">
        <v>46</v>
      </c>
      <c r="K752" t="s">
        <v>62</v>
      </c>
      <c r="L752" t="s">
        <v>35</v>
      </c>
      <c r="M752" s="3">
        <v>53</v>
      </c>
      <c r="N752" t="s">
        <v>62</v>
      </c>
      <c r="O752" t="s">
        <v>62</v>
      </c>
      <c r="P752" t="s">
        <v>36</v>
      </c>
      <c r="Q752" t="s">
        <v>62</v>
      </c>
      <c r="R752" t="s">
        <v>43</v>
      </c>
      <c r="S752" s="3">
        <v>13320</v>
      </c>
      <c r="T752" s="3">
        <v>11737</v>
      </c>
      <c r="U752" s="3" t="str">
        <f t="shared" si="47"/>
        <v>High</v>
      </c>
      <c r="V752">
        <v>3</v>
      </c>
      <c r="W752" t="s">
        <v>31</v>
      </c>
      <c r="X752" s="2">
        <v>18</v>
      </c>
      <c r="Y752" t="s">
        <v>60</v>
      </c>
      <c r="Z752" t="s">
        <v>60</v>
      </c>
      <c r="AA752">
        <v>1</v>
      </c>
      <c r="AB752">
        <v>23</v>
      </c>
      <c r="AC752">
        <v>2</v>
      </c>
      <c r="AD752">
        <v>3</v>
      </c>
      <c r="AE752">
        <v>12</v>
      </c>
      <c r="AF752">
        <v>11</v>
      </c>
      <c r="AG752">
        <v>11</v>
      </c>
      <c r="AH752">
        <v>11</v>
      </c>
      <c r="AI752" t="str">
        <f t="shared" si="44"/>
        <v>10+ Years</v>
      </c>
      <c r="AJ752" t="str">
        <f t="shared" si="45"/>
        <v>6+</v>
      </c>
    </row>
    <row r="753" spans="1:36" x14ac:dyDescent="0.35">
      <c r="A753">
        <v>752</v>
      </c>
      <c r="B753">
        <v>50</v>
      </c>
      <c r="C753" t="str">
        <f t="shared" si="46"/>
        <v>46-55</v>
      </c>
      <c r="D753" t="s">
        <v>38</v>
      </c>
      <c r="E753" t="s">
        <v>50</v>
      </c>
      <c r="F753" s="3">
        <v>1389</v>
      </c>
      <c r="G753" t="s">
        <v>33</v>
      </c>
      <c r="H753" s="1">
        <v>1</v>
      </c>
      <c r="I753" t="s">
        <v>61</v>
      </c>
      <c r="J753" t="s">
        <v>34</v>
      </c>
      <c r="K753" t="s">
        <v>62</v>
      </c>
      <c r="L753" t="s">
        <v>35</v>
      </c>
      <c r="M753" s="3">
        <v>95</v>
      </c>
      <c r="N753" t="s">
        <v>60</v>
      </c>
      <c r="O753" t="s">
        <v>61</v>
      </c>
      <c r="P753" t="s">
        <v>36</v>
      </c>
      <c r="Q753" t="s">
        <v>60</v>
      </c>
      <c r="R753" t="s">
        <v>43</v>
      </c>
      <c r="S753" s="3">
        <v>6347</v>
      </c>
      <c r="T753" s="3">
        <v>24920</v>
      </c>
      <c r="U753" s="3" t="str">
        <f t="shared" si="47"/>
        <v>Medium</v>
      </c>
      <c r="V753">
        <v>0</v>
      </c>
      <c r="W753" t="s">
        <v>38</v>
      </c>
      <c r="X753" s="2">
        <v>12</v>
      </c>
      <c r="Y753" t="s">
        <v>60</v>
      </c>
      <c r="Z753" t="s">
        <v>59</v>
      </c>
      <c r="AA753">
        <v>1</v>
      </c>
      <c r="AB753">
        <v>19</v>
      </c>
      <c r="AC753">
        <v>3</v>
      </c>
      <c r="AD753">
        <v>3</v>
      </c>
      <c r="AE753">
        <v>18</v>
      </c>
      <c r="AF753">
        <v>7</v>
      </c>
      <c r="AG753">
        <v>0</v>
      </c>
      <c r="AH753">
        <v>13</v>
      </c>
      <c r="AI753" t="str">
        <f t="shared" si="44"/>
        <v>10+ Years</v>
      </c>
      <c r="AJ753" t="str">
        <f t="shared" si="45"/>
        <v>0-2</v>
      </c>
    </row>
    <row r="754" spans="1:36" x14ac:dyDescent="0.35">
      <c r="A754">
        <v>753</v>
      </c>
      <c r="B754">
        <v>36</v>
      </c>
      <c r="C754" t="str">
        <f t="shared" si="46"/>
        <v>36-45</v>
      </c>
      <c r="D754" t="s">
        <v>31</v>
      </c>
      <c r="E754" t="s">
        <v>32</v>
      </c>
      <c r="F754" s="3">
        <v>1389</v>
      </c>
      <c r="G754" t="s">
        <v>40</v>
      </c>
      <c r="H754" s="1">
        <v>16</v>
      </c>
      <c r="I754" t="s">
        <v>60</v>
      </c>
      <c r="J754" t="s">
        <v>34</v>
      </c>
      <c r="K754" t="s">
        <v>60</v>
      </c>
      <c r="L754" t="s">
        <v>35</v>
      </c>
      <c r="M754" s="3">
        <v>43</v>
      </c>
      <c r="N754" t="s">
        <v>62</v>
      </c>
      <c r="O754" t="s">
        <v>59</v>
      </c>
      <c r="P754" t="s">
        <v>45</v>
      </c>
      <c r="Q754" t="s">
        <v>59</v>
      </c>
      <c r="R754" t="s">
        <v>37</v>
      </c>
      <c r="S754" s="3">
        <v>2743</v>
      </c>
      <c r="T754" s="3">
        <v>8269</v>
      </c>
      <c r="U754" s="3" t="str">
        <f t="shared" si="47"/>
        <v>Low</v>
      </c>
      <c r="V754">
        <v>1</v>
      </c>
      <c r="W754" t="s">
        <v>38</v>
      </c>
      <c r="X754" s="2">
        <v>16</v>
      </c>
      <c r="Y754" t="s">
        <v>60</v>
      </c>
      <c r="Z754" t="s">
        <v>60</v>
      </c>
      <c r="AA754">
        <v>0</v>
      </c>
      <c r="AB754">
        <v>18</v>
      </c>
      <c r="AC754">
        <v>1</v>
      </c>
      <c r="AD754">
        <v>3</v>
      </c>
      <c r="AE754">
        <v>17</v>
      </c>
      <c r="AF754">
        <v>13</v>
      </c>
      <c r="AG754">
        <v>15</v>
      </c>
      <c r="AH754">
        <v>14</v>
      </c>
      <c r="AI754" t="str">
        <f t="shared" si="44"/>
        <v>10+ Years</v>
      </c>
      <c r="AJ754" t="str">
        <f t="shared" si="45"/>
        <v>6+</v>
      </c>
    </row>
    <row r="755" spans="1:36" x14ac:dyDescent="0.35">
      <c r="A755">
        <v>754</v>
      </c>
      <c r="B755">
        <v>39</v>
      </c>
      <c r="C755" t="str">
        <f t="shared" si="46"/>
        <v>36-45</v>
      </c>
      <c r="D755" t="s">
        <v>38</v>
      </c>
      <c r="E755" t="s">
        <v>39</v>
      </c>
      <c r="F755" s="3">
        <v>1389</v>
      </c>
      <c r="G755" t="s">
        <v>40</v>
      </c>
      <c r="H755" s="1">
        <v>22</v>
      </c>
      <c r="I755" t="s">
        <v>61</v>
      </c>
      <c r="J755" t="s">
        <v>46</v>
      </c>
      <c r="K755" t="s">
        <v>62</v>
      </c>
      <c r="L755" t="s">
        <v>35</v>
      </c>
      <c r="M755" s="3">
        <v>82</v>
      </c>
      <c r="N755" t="s">
        <v>60</v>
      </c>
      <c r="O755" t="s">
        <v>60</v>
      </c>
      <c r="P755" t="s">
        <v>48</v>
      </c>
      <c r="Q755" t="s">
        <v>59</v>
      </c>
      <c r="R755" t="s">
        <v>37</v>
      </c>
      <c r="S755" s="3">
        <v>10880</v>
      </c>
      <c r="T755" s="3">
        <v>5083</v>
      </c>
      <c r="U755" s="3" t="str">
        <f t="shared" si="47"/>
        <v>High</v>
      </c>
      <c r="V755">
        <v>1</v>
      </c>
      <c r="W755" t="s">
        <v>31</v>
      </c>
      <c r="X755" s="2">
        <v>13</v>
      </c>
      <c r="Y755" t="s">
        <v>60</v>
      </c>
      <c r="Z755" t="s">
        <v>60</v>
      </c>
      <c r="AA755">
        <v>0</v>
      </c>
      <c r="AB755">
        <v>21</v>
      </c>
      <c r="AC755">
        <v>2</v>
      </c>
      <c r="AD755">
        <v>3</v>
      </c>
      <c r="AE755">
        <v>21</v>
      </c>
      <c r="AF755">
        <v>6</v>
      </c>
      <c r="AG755">
        <v>2</v>
      </c>
      <c r="AH755">
        <v>8</v>
      </c>
      <c r="AI755" t="str">
        <f t="shared" si="44"/>
        <v>10+ Years</v>
      </c>
      <c r="AJ755" t="str">
        <f t="shared" si="45"/>
        <v>0-2</v>
      </c>
    </row>
    <row r="756" spans="1:36" x14ac:dyDescent="0.35">
      <c r="A756">
        <v>755</v>
      </c>
      <c r="B756">
        <v>33</v>
      </c>
      <c r="C756" t="str">
        <f t="shared" si="46"/>
        <v>26-35</v>
      </c>
      <c r="D756" t="s">
        <v>38</v>
      </c>
      <c r="E756" t="s">
        <v>50</v>
      </c>
      <c r="F756" s="3">
        <v>1389</v>
      </c>
      <c r="G756" t="s">
        <v>33</v>
      </c>
      <c r="H756" s="1">
        <v>8</v>
      </c>
      <c r="I756" t="s">
        <v>59</v>
      </c>
      <c r="J756" t="s">
        <v>34</v>
      </c>
      <c r="K756" t="s">
        <v>61</v>
      </c>
      <c r="L756" t="s">
        <v>35</v>
      </c>
      <c r="M756" s="3">
        <v>88</v>
      </c>
      <c r="N756" t="s">
        <v>61</v>
      </c>
      <c r="O756" t="s">
        <v>59</v>
      </c>
      <c r="P756" t="s">
        <v>52</v>
      </c>
      <c r="Q756" t="s">
        <v>62</v>
      </c>
      <c r="R756" t="s">
        <v>37</v>
      </c>
      <c r="S756" s="3">
        <v>2342</v>
      </c>
      <c r="T756" s="3">
        <v>21437</v>
      </c>
      <c r="U756" s="3" t="str">
        <f t="shared" si="47"/>
        <v>Low</v>
      </c>
      <c r="V756">
        <v>0</v>
      </c>
      <c r="W756" t="s">
        <v>38</v>
      </c>
      <c r="X756" s="2">
        <v>19</v>
      </c>
      <c r="Y756" t="s">
        <v>60</v>
      </c>
      <c r="Z756" t="s">
        <v>62</v>
      </c>
      <c r="AA756">
        <v>0</v>
      </c>
      <c r="AB756">
        <v>3</v>
      </c>
      <c r="AC756">
        <v>2</v>
      </c>
      <c r="AD756">
        <v>2</v>
      </c>
      <c r="AE756">
        <v>2</v>
      </c>
      <c r="AF756">
        <v>2</v>
      </c>
      <c r="AG756">
        <v>2</v>
      </c>
      <c r="AH756">
        <v>2</v>
      </c>
      <c r="AI756" t="str">
        <f t="shared" si="44"/>
        <v>0-2 Years</v>
      </c>
      <c r="AJ756" t="str">
        <f t="shared" si="45"/>
        <v>0-2</v>
      </c>
    </row>
    <row r="757" spans="1:36" x14ac:dyDescent="0.35">
      <c r="A757">
        <v>756</v>
      </c>
      <c r="B757">
        <v>45</v>
      </c>
      <c r="C757" t="str">
        <f t="shared" si="46"/>
        <v>36-45</v>
      </c>
      <c r="D757" t="s">
        <v>38</v>
      </c>
      <c r="E757" t="s">
        <v>32</v>
      </c>
      <c r="F757" s="3">
        <v>1389</v>
      </c>
      <c r="G757" t="s">
        <v>33</v>
      </c>
      <c r="H757" s="1">
        <v>11</v>
      </c>
      <c r="I757" t="s">
        <v>58</v>
      </c>
      <c r="J757" t="s">
        <v>34</v>
      </c>
      <c r="K757" t="s">
        <v>62</v>
      </c>
      <c r="L757" t="s">
        <v>35</v>
      </c>
      <c r="M757" s="3">
        <v>90</v>
      </c>
      <c r="N757" t="s">
        <v>60</v>
      </c>
      <c r="O757" t="s">
        <v>62</v>
      </c>
      <c r="P757" t="s">
        <v>51</v>
      </c>
      <c r="Q757" t="s">
        <v>62</v>
      </c>
      <c r="R757" t="s">
        <v>43</v>
      </c>
      <c r="S757" s="3">
        <v>17650</v>
      </c>
      <c r="T757" s="3">
        <v>5404</v>
      </c>
      <c r="U757" s="3" t="str">
        <f t="shared" si="47"/>
        <v>High</v>
      </c>
      <c r="V757">
        <v>3</v>
      </c>
      <c r="W757" t="s">
        <v>38</v>
      </c>
      <c r="X757" s="2">
        <v>13</v>
      </c>
      <c r="Y757" t="s">
        <v>60</v>
      </c>
      <c r="Z757" t="s">
        <v>61</v>
      </c>
      <c r="AA757">
        <v>1</v>
      </c>
      <c r="AB757">
        <v>26</v>
      </c>
      <c r="AC757">
        <v>4</v>
      </c>
      <c r="AD757">
        <v>4</v>
      </c>
      <c r="AE757">
        <v>9</v>
      </c>
      <c r="AF757">
        <v>3</v>
      </c>
      <c r="AG757">
        <v>1</v>
      </c>
      <c r="AH757">
        <v>1</v>
      </c>
      <c r="AI757" t="str">
        <f t="shared" si="44"/>
        <v>6-10 Years</v>
      </c>
      <c r="AJ757" t="str">
        <f t="shared" si="45"/>
        <v>0-2</v>
      </c>
    </row>
    <row r="758" spans="1:36" x14ac:dyDescent="0.35">
      <c r="A758">
        <v>757</v>
      </c>
      <c r="B758">
        <v>32</v>
      </c>
      <c r="C758" t="str">
        <f t="shared" si="46"/>
        <v>26-35</v>
      </c>
      <c r="D758" t="s">
        <v>38</v>
      </c>
      <c r="E758" t="s">
        <v>50</v>
      </c>
      <c r="F758" s="3">
        <v>1389</v>
      </c>
      <c r="G758" t="s">
        <v>40</v>
      </c>
      <c r="H758" s="1">
        <v>29</v>
      </c>
      <c r="I758" t="s">
        <v>60</v>
      </c>
      <c r="J758" t="s">
        <v>46</v>
      </c>
      <c r="K758" t="s">
        <v>62</v>
      </c>
      <c r="L758" t="s">
        <v>35</v>
      </c>
      <c r="M758" s="3">
        <v>69</v>
      </c>
      <c r="N758" t="s">
        <v>60</v>
      </c>
      <c r="O758" t="s">
        <v>59</v>
      </c>
      <c r="P758" t="s">
        <v>45</v>
      </c>
      <c r="Q758" t="s">
        <v>60</v>
      </c>
      <c r="R758" t="s">
        <v>37</v>
      </c>
      <c r="S758" s="3">
        <v>4025</v>
      </c>
      <c r="T758" s="3">
        <v>11135</v>
      </c>
      <c r="U758" s="3" t="str">
        <f t="shared" si="47"/>
        <v>Low</v>
      </c>
      <c r="V758">
        <v>9</v>
      </c>
      <c r="W758" t="s">
        <v>38</v>
      </c>
      <c r="X758" s="2">
        <v>12</v>
      </c>
      <c r="Y758" t="s">
        <v>60</v>
      </c>
      <c r="Z758" t="s">
        <v>61</v>
      </c>
      <c r="AA758">
        <v>0</v>
      </c>
      <c r="AB758">
        <v>10</v>
      </c>
      <c r="AC758">
        <v>2</v>
      </c>
      <c r="AD758">
        <v>3</v>
      </c>
      <c r="AE758">
        <v>8</v>
      </c>
      <c r="AF758">
        <v>7</v>
      </c>
      <c r="AG758">
        <v>7</v>
      </c>
      <c r="AH758">
        <v>7</v>
      </c>
      <c r="AI758" t="str">
        <f t="shared" si="44"/>
        <v>6-10 Years</v>
      </c>
      <c r="AJ758" t="str">
        <f t="shared" si="45"/>
        <v>6+</v>
      </c>
    </row>
    <row r="759" spans="1:36" x14ac:dyDescent="0.35">
      <c r="A759">
        <v>758</v>
      </c>
      <c r="B759">
        <v>34</v>
      </c>
      <c r="C759" t="str">
        <f t="shared" si="46"/>
        <v>26-35</v>
      </c>
      <c r="D759" t="s">
        <v>38</v>
      </c>
      <c r="E759" t="s">
        <v>32</v>
      </c>
      <c r="F759" s="3">
        <v>1389</v>
      </c>
      <c r="G759" t="s">
        <v>33</v>
      </c>
      <c r="H759" s="1">
        <v>1</v>
      </c>
      <c r="I759" t="s">
        <v>60</v>
      </c>
      <c r="J759" t="s">
        <v>54</v>
      </c>
      <c r="K759" t="s">
        <v>61</v>
      </c>
      <c r="L759" t="s">
        <v>41</v>
      </c>
      <c r="M759" s="3">
        <v>75</v>
      </c>
      <c r="N759" t="s">
        <v>62</v>
      </c>
      <c r="O759" t="s">
        <v>61</v>
      </c>
      <c r="P759" t="s">
        <v>36</v>
      </c>
      <c r="Q759" t="s">
        <v>62</v>
      </c>
      <c r="R759" t="s">
        <v>47</v>
      </c>
      <c r="S759" s="3">
        <v>9725</v>
      </c>
      <c r="T759" s="3">
        <v>12278</v>
      </c>
      <c r="U759" s="3" t="str">
        <f t="shared" si="47"/>
        <v>Medium</v>
      </c>
      <c r="V759">
        <v>0</v>
      </c>
      <c r="W759" t="s">
        <v>38</v>
      </c>
      <c r="X759" s="2">
        <v>11</v>
      </c>
      <c r="Y759" t="s">
        <v>60</v>
      </c>
      <c r="Z759" t="s">
        <v>62</v>
      </c>
      <c r="AA759">
        <v>1</v>
      </c>
      <c r="AB759">
        <v>16</v>
      </c>
      <c r="AC759">
        <v>2</v>
      </c>
      <c r="AD759">
        <v>2</v>
      </c>
      <c r="AE759">
        <v>15</v>
      </c>
      <c r="AF759">
        <v>1</v>
      </c>
      <c r="AG759">
        <v>0</v>
      </c>
      <c r="AH759">
        <v>9</v>
      </c>
      <c r="AI759" t="str">
        <f t="shared" si="44"/>
        <v>10+ Years</v>
      </c>
      <c r="AJ759" t="str">
        <f t="shared" si="45"/>
        <v>0-2</v>
      </c>
    </row>
    <row r="760" spans="1:36" x14ac:dyDescent="0.35">
      <c r="A760">
        <v>759</v>
      </c>
      <c r="B760">
        <v>59</v>
      </c>
      <c r="C760" t="str">
        <f t="shared" si="46"/>
        <v>55+</v>
      </c>
      <c r="D760" t="s">
        <v>38</v>
      </c>
      <c r="E760" t="s">
        <v>32</v>
      </c>
      <c r="F760" s="3">
        <v>1389</v>
      </c>
      <c r="G760" t="s">
        <v>33</v>
      </c>
      <c r="H760" s="1">
        <v>1</v>
      </c>
      <c r="I760" t="s">
        <v>58</v>
      </c>
      <c r="J760" t="s">
        <v>55</v>
      </c>
      <c r="K760" t="s">
        <v>61</v>
      </c>
      <c r="L760" t="s">
        <v>41</v>
      </c>
      <c r="M760" s="3">
        <v>66</v>
      </c>
      <c r="N760" t="s">
        <v>60</v>
      </c>
      <c r="O760" t="s">
        <v>60</v>
      </c>
      <c r="P760" t="s">
        <v>51</v>
      </c>
      <c r="Q760" t="s">
        <v>62</v>
      </c>
      <c r="R760" t="s">
        <v>43</v>
      </c>
      <c r="S760" s="3">
        <v>11904</v>
      </c>
      <c r="T760" s="3">
        <v>11038</v>
      </c>
      <c r="U760" s="3" t="str">
        <f t="shared" si="47"/>
        <v>High</v>
      </c>
      <c r="V760">
        <v>3</v>
      </c>
      <c r="W760" t="s">
        <v>31</v>
      </c>
      <c r="X760" s="2">
        <v>14</v>
      </c>
      <c r="Y760" t="s">
        <v>60</v>
      </c>
      <c r="Z760" t="s">
        <v>60</v>
      </c>
      <c r="AA760">
        <v>1</v>
      </c>
      <c r="AB760">
        <v>14</v>
      </c>
      <c r="AC760">
        <v>1</v>
      </c>
      <c r="AD760">
        <v>1</v>
      </c>
      <c r="AE760">
        <v>6</v>
      </c>
      <c r="AF760">
        <v>4</v>
      </c>
      <c r="AG760">
        <v>0</v>
      </c>
      <c r="AH760">
        <v>4</v>
      </c>
      <c r="AI760" t="str">
        <f t="shared" si="44"/>
        <v>6-10 Years</v>
      </c>
      <c r="AJ760" t="str">
        <f t="shared" si="45"/>
        <v>0-2</v>
      </c>
    </row>
    <row r="761" spans="1:36" x14ac:dyDescent="0.35">
      <c r="A761">
        <v>760</v>
      </c>
      <c r="B761">
        <v>45</v>
      </c>
      <c r="C761" t="str">
        <f t="shared" si="46"/>
        <v>36-45</v>
      </c>
      <c r="D761" t="s">
        <v>38</v>
      </c>
      <c r="E761" t="s">
        <v>32</v>
      </c>
      <c r="F761" s="3">
        <v>1389</v>
      </c>
      <c r="G761" t="s">
        <v>56</v>
      </c>
      <c r="H761" s="1">
        <v>24</v>
      </c>
      <c r="I761" t="s">
        <v>60</v>
      </c>
      <c r="J761" t="s">
        <v>46</v>
      </c>
      <c r="K761" t="s">
        <v>61</v>
      </c>
      <c r="L761" t="s">
        <v>41</v>
      </c>
      <c r="M761" s="3">
        <v>36</v>
      </c>
      <c r="N761" t="s">
        <v>60</v>
      </c>
      <c r="O761" t="s">
        <v>59</v>
      </c>
      <c r="P761" t="s">
        <v>56</v>
      </c>
      <c r="Q761" t="s">
        <v>61</v>
      </c>
      <c r="R761" t="s">
        <v>37</v>
      </c>
      <c r="S761" s="3">
        <v>2177</v>
      </c>
      <c r="T761" s="3">
        <v>8318</v>
      </c>
      <c r="U761" s="3" t="str">
        <f t="shared" si="47"/>
        <v>Low</v>
      </c>
      <c r="V761">
        <v>1</v>
      </c>
      <c r="W761" t="s">
        <v>38</v>
      </c>
      <c r="X761" s="2">
        <v>16</v>
      </c>
      <c r="Y761" t="s">
        <v>60</v>
      </c>
      <c r="Z761" t="s">
        <v>59</v>
      </c>
      <c r="AA761">
        <v>0</v>
      </c>
      <c r="AB761">
        <v>6</v>
      </c>
      <c r="AC761">
        <v>3</v>
      </c>
      <c r="AD761">
        <v>3</v>
      </c>
      <c r="AE761">
        <v>6</v>
      </c>
      <c r="AF761">
        <v>3</v>
      </c>
      <c r="AG761">
        <v>0</v>
      </c>
      <c r="AH761">
        <v>4</v>
      </c>
      <c r="AI761" t="str">
        <f t="shared" si="44"/>
        <v>6-10 Years</v>
      </c>
      <c r="AJ761" t="str">
        <f t="shared" si="45"/>
        <v>0-2</v>
      </c>
    </row>
    <row r="762" spans="1:36" x14ac:dyDescent="0.35">
      <c r="A762">
        <v>761</v>
      </c>
      <c r="B762">
        <v>53</v>
      </c>
      <c r="C762" t="str">
        <f t="shared" si="46"/>
        <v>46-55</v>
      </c>
      <c r="D762" t="s">
        <v>38</v>
      </c>
      <c r="E762" t="s">
        <v>39</v>
      </c>
      <c r="F762" s="3">
        <v>1389</v>
      </c>
      <c r="G762" t="s">
        <v>33</v>
      </c>
      <c r="H762" s="1">
        <v>2</v>
      </c>
      <c r="I762" t="s">
        <v>61</v>
      </c>
      <c r="J762" t="s">
        <v>54</v>
      </c>
      <c r="K762" t="s">
        <v>60</v>
      </c>
      <c r="L762" t="s">
        <v>35</v>
      </c>
      <c r="M762" s="3">
        <v>38</v>
      </c>
      <c r="N762" t="s">
        <v>61</v>
      </c>
      <c r="O762" t="s">
        <v>60</v>
      </c>
      <c r="P762" t="s">
        <v>36</v>
      </c>
      <c r="Q762" t="s">
        <v>61</v>
      </c>
      <c r="R762" t="s">
        <v>43</v>
      </c>
      <c r="S762" s="3">
        <v>7525</v>
      </c>
      <c r="T762" s="3">
        <v>23537</v>
      </c>
      <c r="U762" s="3" t="str">
        <f t="shared" si="47"/>
        <v>Medium</v>
      </c>
      <c r="V762">
        <v>2</v>
      </c>
      <c r="W762" t="s">
        <v>38</v>
      </c>
      <c r="X762" s="2">
        <v>12</v>
      </c>
      <c r="Y762" t="s">
        <v>60</v>
      </c>
      <c r="Z762" t="s">
        <v>59</v>
      </c>
      <c r="AA762">
        <v>1</v>
      </c>
      <c r="AB762">
        <v>30</v>
      </c>
      <c r="AC762">
        <v>2</v>
      </c>
      <c r="AD762">
        <v>3</v>
      </c>
      <c r="AE762">
        <v>15</v>
      </c>
      <c r="AF762">
        <v>7</v>
      </c>
      <c r="AG762">
        <v>6</v>
      </c>
      <c r="AH762">
        <v>12</v>
      </c>
      <c r="AI762" t="str">
        <f t="shared" si="44"/>
        <v>10+ Years</v>
      </c>
      <c r="AJ762" t="str">
        <f t="shared" si="45"/>
        <v>6+</v>
      </c>
    </row>
    <row r="763" spans="1:36" x14ac:dyDescent="0.35">
      <c r="A763">
        <v>762</v>
      </c>
      <c r="B763">
        <v>36</v>
      </c>
      <c r="C763" t="str">
        <f t="shared" si="46"/>
        <v>36-45</v>
      </c>
      <c r="D763" t="s">
        <v>31</v>
      </c>
      <c r="E763" t="s">
        <v>32</v>
      </c>
      <c r="F763" s="3">
        <v>1389</v>
      </c>
      <c r="G763" t="s">
        <v>40</v>
      </c>
      <c r="H763" s="1">
        <v>15</v>
      </c>
      <c r="I763" t="s">
        <v>61</v>
      </c>
      <c r="J763" t="s">
        <v>44</v>
      </c>
      <c r="K763" t="s">
        <v>59</v>
      </c>
      <c r="L763" t="s">
        <v>41</v>
      </c>
      <c r="M763" s="3">
        <v>81</v>
      </c>
      <c r="N763" t="s">
        <v>60</v>
      </c>
      <c r="O763" t="s">
        <v>61</v>
      </c>
      <c r="P763" t="s">
        <v>45</v>
      </c>
      <c r="Q763" t="s">
        <v>60</v>
      </c>
      <c r="R763" t="s">
        <v>47</v>
      </c>
      <c r="S763" s="3">
        <v>4834</v>
      </c>
      <c r="T763" s="3">
        <v>7858</v>
      </c>
      <c r="U763" s="3" t="str">
        <f t="shared" si="47"/>
        <v>Low</v>
      </c>
      <c r="V763">
        <v>7</v>
      </c>
      <c r="W763" t="s">
        <v>38</v>
      </c>
      <c r="X763" s="2">
        <v>14</v>
      </c>
      <c r="Y763" t="s">
        <v>60</v>
      </c>
      <c r="Z763" t="s">
        <v>61</v>
      </c>
      <c r="AA763">
        <v>1</v>
      </c>
      <c r="AB763">
        <v>9</v>
      </c>
      <c r="AC763">
        <v>3</v>
      </c>
      <c r="AD763">
        <v>2</v>
      </c>
      <c r="AE763">
        <v>1</v>
      </c>
      <c r="AF763">
        <v>0</v>
      </c>
      <c r="AG763">
        <v>0</v>
      </c>
      <c r="AH763">
        <v>0</v>
      </c>
      <c r="AI763" t="str">
        <f t="shared" si="44"/>
        <v>0-2 Years</v>
      </c>
      <c r="AJ763" t="str">
        <f t="shared" si="45"/>
        <v>0-2</v>
      </c>
    </row>
    <row r="764" spans="1:36" x14ac:dyDescent="0.35">
      <c r="A764">
        <v>763</v>
      </c>
      <c r="B764">
        <v>26</v>
      </c>
      <c r="C764" t="str">
        <f t="shared" si="46"/>
        <v>26-35</v>
      </c>
      <c r="D764" t="s">
        <v>31</v>
      </c>
      <c r="E764" t="s">
        <v>39</v>
      </c>
      <c r="F764" s="3">
        <v>1389</v>
      </c>
      <c r="G764" t="s">
        <v>40</v>
      </c>
      <c r="H764" s="1">
        <v>2</v>
      </c>
      <c r="I764" t="s">
        <v>61</v>
      </c>
      <c r="J764" t="s">
        <v>34</v>
      </c>
      <c r="K764" t="s">
        <v>59</v>
      </c>
      <c r="L764" t="s">
        <v>41</v>
      </c>
      <c r="M764" s="3">
        <v>57</v>
      </c>
      <c r="N764" t="s">
        <v>60</v>
      </c>
      <c r="O764" t="s">
        <v>59</v>
      </c>
      <c r="P764" t="s">
        <v>42</v>
      </c>
      <c r="Q764" t="s">
        <v>59</v>
      </c>
      <c r="R764" t="s">
        <v>43</v>
      </c>
      <c r="S764" s="3">
        <v>2042</v>
      </c>
      <c r="T764" s="3">
        <v>15346</v>
      </c>
      <c r="U764" s="3" t="str">
        <f t="shared" si="47"/>
        <v>Low</v>
      </c>
      <c r="V764">
        <v>6</v>
      </c>
      <c r="W764" t="s">
        <v>31</v>
      </c>
      <c r="X764" s="2">
        <v>14</v>
      </c>
      <c r="Y764" t="s">
        <v>60</v>
      </c>
      <c r="Z764" t="s">
        <v>61</v>
      </c>
      <c r="AA764">
        <v>1</v>
      </c>
      <c r="AB764">
        <v>6</v>
      </c>
      <c r="AC764">
        <v>2</v>
      </c>
      <c r="AD764">
        <v>3</v>
      </c>
      <c r="AE764">
        <v>3</v>
      </c>
      <c r="AF764">
        <v>2</v>
      </c>
      <c r="AG764">
        <v>1</v>
      </c>
      <c r="AH764">
        <v>2</v>
      </c>
      <c r="AI764" t="str">
        <f t="shared" si="44"/>
        <v>3-5 Years</v>
      </c>
      <c r="AJ764" t="str">
        <f t="shared" si="45"/>
        <v>0-2</v>
      </c>
    </row>
    <row r="765" spans="1:36" x14ac:dyDescent="0.35">
      <c r="A765">
        <v>764</v>
      </c>
      <c r="B765">
        <v>34</v>
      </c>
      <c r="C765" t="str">
        <f t="shared" si="46"/>
        <v>26-35</v>
      </c>
      <c r="D765" t="s">
        <v>38</v>
      </c>
      <c r="E765" t="s">
        <v>32</v>
      </c>
      <c r="F765" s="3">
        <v>1389</v>
      </c>
      <c r="G765" t="s">
        <v>33</v>
      </c>
      <c r="H765" s="1">
        <v>10</v>
      </c>
      <c r="I765" t="s">
        <v>60</v>
      </c>
      <c r="J765" t="s">
        <v>34</v>
      </c>
      <c r="K765" t="s">
        <v>60</v>
      </c>
      <c r="L765" t="s">
        <v>35</v>
      </c>
      <c r="M765" s="3">
        <v>87</v>
      </c>
      <c r="N765" t="s">
        <v>60</v>
      </c>
      <c r="O765" t="s">
        <v>59</v>
      </c>
      <c r="P765" t="s">
        <v>52</v>
      </c>
      <c r="Q765" t="s">
        <v>60</v>
      </c>
      <c r="R765" t="s">
        <v>43</v>
      </c>
      <c r="S765" s="3">
        <v>2220</v>
      </c>
      <c r="T765" s="3">
        <v>18410</v>
      </c>
      <c r="U765" s="3" t="str">
        <f t="shared" si="47"/>
        <v>Low</v>
      </c>
      <c r="V765">
        <v>1</v>
      </c>
      <c r="W765" t="s">
        <v>31</v>
      </c>
      <c r="X765" s="2">
        <v>19</v>
      </c>
      <c r="Y765" t="s">
        <v>60</v>
      </c>
      <c r="Z765" t="s">
        <v>62</v>
      </c>
      <c r="AA765">
        <v>1</v>
      </c>
      <c r="AB765">
        <v>1</v>
      </c>
      <c r="AC765">
        <v>2</v>
      </c>
      <c r="AD765">
        <v>3</v>
      </c>
      <c r="AE765">
        <v>1</v>
      </c>
      <c r="AF765">
        <v>1</v>
      </c>
      <c r="AG765">
        <v>0</v>
      </c>
      <c r="AH765">
        <v>0</v>
      </c>
      <c r="AI765" t="str">
        <f t="shared" si="44"/>
        <v>0-2 Years</v>
      </c>
      <c r="AJ765" t="str">
        <f t="shared" si="45"/>
        <v>0-2</v>
      </c>
    </row>
    <row r="766" spans="1:36" x14ac:dyDescent="0.35">
      <c r="A766">
        <v>765</v>
      </c>
      <c r="B766">
        <v>28</v>
      </c>
      <c r="C766" t="str">
        <f t="shared" si="46"/>
        <v>26-35</v>
      </c>
      <c r="D766" t="s">
        <v>38</v>
      </c>
      <c r="E766" t="s">
        <v>32</v>
      </c>
      <c r="F766" s="3">
        <v>1389</v>
      </c>
      <c r="G766" t="s">
        <v>33</v>
      </c>
      <c r="H766" s="1">
        <v>10</v>
      </c>
      <c r="I766" t="s">
        <v>59</v>
      </c>
      <c r="J766" t="s">
        <v>46</v>
      </c>
      <c r="K766" t="s">
        <v>62</v>
      </c>
      <c r="L766" t="s">
        <v>41</v>
      </c>
      <c r="M766" s="3">
        <v>74</v>
      </c>
      <c r="N766" t="s">
        <v>60</v>
      </c>
      <c r="O766" t="s">
        <v>59</v>
      </c>
      <c r="P766" t="s">
        <v>52</v>
      </c>
      <c r="Q766" t="s">
        <v>61</v>
      </c>
      <c r="R766" t="s">
        <v>43</v>
      </c>
      <c r="S766" s="3">
        <v>1052</v>
      </c>
      <c r="T766" s="3">
        <v>23384</v>
      </c>
      <c r="U766" s="3" t="str">
        <f t="shared" si="47"/>
        <v>Low</v>
      </c>
      <c r="V766">
        <v>1</v>
      </c>
      <c r="W766" t="s">
        <v>38</v>
      </c>
      <c r="X766" s="2">
        <v>22</v>
      </c>
      <c r="Y766" t="s">
        <v>62</v>
      </c>
      <c r="Z766" t="s">
        <v>61</v>
      </c>
      <c r="AA766">
        <v>0</v>
      </c>
      <c r="AB766">
        <v>1</v>
      </c>
      <c r="AC766">
        <v>5</v>
      </c>
      <c r="AD766">
        <v>3</v>
      </c>
      <c r="AE766">
        <v>1</v>
      </c>
      <c r="AF766">
        <v>0</v>
      </c>
      <c r="AG766">
        <v>0</v>
      </c>
      <c r="AH766">
        <v>0</v>
      </c>
      <c r="AI766" t="str">
        <f t="shared" si="44"/>
        <v>0-2 Years</v>
      </c>
      <c r="AJ766" t="str">
        <f t="shared" si="45"/>
        <v>0-2</v>
      </c>
    </row>
    <row r="767" spans="1:36" x14ac:dyDescent="0.35">
      <c r="A767">
        <v>766</v>
      </c>
      <c r="B767">
        <v>38</v>
      </c>
      <c r="C767" t="str">
        <f t="shared" si="46"/>
        <v>36-45</v>
      </c>
      <c r="D767" t="s">
        <v>38</v>
      </c>
      <c r="E767" t="s">
        <v>39</v>
      </c>
      <c r="F767" s="3">
        <v>1389</v>
      </c>
      <c r="G767" t="s">
        <v>40</v>
      </c>
      <c r="H767" s="1">
        <v>3</v>
      </c>
      <c r="I767" t="s">
        <v>60</v>
      </c>
      <c r="J767" t="s">
        <v>44</v>
      </c>
      <c r="K767" t="s">
        <v>60</v>
      </c>
      <c r="L767" t="s">
        <v>41</v>
      </c>
      <c r="M767" s="3">
        <v>44</v>
      </c>
      <c r="N767" t="s">
        <v>60</v>
      </c>
      <c r="O767" t="s">
        <v>59</v>
      </c>
      <c r="P767" t="s">
        <v>42</v>
      </c>
      <c r="Q767" t="s">
        <v>60</v>
      </c>
      <c r="R767" t="s">
        <v>43</v>
      </c>
      <c r="S767" s="3">
        <v>2821</v>
      </c>
      <c r="T767" s="3">
        <v>2997</v>
      </c>
      <c r="U767" s="3" t="str">
        <f t="shared" si="47"/>
        <v>Low</v>
      </c>
      <c r="V767">
        <v>3</v>
      </c>
      <c r="W767" t="s">
        <v>38</v>
      </c>
      <c r="X767" s="2">
        <v>16</v>
      </c>
      <c r="Y767" t="s">
        <v>60</v>
      </c>
      <c r="Z767" t="s">
        <v>59</v>
      </c>
      <c r="AA767">
        <v>1</v>
      </c>
      <c r="AB767">
        <v>8</v>
      </c>
      <c r="AC767">
        <v>2</v>
      </c>
      <c r="AD767">
        <v>3</v>
      </c>
      <c r="AE767">
        <v>2</v>
      </c>
      <c r="AF767">
        <v>2</v>
      </c>
      <c r="AG767">
        <v>2</v>
      </c>
      <c r="AH767">
        <v>2</v>
      </c>
      <c r="AI767" t="str">
        <f t="shared" si="44"/>
        <v>0-2 Years</v>
      </c>
      <c r="AJ767" t="str">
        <f t="shared" si="45"/>
        <v>0-2</v>
      </c>
    </row>
    <row r="768" spans="1:36" x14ac:dyDescent="0.35">
      <c r="A768">
        <v>767</v>
      </c>
      <c r="B768">
        <v>50</v>
      </c>
      <c r="C768" t="str">
        <f t="shared" si="46"/>
        <v>46-55</v>
      </c>
      <c r="D768" t="s">
        <v>38</v>
      </c>
      <c r="E768" t="s">
        <v>32</v>
      </c>
      <c r="F768" s="3">
        <v>1389</v>
      </c>
      <c r="G768" t="s">
        <v>40</v>
      </c>
      <c r="H768" s="1">
        <v>2</v>
      </c>
      <c r="I768" t="s">
        <v>60</v>
      </c>
      <c r="J768" t="s">
        <v>46</v>
      </c>
      <c r="K768" t="s">
        <v>61</v>
      </c>
      <c r="L768" t="s">
        <v>41</v>
      </c>
      <c r="M768" s="3">
        <v>62</v>
      </c>
      <c r="N768" t="s">
        <v>60</v>
      </c>
      <c r="O768" t="e">
        <v>#N/A</v>
      </c>
      <c r="P768" t="s">
        <v>53</v>
      </c>
      <c r="Q768" t="s">
        <v>60</v>
      </c>
      <c r="R768" t="s">
        <v>43</v>
      </c>
      <c r="S768" s="3">
        <v>19237</v>
      </c>
      <c r="T768" s="3">
        <v>12853</v>
      </c>
      <c r="U768" s="3" t="str">
        <f t="shared" si="47"/>
        <v>High</v>
      </c>
      <c r="V768">
        <v>2</v>
      </c>
      <c r="W768" t="s">
        <v>31</v>
      </c>
      <c r="X768" s="2">
        <v>11</v>
      </c>
      <c r="Y768" t="s">
        <v>60</v>
      </c>
      <c r="Z768" t="s">
        <v>62</v>
      </c>
      <c r="AA768">
        <v>1</v>
      </c>
      <c r="AB768">
        <v>29</v>
      </c>
      <c r="AC768">
        <v>2</v>
      </c>
      <c r="AD768">
        <v>2</v>
      </c>
      <c r="AE768">
        <v>8</v>
      </c>
      <c r="AF768">
        <v>1</v>
      </c>
      <c r="AG768">
        <v>7</v>
      </c>
      <c r="AH768">
        <v>7</v>
      </c>
      <c r="AI768" t="str">
        <f t="shared" si="44"/>
        <v>6-10 Years</v>
      </c>
      <c r="AJ768" t="str">
        <f t="shared" si="45"/>
        <v>6+</v>
      </c>
    </row>
    <row r="769" spans="1:36" x14ac:dyDescent="0.35">
      <c r="A769">
        <v>768</v>
      </c>
      <c r="B769">
        <v>37</v>
      </c>
      <c r="C769" t="str">
        <f t="shared" si="46"/>
        <v>36-45</v>
      </c>
      <c r="D769" t="s">
        <v>38</v>
      </c>
      <c r="E769" t="s">
        <v>32</v>
      </c>
      <c r="F769" s="3">
        <v>1389</v>
      </c>
      <c r="G769" t="s">
        <v>40</v>
      </c>
      <c r="H769" s="1">
        <v>3</v>
      </c>
      <c r="I769" t="s">
        <v>61</v>
      </c>
      <c r="J769" t="s">
        <v>44</v>
      </c>
      <c r="K769" t="s">
        <v>62</v>
      </c>
      <c r="L769" t="s">
        <v>35</v>
      </c>
      <c r="M769" s="3">
        <v>35</v>
      </c>
      <c r="N769" t="s">
        <v>60</v>
      </c>
      <c r="O769" t="s">
        <v>61</v>
      </c>
      <c r="P769" t="s">
        <v>49</v>
      </c>
      <c r="Q769" t="s">
        <v>61</v>
      </c>
      <c r="R769" t="s">
        <v>37</v>
      </c>
      <c r="S769" s="3">
        <v>4107</v>
      </c>
      <c r="T769" s="3">
        <v>13848</v>
      </c>
      <c r="U769" s="3" t="str">
        <f t="shared" si="47"/>
        <v>Low</v>
      </c>
      <c r="V769">
        <v>3</v>
      </c>
      <c r="W769" t="s">
        <v>38</v>
      </c>
      <c r="X769" s="2">
        <v>15</v>
      </c>
      <c r="Y769" t="s">
        <v>60</v>
      </c>
      <c r="Z769" t="s">
        <v>59</v>
      </c>
      <c r="AA769">
        <v>0</v>
      </c>
      <c r="AB769">
        <v>8</v>
      </c>
      <c r="AC769">
        <v>3</v>
      </c>
      <c r="AD769">
        <v>2</v>
      </c>
      <c r="AE769">
        <v>4</v>
      </c>
      <c r="AF769">
        <v>3</v>
      </c>
      <c r="AG769">
        <v>0</v>
      </c>
      <c r="AH769">
        <v>1</v>
      </c>
      <c r="AI769" t="str">
        <f t="shared" si="44"/>
        <v>3-5 Years</v>
      </c>
      <c r="AJ769" t="str">
        <f t="shared" si="45"/>
        <v>0-2</v>
      </c>
    </row>
    <row r="770" spans="1:36" x14ac:dyDescent="0.35">
      <c r="A770">
        <v>769</v>
      </c>
      <c r="B770">
        <v>40</v>
      </c>
      <c r="C770" t="str">
        <f t="shared" si="46"/>
        <v>36-45</v>
      </c>
      <c r="D770" t="s">
        <v>38</v>
      </c>
      <c r="E770" t="s">
        <v>32</v>
      </c>
      <c r="F770" s="3">
        <v>1389</v>
      </c>
      <c r="G770" t="s">
        <v>33</v>
      </c>
      <c r="H770" s="1">
        <v>26</v>
      </c>
      <c r="I770" t="s">
        <v>61</v>
      </c>
      <c r="J770" t="s">
        <v>54</v>
      </c>
      <c r="K770" t="s">
        <v>60</v>
      </c>
      <c r="L770" t="s">
        <v>41</v>
      </c>
      <c r="M770" s="3">
        <v>74</v>
      </c>
      <c r="N770" t="s">
        <v>60</v>
      </c>
      <c r="O770" t="s">
        <v>61</v>
      </c>
      <c r="P770" t="s">
        <v>36</v>
      </c>
      <c r="Q770" t="s">
        <v>59</v>
      </c>
      <c r="R770" t="s">
        <v>43</v>
      </c>
      <c r="S770" s="3">
        <v>8396</v>
      </c>
      <c r="T770" s="3">
        <v>22217</v>
      </c>
      <c r="U770" s="3" t="str">
        <f t="shared" si="47"/>
        <v>Medium</v>
      </c>
      <c r="V770">
        <v>1</v>
      </c>
      <c r="W770" t="s">
        <v>38</v>
      </c>
      <c r="X770" s="2">
        <v>14</v>
      </c>
      <c r="Y770" t="s">
        <v>60</v>
      </c>
      <c r="Z770" t="s">
        <v>61</v>
      </c>
      <c r="AA770">
        <v>1</v>
      </c>
      <c r="AB770">
        <v>8</v>
      </c>
      <c r="AC770">
        <v>3</v>
      </c>
      <c r="AD770">
        <v>2</v>
      </c>
      <c r="AE770">
        <v>7</v>
      </c>
      <c r="AF770">
        <v>7</v>
      </c>
      <c r="AG770">
        <v>7</v>
      </c>
      <c r="AH770">
        <v>5</v>
      </c>
      <c r="AI770" t="str">
        <f t="shared" ref="AI770:AI833" si="48">IF(AE770&lt;=2,"0-2 Years",
IF(AE770&lt;=5,"3-5 Years",
IF(AE770&lt;=10,"6-10 Years","10+ Years")))</f>
        <v>6-10 Years</v>
      </c>
      <c r="AJ770" t="str">
        <f t="shared" ref="AJ770:AJ833" si="49">IF(AG770&lt;=2,"0-2",
IF(AG770&lt;=5,"3-5","6+"))</f>
        <v>6+</v>
      </c>
    </row>
    <row r="771" spans="1:36" x14ac:dyDescent="0.35">
      <c r="A771">
        <v>770</v>
      </c>
      <c r="B771">
        <v>26</v>
      </c>
      <c r="C771" t="str">
        <f t="shared" ref="C771:C834" si="50">IF(B771&lt;=25,"18-25",
IF(B771&lt;=35,"26-35",
IF(B771&lt;=45,"36-45",
IF(B771&lt;=55,"46-55","55+"))))</f>
        <v>26-35</v>
      </c>
      <c r="D771" t="s">
        <v>38</v>
      </c>
      <c r="E771" t="s">
        <v>39</v>
      </c>
      <c r="F771" s="3">
        <v>1389</v>
      </c>
      <c r="G771" t="s">
        <v>40</v>
      </c>
      <c r="H771" s="1">
        <v>1</v>
      </c>
      <c r="I771" t="s">
        <v>59</v>
      </c>
      <c r="J771" t="s">
        <v>46</v>
      </c>
      <c r="K771" t="s">
        <v>59</v>
      </c>
      <c r="L771" t="s">
        <v>35</v>
      </c>
      <c r="M771" s="3">
        <v>66</v>
      </c>
      <c r="N771" t="s">
        <v>61</v>
      </c>
      <c r="O771" t="s">
        <v>59</v>
      </c>
      <c r="P771" t="s">
        <v>42</v>
      </c>
      <c r="Q771" t="s">
        <v>60</v>
      </c>
      <c r="R771" t="s">
        <v>47</v>
      </c>
      <c r="S771" s="3">
        <v>2007</v>
      </c>
      <c r="T771" s="3">
        <v>25265</v>
      </c>
      <c r="U771" s="3" t="str">
        <f t="shared" ref="U771:U834" si="51">_xlfn.IFS(S771&lt;5000,"Low",S771&lt;10000,"Medium",S771&gt;10000,"High")</f>
        <v>Low</v>
      </c>
      <c r="V771">
        <v>1</v>
      </c>
      <c r="W771" t="s">
        <v>38</v>
      </c>
      <c r="X771" s="2">
        <v>13</v>
      </c>
      <c r="Y771" t="s">
        <v>60</v>
      </c>
      <c r="Z771" t="s">
        <v>60</v>
      </c>
      <c r="AA771">
        <v>2</v>
      </c>
      <c r="AB771">
        <v>5</v>
      </c>
      <c r="AC771">
        <v>5</v>
      </c>
      <c r="AD771">
        <v>3</v>
      </c>
      <c r="AE771">
        <v>5</v>
      </c>
      <c r="AF771">
        <v>3</v>
      </c>
      <c r="AG771">
        <v>1</v>
      </c>
      <c r="AH771">
        <v>3</v>
      </c>
      <c r="AI771" t="str">
        <f t="shared" si="48"/>
        <v>3-5 Years</v>
      </c>
      <c r="AJ771" t="str">
        <f t="shared" si="49"/>
        <v>0-2</v>
      </c>
    </row>
    <row r="772" spans="1:36" x14ac:dyDescent="0.35">
      <c r="A772">
        <v>771</v>
      </c>
      <c r="B772">
        <v>46</v>
      </c>
      <c r="C772" t="str">
        <f t="shared" si="50"/>
        <v>46-55</v>
      </c>
      <c r="D772" t="s">
        <v>38</v>
      </c>
      <c r="E772" t="s">
        <v>32</v>
      </c>
      <c r="F772" s="3">
        <v>1389</v>
      </c>
      <c r="G772" t="s">
        <v>40</v>
      </c>
      <c r="H772" s="1">
        <v>1</v>
      </c>
      <c r="I772" t="s">
        <v>60</v>
      </c>
      <c r="J772" t="s">
        <v>46</v>
      </c>
      <c r="K772" t="s">
        <v>62</v>
      </c>
      <c r="L772" t="s">
        <v>41</v>
      </c>
      <c r="M772" s="3">
        <v>40</v>
      </c>
      <c r="N772" t="s">
        <v>60</v>
      </c>
      <c r="O772" t="e">
        <v>#N/A</v>
      </c>
      <c r="P772" t="s">
        <v>53</v>
      </c>
      <c r="Q772" t="s">
        <v>62</v>
      </c>
      <c r="R772" t="s">
        <v>47</v>
      </c>
      <c r="S772" s="3">
        <v>19627</v>
      </c>
      <c r="T772" s="3">
        <v>21445</v>
      </c>
      <c r="U772" s="3" t="str">
        <f t="shared" si="51"/>
        <v>High</v>
      </c>
      <c r="V772">
        <v>9</v>
      </c>
      <c r="W772" t="s">
        <v>38</v>
      </c>
      <c r="X772" s="2">
        <v>17</v>
      </c>
      <c r="Y772" t="s">
        <v>60</v>
      </c>
      <c r="Z772" t="s">
        <v>62</v>
      </c>
      <c r="AA772">
        <v>2</v>
      </c>
      <c r="AB772">
        <v>23</v>
      </c>
      <c r="AC772">
        <v>0</v>
      </c>
      <c r="AD772">
        <v>3</v>
      </c>
      <c r="AE772">
        <v>2</v>
      </c>
      <c r="AF772">
        <v>2</v>
      </c>
      <c r="AG772">
        <v>2</v>
      </c>
      <c r="AH772">
        <v>2</v>
      </c>
      <c r="AI772" t="str">
        <f t="shared" si="48"/>
        <v>0-2 Years</v>
      </c>
      <c r="AJ772" t="str">
        <f t="shared" si="49"/>
        <v>0-2</v>
      </c>
    </row>
    <row r="773" spans="1:36" x14ac:dyDescent="0.35">
      <c r="A773">
        <v>772</v>
      </c>
      <c r="B773">
        <v>54</v>
      </c>
      <c r="C773" t="str">
        <f t="shared" si="50"/>
        <v>46-55</v>
      </c>
      <c r="D773" t="s">
        <v>38</v>
      </c>
      <c r="E773" t="s">
        <v>32</v>
      </c>
      <c r="F773" s="3">
        <v>1389</v>
      </c>
      <c r="G773" t="s">
        <v>33</v>
      </c>
      <c r="H773" s="1">
        <v>2</v>
      </c>
      <c r="I773" t="s">
        <v>60</v>
      </c>
      <c r="J773" t="s">
        <v>34</v>
      </c>
      <c r="K773" t="s">
        <v>60</v>
      </c>
      <c r="L773" t="s">
        <v>35</v>
      </c>
      <c r="M773" s="3">
        <v>41</v>
      </c>
      <c r="N773" t="s">
        <v>61</v>
      </c>
      <c r="O773" t="s">
        <v>60</v>
      </c>
      <c r="P773" t="s">
        <v>36</v>
      </c>
      <c r="Q773" t="s">
        <v>60</v>
      </c>
      <c r="R773" t="s">
        <v>43</v>
      </c>
      <c r="S773" s="3">
        <v>10686</v>
      </c>
      <c r="T773" s="3">
        <v>8392</v>
      </c>
      <c r="U773" s="3" t="str">
        <f t="shared" si="51"/>
        <v>High</v>
      </c>
      <c r="V773">
        <v>6</v>
      </c>
      <c r="W773" t="s">
        <v>38</v>
      </c>
      <c r="X773" s="2">
        <v>11</v>
      </c>
      <c r="Y773" t="s">
        <v>60</v>
      </c>
      <c r="Z773" t="s">
        <v>61</v>
      </c>
      <c r="AA773">
        <v>1</v>
      </c>
      <c r="AB773">
        <v>13</v>
      </c>
      <c r="AC773">
        <v>4</v>
      </c>
      <c r="AD773">
        <v>3</v>
      </c>
      <c r="AE773">
        <v>9</v>
      </c>
      <c r="AF773">
        <v>4</v>
      </c>
      <c r="AG773">
        <v>7</v>
      </c>
      <c r="AH773">
        <v>0</v>
      </c>
      <c r="AI773" t="str">
        <f t="shared" si="48"/>
        <v>6-10 Years</v>
      </c>
      <c r="AJ773" t="str">
        <f t="shared" si="49"/>
        <v>6+</v>
      </c>
    </row>
    <row r="774" spans="1:36" x14ac:dyDescent="0.35">
      <c r="A774">
        <v>773</v>
      </c>
      <c r="B774">
        <v>56</v>
      </c>
      <c r="C774" t="str">
        <f t="shared" si="50"/>
        <v>55+</v>
      </c>
      <c r="D774" t="s">
        <v>38</v>
      </c>
      <c r="E774" t="s">
        <v>39</v>
      </c>
      <c r="F774" s="3">
        <v>1389</v>
      </c>
      <c r="G774" t="s">
        <v>40</v>
      </c>
      <c r="H774" s="1">
        <v>9</v>
      </c>
      <c r="I774" t="s">
        <v>61</v>
      </c>
      <c r="J774" t="s">
        <v>46</v>
      </c>
      <c r="K774" t="s">
        <v>59</v>
      </c>
      <c r="L774" t="s">
        <v>35</v>
      </c>
      <c r="M774" s="3">
        <v>63</v>
      </c>
      <c r="N774" t="s">
        <v>60</v>
      </c>
      <c r="O774" t="s">
        <v>59</v>
      </c>
      <c r="P774" t="s">
        <v>42</v>
      </c>
      <c r="Q774" t="s">
        <v>60</v>
      </c>
      <c r="R774" t="s">
        <v>43</v>
      </c>
      <c r="S774" s="3">
        <v>2942</v>
      </c>
      <c r="T774" s="3">
        <v>12154</v>
      </c>
      <c r="U774" s="3" t="str">
        <f t="shared" si="51"/>
        <v>Low</v>
      </c>
      <c r="V774">
        <v>2</v>
      </c>
      <c r="W774" t="s">
        <v>38</v>
      </c>
      <c r="X774" s="2">
        <v>19</v>
      </c>
      <c r="Y774" t="s">
        <v>60</v>
      </c>
      <c r="Z774" t="s">
        <v>61</v>
      </c>
      <c r="AA774">
        <v>1</v>
      </c>
      <c r="AB774">
        <v>18</v>
      </c>
      <c r="AC774">
        <v>4</v>
      </c>
      <c r="AD774">
        <v>3</v>
      </c>
      <c r="AE774">
        <v>5</v>
      </c>
      <c r="AF774">
        <v>4</v>
      </c>
      <c r="AG774">
        <v>0</v>
      </c>
      <c r="AH774">
        <v>3</v>
      </c>
      <c r="AI774" t="str">
        <f t="shared" si="48"/>
        <v>3-5 Years</v>
      </c>
      <c r="AJ774" t="str">
        <f t="shared" si="49"/>
        <v>0-2</v>
      </c>
    </row>
    <row r="775" spans="1:36" x14ac:dyDescent="0.35">
      <c r="A775">
        <v>774</v>
      </c>
      <c r="B775">
        <v>36</v>
      </c>
      <c r="C775" t="str">
        <f t="shared" si="50"/>
        <v>36-45</v>
      </c>
      <c r="D775" t="s">
        <v>38</v>
      </c>
      <c r="E775" t="s">
        <v>32</v>
      </c>
      <c r="F775" s="3">
        <v>1389</v>
      </c>
      <c r="G775" t="s">
        <v>40</v>
      </c>
      <c r="H775" s="1">
        <v>12</v>
      </c>
      <c r="I775" t="s">
        <v>62</v>
      </c>
      <c r="J775" t="s">
        <v>46</v>
      </c>
      <c r="K775" t="s">
        <v>62</v>
      </c>
      <c r="L775" t="s">
        <v>35</v>
      </c>
      <c r="M775" s="3">
        <v>51</v>
      </c>
      <c r="N775" t="s">
        <v>61</v>
      </c>
      <c r="O775" t="s">
        <v>60</v>
      </c>
      <c r="P775" t="s">
        <v>48</v>
      </c>
      <c r="Q775" t="s">
        <v>62</v>
      </c>
      <c r="R775" t="s">
        <v>37</v>
      </c>
      <c r="S775" s="3">
        <v>8858</v>
      </c>
      <c r="T775" s="3">
        <v>15669</v>
      </c>
      <c r="U775" s="3" t="str">
        <f t="shared" si="51"/>
        <v>Medium</v>
      </c>
      <c r="V775">
        <v>0</v>
      </c>
      <c r="W775" t="s">
        <v>38</v>
      </c>
      <c r="X775" s="2">
        <v>11</v>
      </c>
      <c r="Y775" t="s">
        <v>60</v>
      </c>
      <c r="Z775" t="s">
        <v>61</v>
      </c>
      <c r="AA775">
        <v>0</v>
      </c>
      <c r="AB775">
        <v>15</v>
      </c>
      <c r="AC775">
        <v>2</v>
      </c>
      <c r="AD775">
        <v>2</v>
      </c>
      <c r="AE775">
        <v>14</v>
      </c>
      <c r="AF775">
        <v>8</v>
      </c>
      <c r="AG775">
        <v>7</v>
      </c>
      <c r="AH775">
        <v>8</v>
      </c>
      <c r="AI775" t="str">
        <f t="shared" si="48"/>
        <v>10+ Years</v>
      </c>
      <c r="AJ775" t="str">
        <f t="shared" si="49"/>
        <v>6+</v>
      </c>
    </row>
    <row r="776" spans="1:36" x14ac:dyDescent="0.35">
      <c r="A776">
        <v>775</v>
      </c>
      <c r="B776">
        <v>55</v>
      </c>
      <c r="C776" t="str">
        <f t="shared" si="50"/>
        <v>46-55</v>
      </c>
      <c r="D776" t="s">
        <v>38</v>
      </c>
      <c r="E776" t="s">
        <v>50</v>
      </c>
      <c r="F776" s="3">
        <v>1389</v>
      </c>
      <c r="G776" t="s">
        <v>40</v>
      </c>
      <c r="H776" s="1">
        <v>2</v>
      </c>
      <c r="I776" t="s">
        <v>59</v>
      </c>
      <c r="J776" t="s">
        <v>46</v>
      </c>
      <c r="K776" t="s">
        <v>60</v>
      </c>
      <c r="L776" t="s">
        <v>41</v>
      </c>
      <c r="M776" s="3">
        <v>40</v>
      </c>
      <c r="N776" t="s">
        <v>61</v>
      </c>
      <c r="O776" t="s">
        <v>62</v>
      </c>
      <c r="P776" t="s">
        <v>51</v>
      </c>
      <c r="Q776" t="s">
        <v>59</v>
      </c>
      <c r="R776" t="s">
        <v>37</v>
      </c>
      <c r="S776" s="3">
        <v>16756</v>
      </c>
      <c r="T776" s="3">
        <v>17323</v>
      </c>
      <c r="U776" s="3" t="str">
        <f t="shared" si="51"/>
        <v>High</v>
      </c>
      <c r="V776">
        <v>7</v>
      </c>
      <c r="W776" t="s">
        <v>38</v>
      </c>
      <c r="X776" s="2">
        <v>15</v>
      </c>
      <c r="Y776" t="s">
        <v>60</v>
      </c>
      <c r="Z776" t="s">
        <v>61</v>
      </c>
      <c r="AA776">
        <v>0</v>
      </c>
      <c r="AB776">
        <v>31</v>
      </c>
      <c r="AC776">
        <v>3</v>
      </c>
      <c r="AD776">
        <v>4</v>
      </c>
      <c r="AE776">
        <v>9</v>
      </c>
      <c r="AF776">
        <v>7</v>
      </c>
      <c r="AG776">
        <v>6</v>
      </c>
      <c r="AH776">
        <v>2</v>
      </c>
      <c r="AI776" t="str">
        <f t="shared" si="48"/>
        <v>6-10 Years</v>
      </c>
      <c r="AJ776" t="str">
        <f t="shared" si="49"/>
        <v>6+</v>
      </c>
    </row>
    <row r="777" spans="1:36" x14ac:dyDescent="0.35">
      <c r="A777">
        <v>776</v>
      </c>
      <c r="B777">
        <v>43</v>
      </c>
      <c r="C777" t="str">
        <f t="shared" si="50"/>
        <v>36-45</v>
      </c>
      <c r="D777" t="s">
        <v>38</v>
      </c>
      <c r="E777" t="s">
        <v>32</v>
      </c>
      <c r="F777" s="3">
        <v>1389</v>
      </c>
      <c r="G777" t="s">
        <v>33</v>
      </c>
      <c r="H777" s="1">
        <v>25</v>
      </c>
      <c r="I777" t="s">
        <v>61</v>
      </c>
      <c r="J777" t="s">
        <v>46</v>
      </c>
      <c r="K777" t="s">
        <v>60</v>
      </c>
      <c r="L777" t="s">
        <v>41</v>
      </c>
      <c r="M777" s="3">
        <v>79</v>
      </c>
      <c r="N777" t="s">
        <v>61</v>
      </c>
      <c r="O777" t="s">
        <v>60</v>
      </c>
      <c r="P777" t="s">
        <v>36</v>
      </c>
      <c r="Q777" t="s">
        <v>62</v>
      </c>
      <c r="R777" t="s">
        <v>47</v>
      </c>
      <c r="S777" s="3">
        <v>10798</v>
      </c>
      <c r="T777" s="3">
        <v>5268</v>
      </c>
      <c r="U777" s="3" t="str">
        <f t="shared" si="51"/>
        <v>High</v>
      </c>
      <c r="V777">
        <v>5</v>
      </c>
      <c r="W777" t="s">
        <v>38</v>
      </c>
      <c r="X777" s="2">
        <v>13</v>
      </c>
      <c r="Y777" t="s">
        <v>60</v>
      </c>
      <c r="Z777" t="s">
        <v>60</v>
      </c>
      <c r="AA777">
        <v>1</v>
      </c>
      <c r="AB777">
        <v>18</v>
      </c>
      <c r="AC777">
        <v>5</v>
      </c>
      <c r="AD777">
        <v>3</v>
      </c>
      <c r="AE777">
        <v>1</v>
      </c>
      <c r="AF777">
        <v>0</v>
      </c>
      <c r="AG777">
        <v>0</v>
      </c>
      <c r="AH777">
        <v>0</v>
      </c>
      <c r="AI777" t="str">
        <f t="shared" si="48"/>
        <v>0-2 Years</v>
      </c>
      <c r="AJ777" t="str">
        <f t="shared" si="49"/>
        <v>0-2</v>
      </c>
    </row>
    <row r="778" spans="1:36" x14ac:dyDescent="0.35">
      <c r="A778">
        <v>777</v>
      </c>
      <c r="B778">
        <v>20</v>
      </c>
      <c r="C778" t="str">
        <f t="shared" si="50"/>
        <v>18-25</v>
      </c>
      <c r="D778" t="s">
        <v>31</v>
      </c>
      <c r="E778" t="s">
        <v>39</v>
      </c>
      <c r="F778" s="3">
        <v>1389</v>
      </c>
      <c r="G778" t="s">
        <v>33</v>
      </c>
      <c r="H778" s="1">
        <v>9</v>
      </c>
      <c r="I778" t="s">
        <v>61</v>
      </c>
      <c r="J778" t="s">
        <v>54</v>
      </c>
      <c r="K778" t="s">
        <v>62</v>
      </c>
      <c r="L778" t="s">
        <v>35</v>
      </c>
      <c r="M778" s="3">
        <v>54</v>
      </c>
      <c r="N778" t="s">
        <v>60</v>
      </c>
      <c r="O778" t="s">
        <v>59</v>
      </c>
      <c r="P778" t="s">
        <v>52</v>
      </c>
      <c r="Q778" t="s">
        <v>62</v>
      </c>
      <c r="R778" t="s">
        <v>37</v>
      </c>
      <c r="S778" s="3">
        <v>2323</v>
      </c>
      <c r="T778" s="3">
        <v>17205</v>
      </c>
      <c r="U778" s="3" t="str">
        <f t="shared" si="51"/>
        <v>Low</v>
      </c>
      <c r="V778">
        <v>1</v>
      </c>
      <c r="W778" t="s">
        <v>31</v>
      </c>
      <c r="X778" s="2">
        <v>14</v>
      </c>
      <c r="Y778" t="s">
        <v>60</v>
      </c>
      <c r="Z778" t="s">
        <v>61</v>
      </c>
      <c r="AA778">
        <v>0</v>
      </c>
      <c r="AB778">
        <v>2</v>
      </c>
      <c r="AC778">
        <v>3</v>
      </c>
      <c r="AD778">
        <v>3</v>
      </c>
      <c r="AE778">
        <v>2</v>
      </c>
      <c r="AF778">
        <v>2</v>
      </c>
      <c r="AG778">
        <v>0</v>
      </c>
      <c r="AH778">
        <v>2</v>
      </c>
      <c r="AI778" t="str">
        <f t="shared" si="48"/>
        <v>0-2 Years</v>
      </c>
      <c r="AJ778" t="str">
        <f t="shared" si="49"/>
        <v>0-2</v>
      </c>
    </row>
    <row r="779" spans="1:36" x14ac:dyDescent="0.35">
      <c r="A779">
        <v>778</v>
      </c>
      <c r="B779">
        <v>21</v>
      </c>
      <c r="C779" t="str">
        <f t="shared" si="50"/>
        <v>18-25</v>
      </c>
      <c r="D779" t="s">
        <v>31</v>
      </c>
      <c r="E779" t="s">
        <v>32</v>
      </c>
      <c r="F779" s="3">
        <v>1389</v>
      </c>
      <c r="G779" t="s">
        <v>40</v>
      </c>
      <c r="H779" s="1">
        <v>10</v>
      </c>
      <c r="I779" t="s">
        <v>61</v>
      </c>
      <c r="J779" t="s">
        <v>34</v>
      </c>
      <c r="K779" t="s">
        <v>60</v>
      </c>
      <c r="L779" t="s">
        <v>35</v>
      </c>
      <c r="M779" s="3">
        <v>36</v>
      </c>
      <c r="N779" t="s">
        <v>61</v>
      </c>
      <c r="O779" t="s">
        <v>59</v>
      </c>
      <c r="P779" t="s">
        <v>45</v>
      </c>
      <c r="Q779" t="s">
        <v>59</v>
      </c>
      <c r="R779" t="s">
        <v>37</v>
      </c>
      <c r="S779" s="3">
        <v>1416</v>
      </c>
      <c r="T779" s="3">
        <v>17258</v>
      </c>
      <c r="U779" s="3" t="str">
        <f t="shared" si="51"/>
        <v>Low</v>
      </c>
      <c r="V779">
        <v>1</v>
      </c>
      <c r="W779" t="s">
        <v>38</v>
      </c>
      <c r="X779" s="2">
        <v>13</v>
      </c>
      <c r="Y779" t="s">
        <v>60</v>
      </c>
      <c r="Z779" t="s">
        <v>59</v>
      </c>
      <c r="AA779">
        <v>0</v>
      </c>
      <c r="AB779">
        <v>1</v>
      </c>
      <c r="AC779">
        <v>6</v>
      </c>
      <c r="AD779">
        <v>2</v>
      </c>
      <c r="AE779">
        <v>1</v>
      </c>
      <c r="AF779">
        <v>0</v>
      </c>
      <c r="AG779">
        <v>1</v>
      </c>
      <c r="AH779">
        <v>0</v>
      </c>
      <c r="AI779" t="str">
        <f t="shared" si="48"/>
        <v>0-2 Years</v>
      </c>
      <c r="AJ779" t="str">
        <f t="shared" si="49"/>
        <v>0-2</v>
      </c>
    </row>
    <row r="780" spans="1:36" x14ac:dyDescent="0.35">
      <c r="A780">
        <v>779</v>
      </c>
      <c r="B780">
        <v>46</v>
      </c>
      <c r="C780" t="str">
        <f t="shared" si="50"/>
        <v>46-55</v>
      </c>
      <c r="D780" t="s">
        <v>38</v>
      </c>
      <c r="E780" t="s">
        <v>32</v>
      </c>
      <c r="F780" s="3">
        <v>1389</v>
      </c>
      <c r="G780" t="s">
        <v>40</v>
      </c>
      <c r="H780" s="1">
        <v>8</v>
      </c>
      <c r="I780" t="s">
        <v>60</v>
      </c>
      <c r="J780" t="s">
        <v>34</v>
      </c>
      <c r="K780" t="s">
        <v>62</v>
      </c>
      <c r="L780" t="s">
        <v>35</v>
      </c>
      <c r="M780" s="3">
        <v>74</v>
      </c>
      <c r="N780" t="s">
        <v>61</v>
      </c>
      <c r="O780" t="s">
        <v>61</v>
      </c>
      <c r="P780" t="s">
        <v>42</v>
      </c>
      <c r="Q780" t="s">
        <v>59</v>
      </c>
      <c r="R780" t="s">
        <v>47</v>
      </c>
      <c r="S780" s="3">
        <v>4615</v>
      </c>
      <c r="T780" s="3">
        <v>21029</v>
      </c>
      <c r="U780" s="3" t="str">
        <f t="shared" si="51"/>
        <v>Low</v>
      </c>
      <c r="V780">
        <v>8</v>
      </c>
      <c r="W780" t="s">
        <v>31</v>
      </c>
      <c r="X780" s="2">
        <v>23</v>
      </c>
      <c r="Y780" t="s">
        <v>62</v>
      </c>
      <c r="Z780" t="s">
        <v>59</v>
      </c>
      <c r="AA780">
        <v>3</v>
      </c>
      <c r="AB780">
        <v>19</v>
      </c>
      <c r="AC780">
        <v>2</v>
      </c>
      <c r="AD780">
        <v>3</v>
      </c>
      <c r="AE780">
        <v>16</v>
      </c>
      <c r="AF780">
        <v>13</v>
      </c>
      <c r="AG780">
        <v>1</v>
      </c>
      <c r="AH780">
        <v>7</v>
      </c>
      <c r="AI780" t="str">
        <f t="shared" si="48"/>
        <v>10+ Years</v>
      </c>
      <c r="AJ780" t="str">
        <f t="shared" si="49"/>
        <v>0-2</v>
      </c>
    </row>
    <row r="781" spans="1:36" x14ac:dyDescent="0.35">
      <c r="A781">
        <v>780</v>
      </c>
      <c r="B781">
        <v>51</v>
      </c>
      <c r="C781" t="str">
        <f t="shared" si="50"/>
        <v>46-55</v>
      </c>
      <c r="D781" t="s">
        <v>31</v>
      </c>
      <c r="E781" t="s">
        <v>32</v>
      </c>
      <c r="F781" s="3">
        <v>1389</v>
      </c>
      <c r="G781" t="s">
        <v>40</v>
      </c>
      <c r="H781" s="1">
        <v>4</v>
      </c>
      <c r="I781" t="s">
        <v>60</v>
      </c>
      <c r="J781" t="s">
        <v>34</v>
      </c>
      <c r="K781" t="s">
        <v>59</v>
      </c>
      <c r="L781" t="s">
        <v>41</v>
      </c>
      <c r="M781" s="3">
        <v>34</v>
      </c>
      <c r="N781" t="s">
        <v>60</v>
      </c>
      <c r="O781" t="s">
        <v>59</v>
      </c>
      <c r="P781" t="s">
        <v>42</v>
      </c>
      <c r="Q781" t="s">
        <v>60</v>
      </c>
      <c r="R781" t="s">
        <v>43</v>
      </c>
      <c r="S781" s="3">
        <v>2461</v>
      </c>
      <c r="T781" s="3">
        <v>10332</v>
      </c>
      <c r="U781" s="3" t="str">
        <f t="shared" si="51"/>
        <v>Low</v>
      </c>
      <c r="V781">
        <v>9</v>
      </c>
      <c r="W781" t="s">
        <v>31</v>
      </c>
      <c r="X781" s="2">
        <v>12</v>
      </c>
      <c r="Y781" t="s">
        <v>60</v>
      </c>
      <c r="Z781" t="s">
        <v>60</v>
      </c>
      <c r="AA781">
        <v>3</v>
      </c>
      <c r="AB781">
        <v>18</v>
      </c>
      <c r="AC781">
        <v>2</v>
      </c>
      <c r="AD781">
        <v>4</v>
      </c>
      <c r="AE781">
        <v>10</v>
      </c>
      <c r="AF781">
        <v>0</v>
      </c>
      <c r="AG781">
        <v>2</v>
      </c>
      <c r="AH781">
        <v>7</v>
      </c>
      <c r="AI781" t="str">
        <f t="shared" si="48"/>
        <v>6-10 Years</v>
      </c>
      <c r="AJ781" t="str">
        <f t="shared" si="49"/>
        <v>0-2</v>
      </c>
    </row>
    <row r="782" spans="1:36" x14ac:dyDescent="0.35">
      <c r="A782">
        <v>781</v>
      </c>
      <c r="B782">
        <v>28</v>
      </c>
      <c r="C782" t="str">
        <f t="shared" si="50"/>
        <v>26-35</v>
      </c>
      <c r="D782" t="s">
        <v>31</v>
      </c>
      <c r="E782" t="s">
        <v>50</v>
      </c>
      <c r="F782" s="3">
        <v>1389</v>
      </c>
      <c r="G782" t="s">
        <v>40</v>
      </c>
      <c r="H782" s="1">
        <v>24</v>
      </c>
      <c r="I782" t="s">
        <v>58</v>
      </c>
      <c r="J782" t="s">
        <v>55</v>
      </c>
      <c r="K782" t="s">
        <v>61</v>
      </c>
      <c r="L782" t="s">
        <v>41</v>
      </c>
      <c r="M782" s="3">
        <v>72</v>
      </c>
      <c r="N782" t="s">
        <v>61</v>
      </c>
      <c r="O782" t="s">
        <v>60</v>
      </c>
      <c r="P782" t="s">
        <v>49</v>
      </c>
      <c r="Q782" t="s">
        <v>59</v>
      </c>
      <c r="R782" t="s">
        <v>37</v>
      </c>
      <c r="S782" s="3">
        <v>8722</v>
      </c>
      <c r="T782" s="3">
        <v>12355</v>
      </c>
      <c r="U782" s="3" t="str">
        <f t="shared" si="51"/>
        <v>Medium</v>
      </c>
      <c r="V782">
        <v>1</v>
      </c>
      <c r="W782" t="s">
        <v>38</v>
      </c>
      <c r="X782" s="2">
        <v>12</v>
      </c>
      <c r="Y782" t="s">
        <v>60</v>
      </c>
      <c r="Z782" t="s">
        <v>59</v>
      </c>
      <c r="AA782">
        <v>0</v>
      </c>
      <c r="AB782">
        <v>10</v>
      </c>
      <c r="AC782">
        <v>2</v>
      </c>
      <c r="AD782">
        <v>2</v>
      </c>
      <c r="AE782">
        <v>10</v>
      </c>
      <c r="AF782">
        <v>7</v>
      </c>
      <c r="AG782">
        <v>1</v>
      </c>
      <c r="AH782">
        <v>9</v>
      </c>
      <c r="AI782" t="str">
        <f t="shared" si="48"/>
        <v>6-10 Years</v>
      </c>
      <c r="AJ782" t="str">
        <f t="shared" si="49"/>
        <v>0-2</v>
      </c>
    </row>
    <row r="783" spans="1:36" x14ac:dyDescent="0.35">
      <c r="A783">
        <v>782</v>
      </c>
      <c r="B783">
        <v>26</v>
      </c>
      <c r="C783" t="str">
        <f t="shared" si="50"/>
        <v>26-35</v>
      </c>
      <c r="D783" t="s">
        <v>38</v>
      </c>
      <c r="E783" t="s">
        <v>32</v>
      </c>
      <c r="F783" s="3">
        <v>1389</v>
      </c>
      <c r="G783" t="s">
        <v>40</v>
      </c>
      <c r="H783" s="1">
        <v>1</v>
      </c>
      <c r="I783" t="s">
        <v>58</v>
      </c>
      <c r="J783" t="s">
        <v>46</v>
      </c>
      <c r="K783" t="s">
        <v>59</v>
      </c>
      <c r="L783" t="s">
        <v>41</v>
      </c>
      <c r="M783" s="3">
        <v>59</v>
      </c>
      <c r="N783" t="s">
        <v>61</v>
      </c>
      <c r="O783" t="s">
        <v>59</v>
      </c>
      <c r="P783" t="s">
        <v>45</v>
      </c>
      <c r="Q783" t="s">
        <v>59</v>
      </c>
      <c r="R783" t="s">
        <v>43</v>
      </c>
      <c r="S783" s="3">
        <v>3955</v>
      </c>
      <c r="T783" s="3">
        <v>11141</v>
      </c>
      <c r="U783" s="3" t="str">
        <f t="shared" si="51"/>
        <v>Low</v>
      </c>
      <c r="V783">
        <v>1</v>
      </c>
      <c r="W783" t="s">
        <v>38</v>
      </c>
      <c r="X783" s="2">
        <v>16</v>
      </c>
      <c r="Y783" t="s">
        <v>60</v>
      </c>
      <c r="Z783" t="s">
        <v>59</v>
      </c>
      <c r="AA783">
        <v>2</v>
      </c>
      <c r="AB783">
        <v>6</v>
      </c>
      <c r="AC783">
        <v>2</v>
      </c>
      <c r="AD783">
        <v>3</v>
      </c>
      <c r="AE783">
        <v>5</v>
      </c>
      <c r="AF783">
        <v>3</v>
      </c>
      <c r="AG783">
        <v>1</v>
      </c>
      <c r="AH783">
        <v>3</v>
      </c>
      <c r="AI783" t="str">
        <f t="shared" si="48"/>
        <v>3-5 Years</v>
      </c>
      <c r="AJ783" t="str">
        <f t="shared" si="49"/>
        <v>0-2</v>
      </c>
    </row>
    <row r="784" spans="1:36" x14ac:dyDescent="0.35">
      <c r="A784">
        <v>783</v>
      </c>
      <c r="B784">
        <v>30</v>
      </c>
      <c r="C784" t="str">
        <f t="shared" si="50"/>
        <v>26-35</v>
      </c>
      <c r="D784" t="s">
        <v>38</v>
      </c>
      <c r="E784" t="s">
        <v>32</v>
      </c>
      <c r="F784" s="3">
        <v>1389</v>
      </c>
      <c r="G784" t="s">
        <v>40</v>
      </c>
      <c r="H784" s="1">
        <v>20</v>
      </c>
      <c r="I784" t="s">
        <v>61</v>
      </c>
      <c r="J784" t="s">
        <v>44</v>
      </c>
      <c r="K784" t="s">
        <v>60</v>
      </c>
      <c r="L784" t="s">
        <v>41</v>
      </c>
      <c r="M784" s="3">
        <v>85</v>
      </c>
      <c r="N784" t="s">
        <v>60</v>
      </c>
      <c r="O784" t="s">
        <v>61</v>
      </c>
      <c r="P784" t="s">
        <v>48</v>
      </c>
      <c r="Q784" t="s">
        <v>59</v>
      </c>
      <c r="R784" t="s">
        <v>43</v>
      </c>
      <c r="S784" s="3">
        <v>9957</v>
      </c>
      <c r="T784" s="3">
        <v>9096</v>
      </c>
      <c r="U784" s="3" t="str">
        <f t="shared" si="51"/>
        <v>Medium</v>
      </c>
      <c r="V784">
        <v>0</v>
      </c>
      <c r="W784" t="s">
        <v>38</v>
      </c>
      <c r="X784" s="2">
        <v>15</v>
      </c>
      <c r="Y784" t="s">
        <v>60</v>
      </c>
      <c r="Z784" t="s">
        <v>60</v>
      </c>
      <c r="AA784">
        <v>1</v>
      </c>
      <c r="AB784">
        <v>7</v>
      </c>
      <c r="AC784">
        <v>1</v>
      </c>
      <c r="AD784">
        <v>2</v>
      </c>
      <c r="AE784">
        <v>6</v>
      </c>
      <c r="AF784">
        <v>2</v>
      </c>
      <c r="AG784">
        <v>0</v>
      </c>
      <c r="AH784">
        <v>2</v>
      </c>
      <c r="AI784" t="str">
        <f t="shared" si="48"/>
        <v>6-10 Years</v>
      </c>
      <c r="AJ784" t="str">
        <f t="shared" si="49"/>
        <v>0-2</v>
      </c>
    </row>
    <row r="785" spans="1:36" x14ac:dyDescent="0.35">
      <c r="A785">
        <v>784</v>
      </c>
      <c r="B785">
        <v>41</v>
      </c>
      <c r="C785" t="str">
        <f t="shared" si="50"/>
        <v>36-45</v>
      </c>
      <c r="D785" t="s">
        <v>38</v>
      </c>
      <c r="E785" t="s">
        <v>32</v>
      </c>
      <c r="F785" s="3">
        <v>1389</v>
      </c>
      <c r="G785" t="s">
        <v>40</v>
      </c>
      <c r="H785" s="1">
        <v>7</v>
      </c>
      <c r="I785" t="s">
        <v>58</v>
      </c>
      <c r="J785" t="s">
        <v>55</v>
      </c>
      <c r="K785" t="s">
        <v>61</v>
      </c>
      <c r="L785" t="s">
        <v>35</v>
      </c>
      <c r="M785" s="3">
        <v>43</v>
      </c>
      <c r="N785" t="s">
        <v>62</v>
      </c>
      <c r="O785" t="s">
        <v>59</v>
      </c>
      <c r="P785" t="s">
        <v>42</v>
      </c>
      <c r="Q785" t="s">
        <v>60</v>
      </c>
      <c r="R785" t="s">
        <v>43</v>
      </c>
      <c r="S785" s="3">
        <v>3376</v>
      </c>
      <c r="T785" s="3">
        <v>18863</v>
      </c>
      <c r="U785" s="3" t="str">
        <f t="shared" si="51"/>
        <v>Low</v>
      </c>
      <c r="V785">
        <v>1</v>
      </c>
      <c r="W785" t="s">
        <v>38</v>
      </c>
      <c r="X785" s="2">
        <v>13</v>
      </c>
      <c r="Y785" t="s">
        <v>60</v>
      </c>
      <c r="Z785" t="s">
        <v>60</v>
      </c>
      <c r="AA785">
        <v>0</v>
      </c>
      <c r="AB785">
        <v>10</v>
      </c>
      <c r="AC785">
        <v>3</v>
      </c>
      <c r="AD785">
        <v>3</v>
      </c>
      <c r="AE785">
        <v>10</v>
      </c>
      <c r="AF785">
        <v>6</v>
      </c>
      <c r="AG785">
        <v>0</v>
      </c>
      <c r="AH785">
        <v>8</v>
      </c>
      <c r="AI785" t="str">
        <f t="shared" si="48"/>
        <v>6-10 Years</v>
      </c>
      <c r="AJ785" t="str">
        <f t="shared" si="49"/>
        <v>0-2</v>
      </c>
    </row>
    <row r="786" spans="1:36" x14ac:dyDescent="0.35">
      <c r="A786">
        <v>785</v>
      </c>
      <c r="B786">
        <v>38</v>
      </c>
      <c r="C786" t="str">
        <f t="shared" si="50"/>
        <v>36-45</v>
      </c>
      <c r="D786" t="s">
        <v>38</v>
      </c>
      <c r="E786" t="s">
        <v>32</v>
      </c>
      <c r="F786" s="3">
        <v>1389</v>
      </c>
      <c r="G786" t="s">
        <v>40</v>
      </c>
      <c r="H786" s="1">
        <v>17</v>
      </c>
      <c r="I786" t="s">
        <v>59</v>
      </c>
      <c r="J786" t="s">
        <v>34</v>
      </c>
      <c r="K786" t="s">
        <v>60</v>
      </c>
      <c r="L786" t="s">
        <v>35</v>
      </c>
      <c r="M786" s="3">
        <v>65</v>
      </c>
      <c r="N786" t="s">
        <v>61</v>
      </c>
      <c r="O786" t="s">
        <v>60</v>
      </c>
      <c r="P786" t="s">
        <v>49</v>
      </c>
      <c r="Q786" t="s">
        <v>60</v>
      </c>
      <c r="R786" t="s">
        <v>43</v>
      </c>
      <c r="S786" s="3">
        <v>8823</v>
      </c>
      <c r="T786" s="3">
        <v>24608</v>
      </c>
      <c r="U786" s="3" t="str">
        <f t="shared" si="51"/>
        <v>Medium</v>
      </c>
      <c r="V786">
        <v>0</v>
      </c>
      <c r="W786" t="s">
        <v>38</v>
      </c>
      <c r="X786" s="2">
        <v>18</v>
      </c>
      <c r="Y786" t="s">
        <v>60</v>
      </c>
      <c r="Z786" t="s">
        <v>59</v>
      </c>
      <c r="AA786">
        <v>1</v>
      </c>
      <c r="AB786">
        <v>20</v>
      </c>
      <c r="AC786">
        <v>4</v>
      </c>
      <c r="AD786">
        <v>2</v>
      </c>
      <c r="AE786">
        <v>19</v>
      </c>
      <c r="AF786">
        <v>9</v>
      </c>
      <c r="AG786">
        <v>1</v>
      </c>
      <c r="AH786">
        <v>9</v>
      </c>
      <c r="AI786" t="str">
        <f t="shared" si="48"/>
        <v>10+ Years</v>
      </c>
      <c r="AJ786" t="str">
        <f t="shared" si="49"/>
        <v>0-2</v>
      </c>
    </row>
    <row r="787" spans="1:36" x14ac:dyDescent="0.35">
      <c r="A787">
        <v>786</v>
      </c>
      <c r="B787">
        <v>40</v>
      </c>
      <c r="C787" t="str">
        <f t="shared" si="50"/>
        <v>36-45</v>
      </c>
      <c r="D787" t="s">
        <v>38</v>
      </c>
      <c r="E787" t="s">
        <v>32</v>
      </c>
      <c r="F787" s="3">
        <v>1389</v>
      </c>
      <c r="G787" t="s">
        <v>40</v>
      </c>
      <c r="H787" s="1">
        <v>20</v>
      </c>
      <c r="I787" t="s">
        <v>60</v>
      </c>
      <c r="J787" t="s">
        <v>55</v>
      </c>
      <c r="K787" t="s">
        <v>59</v>
      </c>
      <c r="L787" t="s">
        <v>41</v>
      </c>
      <c r="M787" s="3">
        <v>61</v>
      </c>
      <c r="N787" t="s">
        <v>60</v>
      </c>
      <c r="O787" t="s">
        <v>60</v>
      </c>
      <c r="P787" t="s">
        <v>49</v>
      </c>
      <c r="Q787" t="s">
        <v>62</v>
      </c>
      <c r="R787" t="s">
        <v>43</v>
      </c>
      <c r="S787" s="3">
        <v>10322</v>
      </c>
      <c r="T787" s="3">
        <v>26542</v>
      </c>
      <c r="U787" s="3" t="str">
        <f t="shared" si="51"/>
        <v>High</v>
      </c>
      <c r="V787">
        <v>4</v>
      </c>
      <c r="W787" t="s">
        <v>38</v>
      </c>
      <c r="X787" s="2">
        <v>20</v>
      </c>
      <c r="Y787" t="s">
        <v>62</v>
      </c>
      <c r="Z787" t="s">
        <v>62</v>
      </c>
      <c r="AA787">
        <v>1</v>
      </c>
      <c r="AB787">
        <v>14</v>
      </c>
      <c r="AC787">
        <v>6</v>
      </c>
      <c r="AD787">
        <v>3</v>
      </c>
      <c r="AE787">
        <v>11</v>
      </c>
      <c r="AF787">
        <v>10</v>
      </c>
      <c r="AG787">
        <v>11</v>
      </c>
      <c r="AH787">
        <v>1</v>
      </c>
      <c r="AI787" t="str">
        <f t="shared" si="48"/>
        <v>10+ Years</v>
      </c>
      <c r="AJ787" t="str">
        <f t="shared" si="49"/>
        <v>6+</v>
      </c>
    </row>
    <row r="788" spans="1:36" x14ac:dyDescent="0.35">
      <c r="A788">
        <v>787</v>
      </c>
      <c r="B788">
        <v>27</v>
      </c>
      <c r="C788" t="str">
        <f t="shared" si="50"/>
        <v>26-35</v>
      </c>
      <c r="D788" t="s">
        <v>38</v>
      </c>
      <c r="E788" t="s">
        <v>50</v>
      </c>
      <c r="F788" s="3">
        <v>1389</v>
      </c>
      <c r="G788" t="s">
        <v>40</v>
      </c>
      <c r="H788" s="1">
        <v>8</v>
      </c>
      <c r="I788" t="s">
        <v>62</v>
      </c>
      <c r="J788" t="s">
        <v>34</v>
      </c>
      <c r="K788" t="s">
        <v>59</v>
      </c>
      <c r="L788" t="s">
        <v>41</v>
      </c>
      <c r="M788" s="3">
        <v>87</v>
      </c>
      <c r="N788" t="s">
        <v>59</v>
      </c>
      <c r="O788" t="s">
        <v>59</v>
      </c>
      <c r="P788" t="s">
        <v>45</v>
      </c>
      <c r="Q788" t="s">
        <v>60</v>
      </c>
      <c r="R788" t="s">
        <v>43</v>
      </c>
      <c r="S788" s="3">
        <v>4621</v>
      </c>
      <c r="T788" s="3">
        <v>5869</v>
      </c>
      <c r="U788" s="3" t="str">
        <f t="shared" si="51"/>
        <v>Low</v>
      </c>
      <c r="V788">
        <v>1</v>
      </c>
      <c r="W788" t="s">
        <v>38</v>
      </c>
      <c r="X788" s="2">
        <v>19</v>
      </c>
      <c r="Y788" t="s">
        <v>60</v>
      </c>
      <c r="Z788" t="s">
        <v>62</v>
      </c>
      <c r="AA788">
        <v>3</v>
      </c>
      <c r="AB788">
        <v>3</v>
      </c>
      <c r="AC788">
        <v>4</v>
      </c>
      <c r="AD788">
        <v>3</v>
      </c>
      <c r="AE788">
        <v>3</v>
      </c>
      <c r="AF788">
        <v>2</v>
      </c>
      <c r="AG788">
        <v>1</v>
      </c>
      <c r="AH788">
        <v>2</v>
      </c>
      <c r="AI788" t="str">
        <f t="shared" si="48"/>
        <v>3-5 Years</v>
      </c>
      <c r="AJ788" t="str">
        <f t="shared" si="49"/>
        <v>0-2</v>
      </c>
    </row>
    <row r="789" spans="1:36" x14ac:dyDescent="0.35">
      <c r="A789">
        <v>788</v>
      </c>
      <c r="B789">
        <v>55</v>
      </c>
      <c r="C789" t="str">
        <f t="shared" si="50"/>
        <v>46-55</v>
      </c>
      <c r="D789" t="s">
        <v>38</v>
      </c>
      <c r="E789" t="s">
        <v>39</v>
      </c>
      <c r="F789" s="3">
        <v>1389</v>
      </c>
      <c r="G789" t="s">
        <v>40</v>
      </c>
      <c r="H789" s="1">
        <v>2</v>
      </c>
      <c r="I789" t="s">
        <v>59</v>
      </c>
      <c r="J789" t="s">
        <v>34</v>
      </c>
      <c r="K789" t="s">
        <v>62</v>
      </c>
      <c r="L789" t="s">
        <v>41</v>
      </c>
      <c r="M789" s="3">
        <v>65</v>
      </c>
      <c r="N789" t="s">
        <v>60</v>
      </c>
      <c r="O789" t="s">
        <v>60</v>
      </c>
      <c r="P789" t="s">
        <v>48</v>
      </c>
      <c r="Q789" t="s">
        <v>61</v>
      </c>
      <c r="R789" t="s">
        <v>43</v>
      </c>
      <c r="S789" s="3">
        <v>10976</v>
      </c>
      <c r="T789" s="3">
        <v>15813</v>
      </c>
      <c r="U789" s="3" t="str">
        <f t="shared" si="51"/>
        <v>High</v>
      </c>
      <c r="V789">
        <v>3</v>
      </c>
      <c r="W789" t="s">
        <v>38</v>
      </c>
      <c r="X789" s="2">
        <v>18</v>
      </c>
      <c r="Y789" t="s">
        <v>60</v>
      </c>
      <c r="Z789" t="s">
        <v>61</v>
      </c>
      <c r="AA789">
        <v>1</v>
      </c>
      <c r="AB789">
        <v>23</v>
      </c>
      <c r="AC789">
        <v>4</v>
      </c>
      <c r="AD789">
        <v>3</v>
      </c>
      <c r="AE789">
        <v>3</v>
      </c>
      <c r="AF789">
        <v>2</v>
      </c>
      <c r="AG789">
        <v>1</v>
      </c>
      <c r="AH789">
        <v>2</v>
      </c>
      <c r="AI789" t="str">
        <f t="shared" si="48"/>
        <v>3-5 Years</v>
      </c>
      <c r="AJ789" t="str">
        <f t="shared" si="49"/>
        <v>0-2</v>
      </c>
    </row>
    <row r="790" spans="1:36" x14ac:dyDescent="0.35">
      <c r="A790">
        <v>789</v>
      </c>
      <c r="B790">
        <v>28</v>
      </c>
      <c r="C790" t="str">
        <f t="shared" si="50"/>
        <v>26-35</v>
      </c>
      <c r="D790" t="s">
        <v>38</v>
      </c>
      <c r="E790" t="s">
        <v>32</v>
      </c>
      <c r="F790" s="3">
        <v>1389</v>
      </c>
      <c r="G790" t="s">
        <v>40</v>
      </c>
      <c r="H790" s="1">
        <v>10</v>
      </c>
      <c r="I790" t="s">
        <v>61</v>
      </c>
      <c r="J790" t="s">
        <v>44</v>
      </c>
      <c r="K790" t="s">
        <v>60</v>
      </c>
      <c r="L790" t="s">
        <v>35</v>
      </c>
      <c r="M790" s="3">
        <v>59</v>
      </c>
      <c r="N790" t="s">
        <v>60</v>
      </c>
      <c r="O790" t="s">
        <v>61</v>
      </c>
      <c r="P790" t="s">
        <v>42</v>
      </c>
      <c r="Q790" t="s">
        <v>60</v>
      </c>
      <c r="R790" t="s">
        <v>37</v>
      </c>
      <c r="S790" s="3">
        <v>3660</v>
      </c>
      <c r="T790" s="3">
        <v>7909</v>
      </c>
      <c r="U790" s="3" t="str">
        <f t="shared" si="51"/>
        <v>Low</v>
      </c>
      <c r="V790">
        <v>3</v>
      </c>
      <c r="W790" t="s">
        <v>38</v>
      </c>
      <c r="X790" s="2">
        <v>13</v>
      </c>
      <c r="Y790" t="s">
        <v>60</v>
      </c>
      <c r="Z790" t="s">
        <v>62</v>
      </c>
      <c r="AA790">
        <v>0</v>
      </c>
      <c r="AB790">
        <v>10</v>
      </c>
      <c r="AC790">
        <v>4</v>
      </c>
      <c r="AD790">
        <v>4</v>
      </c>
      <c r="AE790">
        <v>8</v>
      </c>
      <c r="AF790">
        <v>7</v>
      </c>
      <c r="AG790">
        <v>1</v>
      </c>
      <c r="AH790">
        <v>7</v>
      </c>
      <c r="AI790" t="str">
        <f t="shared" si="48"/>
        <v>6-10 Years</v>
      </c>
      <c r="AJ790" t="str">
        <f t="shared" si="49"/>
        <v>0-2</v>
      </c>
    </row>
    <row r="791" spans="1:36" x14ac:dyDescent="0.35">
      <c r="A791">
        <v>790</v>
      </c>
      <c r="B791">
        <v>44</v>
      </c>
      <c r="C791" t="str">
        <f t="shared" si="50"/>
        <v>36-45</v>
      </c>
      <c r="D791" t="s">
        <v>31</v>
      </c>
      <c r="E791" t="s">
        <v>32</v>
      </c>
      <c r="F791" s="3">
        <v>1389</v>
      </c>
      <c r="G791" t="s">
        <v>56</v>
      </c>
      <c r="H791" s="1">
        <v>1</v>
      </c>
      <c r="I791" t="s">
        <v>58</v>
      </c>
      <c r="J791" t="s">
        <v>46</v>
      </c>
      <c r="K791" t="s">
        <v>61</v>
      </c>
      <c r="L791" t="s">
        <v>41</v>
      </c>
      <c r="M791" s="3">
        <v>91</v>
      </c>
      <c r="N791" t="s">
        <v>61</v>
      </c>
      <c r="O791" t="s">
        <v>60</v>
      </c>
      <c r="P791" t="s">
        <v>56</v>
      </c>
      <c r="Q791" t="s">
        <v>59</v>
      </c>
      <c r="R791" t="s">
        <v>43</v>
      </c>
      <c r="S791" s="3">
        <v>10482</v>
      </c>
      <c r="T791" s="3">
        <v>2326</v>
      </c>
      <c r="U791" s="3" t="str">
        <f t="shared" si="51"/>
        <v>High</v>
      </c>
      <c r="V791">
        <v>9</v>
      </c>
      <c r="W791" t="s">
        <v>38</v>
      </c>
      <c r="X791" s="2">
        <v>14</v>
      </c>
      <c r="Y791" t="s">
        <v>60</v>
      </c>
      <c r="Z791" t="s">
        <v>62</v>
      </c>
      <c r="AA791">
        <v>1</v>
      </c>
      <c r="AB791">
        <v>24</v>
      </c>
      <c r="AC791">
        <v>1</v>
      </c>
      <c r="AD791">
        <v>3</v>
      </c>
      <c r="AE791">
        <v>20</v>
      </c>
      <c r="AF791">
        <v>6</v>
      </c>
      <c r="AG791">
        <v>3</v>
      </c>
      <c r="AH791">
        <v>6</v>
      </c>
      <c r="AI791" t="str">
        <f t="shared" si="48"/>
        <v>10+ Years</v>
      </c>
      <c r="AJ791" t="str">
        <f t="shared" si="49"/>
        <v>3-5</v>
      </c>
    </row>
    <row r="792" spans="1:36" x14ac:dyDescent="0.35">
      <c r="A792">
        <v>791</v>
      </c>
      <c r="B792">
        <v>33</v>
      </c>
      <c r="C792" t="str">
        <f t="shared" si="50"/>
        <v>26-35</v>
      </c>
      <c r="D792" t="s">
        <v>38</v>
      </c>
      <c r="E792" t="s">
        <v>32</v>
      </c>
      <c r="F792" s="3">
        <v>1389</v>
      </c>
      <c r="G792" t="s">
        <v>40</v>
      </c>
      <c r="H792" s="1">
        <v>5</v>
      </c>
      <c r="I792" t="s">
        <v>61</v>
      </c>
      <c r="J792" t="s">
        <v>34</v>
      </c>
      <c r="K792" t="s">
        <v>62</v>
      </c>
      <c r="L792" t="s">
        <v>41</v>
      </c>
      <c r="M792" s="3">
        <v>34</v>
      </c>
      <c r="N792" t="s">
        <v>61</v>
      </c>
      <c r="O792" t="s">
        <v>60</v>
      </c>
      <c r="P792" t="s">
        <v>49</v>
      </c>
      <c r="Q792" t="s">
        <v>62</v>
      </c>
      <c r="R792" t="s">
        <v>47</v>
      </c>
      <c r="S792" s="3">
        <v>7119</v>
      </c>
      <c r="T792" s="3">
        <v>21214</v>
      </c>
      <c r="U792" s="3" t="str">
        <f t="shared" si="51"/>
        <v>Medium</v>
      </c>
      <c r="V792">
        <v>4</v>
      </c>
      <c r="W792" t="s">
        <v>38</v>
      </c>
      <c r="X792" s="2">
        <v>15</v>
      </c>
      <c r="Y792" t="s">
        <v>60</v>
      </c>
      <c r="Z792" t="s">
        <v>60</v>
      </c>
      <c r="AA792">
        <v>1</v>
      </c>
      <c r="AB792">
        <v>9</v>
      </c>
      <c r="AC792">
        <v>2</v>
      </c>
      <c r="AD792">
        <v>3</v>
      </c>
      <c r="AE792">
        <v>3</v>
      </c>
      <c r="AF792">
        <v>2</v>
      </c>
      <c r="AG792">
        <v>1</v>
      </c>
      <c r="AH792">
        <v>2</v>
      </c>
      <c r="AI792" t="str">
        <f t="shared" si="48"/>
        <v>3-5 Years</v>
      </c>
      <c r="AJ792" t="str">
        <f t="shared" si="49"/>
        <v>0-2</v>
      </c>
    </row>
    <row r="793" spans="1:36" x14ac:dyDescent="0.35">
      <c r="A793">
        <v>792</v>
      </c>
      <c r="B793">
        <v>35</v>
      </c>
      <c r="C793" t="str">
        <f t="shared" si="50"/>
        <v>26-35</v>
      </c>
      <c r="D793" t="s">
        <v>31</v>
      </c>
      <c r="E793" t="s">
        <v>32</v>
      </c>
      <c r="F793" s="3">
        <v>1389</v>
      </c>
      <c r="G793" t="s">
        <v>33</v>
      </c>
      <c r="H793" s="1">
        <v>4</v>
      </c>
      <c r="I793" t="s">
        <v>61</v>
      </c>
      <c r="J793" t="s">
        <v>55</v>
      </c>
      <c r="K793" t="s">
        <v>62</v>
      </c>
      <c r="L793" t="s">
        <v>41</v>
      </c>
      <c r="M793" s="3">
        <v>86</v>
      </c>
      <c r="N793" t="s">
        <v>60</v>
      </c>
      <c r="O793" t="s">
        <v>60</v>
      </c>
      <c r="P793" t="s">
        <v>36</v>
      </c>
      <c r="Q793" t="s">
        <v>59</v>
      </c>
      <c r="R793" t="s">
        <v>37</v>
      </c>
      <c r="S793" s="3">
        <v>9582</v>
      </c>
      <c r="T793" s="3">
        <v>10333</v>
      </c>
      <c r="U793" s="3" t="str">
        <f t="shared" si="51"/>
        <v>Medium</v>
      </c>
      <c r="V793">
        <v>0</v>
      </c>
      <c r="W793" t="s">
        <v>31</v>
      </c>
      <c r="X793" s="2">
        <v>22</v>
      </c>
      <c r="Y793" t="s">
        <v>62</v>
      </c>
      <c r="Z793" t="s">
        <v>59</v>
      </c>
      <c r="AA793">
        <v>0</v>
      </c>
      <c r="AB793">
        <v>9</v>
      </c>
      <c r="AC793">
        <v>2</v>
      </c>
      <c r="AD793">
        <v>3</v>
      </c>
      <c r="AE793">
        <v>8</v>
      </c>
      <c r="AF793">
        <v>7</v>
      </c>
      <c r="AG793">
        <v>4</v>
      </c>
      <c r="AH793">
        <v>7</v>
      </c>
      <c r="AI793" t="str">
        <f t="shared" si="48"/>
        <v>6-10 Years</v>
      </c>
      <c r="AJ793" t="str">
        <f t="shared" si="49"/>
        <v>3-5</v>
      </c>
    </row>
    <row r="794" spans="1:36" x14ac:dyDescent="0.35">
      <c r="A794">
        <v>793</v>
      </c>
      <c r="B794">
        <v>33</v>
      </c>
      <c r="C794" t="str">
        <f t="shared" si="50"/>
        <v>26-35</v>
      </c>
      <c r="D794" t="s">
        <v>31</v>
      </c>
      <c r="E794" t="s">
        <v>39</v>
      </c>
      <c r="F794" s="3">
        <v>1389</v>
      </c>
      <c r="G794" t="s">
        <v>40</v>
      </c>
      <c r="H794" s="1">
        <v>29</v>
      </c>
      <c r="I794" t="s">
        <v>60</v>
      </c>
      <c r="J794" t="s">
        <v>46</v>
      </c>
      <c r="K794" t="s">
        <v>59</v>
      </c>
      <c r="L794" t="s">
        <v>35</v>
      </c>
      <c r="M794" s="3">
        <v>54</v>
      </c>
      <c r="N794" t="s">
        <v>61</v>
      </c>
      <c r="O794" t="s">
        <v>61</v>
      </c>
      <c r="P794" t="s">
        <v>42</v>
      </c>
      <c r="Q794" t="s">
        <v>60</v>
      </c>
      <c r="R794" t="s">
        <v>37</v>
      </c>
      <c r="S794" s="3">
        <v>4508</v>
      </c>
      <c r="T794" s="3">
        <v>3129</v>
      </c>
      <c r="U794" s="3" t="str">
        <f t="shared" si="51"/>
        <v>Low</v>
      </c>
      <c r="V794">
        <v>1</v>
      </c>
      <c r="W794" t="s">
        <v>38</v>
      </c>
      <c r="X794" s="2">
        <v>22</v>
      </c>
      <c r="Y794" t="s">
        <v>62</v>
      </c>
      <c r="Z794" t="s">
        <v>61</v>
      </c>
      <c r="AA794">
        <v>0</v>
      </c>
      <c r="AB794">
        <v>14</v>
      </c>
      <c r="AC794">
        <v>4</v>
      </c>
      <c r="AD794">
        <v>3</v>
      </c>
      <c r="AE794">
        <v>13</v>
      </c>
      <c r="AF794">
        <v>7</v>
      </c>
      <c r="AG794">
        <v>3</v>
      </c>
      <c r="AH794">
        <v>8</v>
      </c>
      <c r="AI794" t="str">
        <f t="shared" si="48"/>
        <v>10+ Years</v>
      </c>
      <c r="AJ794" t="str">
        <f t="shared" si="49"/>
        <v>3-5</v>
      </c>
    </row>
    <row r="795" spans="1:36" x14ac:dyDescent="0.35">
      <c r="A795">
        <v>794</v>
      </c>
      <c r="B795">
        <v>28</v>
      </c>
      <c r="C795" t="str">
        <f t="shared" si="50"/>
        <v>26-35</v>
      </c>
      <c r="D795" t="s">
        <v>38</v>
      </c>
      <c r="E795" t="s">
        <v>32</v>
      </c>
      <c r="F795" s="3">
        <v>1389</v>
      </c>
      <c r="G795" t="s">
        <v>40</v>
      </c>
      <c r="H795" s="1">
        <v>15</v>
      </c>
      <c r="I795" t="s">
        <v>58</v>
      </c>
      <c r="J795" t="s">
        <v>34</v>
      </c>
      <c r="K795" t="s">
        <v>59</v>
      </c>
      <c r="L795" t="s">
        <v>41</v>
      </c>
      <c r="M795" s="3">
        <v>50</v>
      </c>
      <c r="N795" t="s">
        <v>60</v>
      </c>
      <c r="O795" t="s">
        <v>59</v>
      </c>
      <c r="P795" t="s">
        <v>45</v>
      </c>
      <c r="Q795" t="s">
        <v>60</v>
      </c>
      <c r="R795" t="s">
        <v>47</v>
      </c>
      <c r="S795" s="3">
        <v>2207</v>
      </c>
      <c r="T795" s="3">
        <v>22482</v>
      </c>
      <c r="U795" s="3" t="str">
        <f t="shared" si="51"/>
        <v>Low</v>
      </c>
      <c r="V795">
        <v>1</v>
      </c>
      <c r="W795" t="s">
        <v>38</v>
      </c>
      <c r="X795" s="2">
        <v>16</v>
      </c>
      <c r="Y795" t="s">
        <v>60</v>
      </c>
      <c r="Z795" t="s">
        <v>62</v>
      </c>
      <c r="AA795">
        <v>1</v>
      </c>
      <c r="AB795">
        <v>4</v>
      </c>
      <c r="AC795">
        <v>5</v>
      </c>
      <c r="AD795">
        <v>2</v>
      </c>
      <c r="AE795">
        <v>4</v>
      </c>
      <c r="AF795">
        <v>2</v>
      </c>
      <c r="AG795">
        <v>2</v>
      </c>
      <c r="AH795">
        <v>2</v>
      </c>
      <c r="AI795" t="str">
        <f t="shared" si="48"/>
        <v>3-5 Years</v>
      </c>
      <c r="AJ795" t="str">
        <f t="shared" si="49"/>
        <v>0-2</v>
      </c>
    </row>
    <row r="796" spans="1:36" x14ac:dyDescent="0.35">
      <c r="A796">
        <v>795</v>
      </c>
      <c r="B796">
        <v>34</v>
      </c>
      <c r="C796" t="str">
        <f t="shared" si="50"/>
        <v>26-35</v>
      </c>
      <c r="D796" t="s">
        <v>38</v>
      </c>
      <c r="E796" t="s">
        <v>39</v>
      </c>
      <c r="F796" s="3">
        <v>1389</v>
      </c>
      <c r="G796" t="s">
        <v>40</v>
      </c>
      <c r="H796" s="1">
        <v>3</v>
      </c>
      <c r="I796" t="s">
        <v>59</v>
      </c>
      <c r="J796" t="s">
        <v>34</v>
      </c>
      <c r="K796" t="s">
        <v>59</v>
      </c>
      <c r="L796" t="s">
        <v>41</v>
      </c>
      <c r="M796" s="3">
        <v>45</v>
      </c>
      <c r="N796" t="s">
        <v>60</v>
      </c>
      <c r="O796" t="s">
        <v>61</v>
      </c>
      <c r="P796" t="s">
        <v>49</v>
      </c>
      <c r="Q796" t="s">
        <v>62</v>
      </c>
      <c r="R796" t="s">
        <v>37</v>
      </c>
      <c r="S796" s="3">
        <v>7756</v>
      </c>
      <c r="T796" s="3">
        <v>22266</v>
      </c>
      <c r="U796" s="3" t="str">
        <f t="shared" si="51"/>
        <v>Medium</v>
      </c>
      <c r="V796">
        <v>0</v>
      </c>
      <c r="W796" t="s">
        <v>38</v>
      </c>
      <c r="X796" s="2">
        <v>17</v>
      </c>
      <c r="Y796" t="s">
        <v>60</v>
      </c>
      <c r="Z796" t="s">
        <v>60</v>
      </c>
      <c r="AA796">
        <v>0</v>
      </c>
      <c r="AB796">
        <v>7</v>
      </c>
      <c r="AC796">
        <v>1</v>
      </c>
      <c r="AD796">
        <v>2</v>
      </c>
      <c r="AE796">
        <v>6</v>
      </c>
      <c r="AF796">
        <v>2</v>
      </c>
      <c r="AG796">
        <v>0</v>
      </c>
      <c r="AH796">
        <v>4</v>
      </c>
      <c r="AI796" t="str">
        <f t="shared" si="48"/>
        <v>6-10 Years</v>
      </c>
      <c r="AJ796" t="str">
        <f t="shared" si="49"/>
        <v>0-2</v>
      </c>
    </row>
    <row r="797" spans="1:36" x14ac:dyDescent="0.35">
      <c r="A797">
        <v>796</v>
      </c>
      <c r="B797">
        <v>37</v>
      </c>
      <c r="C797" t="str">
        <f t="shared" si="50"/>
        <v>36-45</v>
      </c>
      <c r="D797" t="s">
        <v>38</v>
      </c>
      <c r="E797" t="s">
        <v>32</v>
      </c>
      <c r="F797" s="3">
        <v>1389</v>
      </c>
      <c r="G797" t="s">
        <v>33</v>
      </c>
      <c r="H797" s="1">
        <v>10</v>
      </c>
      <c r="I797" t="s">
        <v>60</v>
      </c>
      <c r="J797" t="s">
        <v>34</v>
      </c>
      <c r="K797" t="s">
        <v>62</v>
      </c>
      <c r="L797" t="s">
        <v>35</v>
      </c>
      <c r="M797" s="3">
        <v>88</v>
      </c>
      <c r="N797" t="s">
        <v>61</v>
      </c>
      <c r="O797" t="s">
        <v>61</v>
      </c>
      <c r="P797" t="s">
        <v>36</v>
      </c>
      <c r="Q797" t="s">
        <v>62</v>
      </c>
      <c r="R797" t="s">
        <v>47</v>
      </c>
      <c r="S797" s="3">
        <v>6694</v>
      </c>
      <c r="T797" s="3">
        <v>24223</v>
      </c>
      <c r="U797" s="3" t="str">
        <f t="shared" si="51"/>
        <v>Medium</v>
      </c>
      <c r="V797">
        <v>2</v>
      </c>
      <c r="W797" t="s">
        <v>31</v>
      </c>
      <c r="X797" s="2">
        <v>14</v>
      </c>
      <c r="Y797" t="s">
        <v>60</v>
      </c>
      <c r="Z797" t="s">
        <v>60</v>
      </c>
      <c r="AA797">
        <v>3</v>
      </c>
      <c r="AB797">
        <v>8</v>
      </c>
      <c r="AC797">
        <v>5</v>
      </c>
      <c r="AD797">
        <v>3</v>
      </c>
      <c r="AE797">
        <v>1</v>
      </c>
      <c r="AF797">
        <v>0</v>
      </c>
      <c r="AG797">
        <v>0</v>
      </c>
      <c r="AH797">
        <v>0</v>
      </c>
      <c r="AI797" t="str">
        <f t="shared" si="48"/>
        <v>0-2 Years</v>
      </c>
      <c r="AJ797" t="str">
        <f t="shared" si="49"/>
        <v>0-2</v>
      </c>
    </row>
    <row r="798" spans="1:36" x14ac:dyDescent="0.35">
      <c r="A798">
        <v>797</v>
      </c>
      <c r="B798">
        <v>25</v>
      </c>
      <c r="C798" t="str">
        <f t="shared" si="50"/>
        <v>18-25</v>
      </c>
      <c r="D798" t="s">
        <v>31</v>
      </c>
      <c r="E798" t="s">
        <v>32</v>
      </c>
      <c r="F798" s="3">
        <v>1389</v>
      </c>
      <c r="G798" t="s">
        <v>40</v>
      </c>
      <c r="H798" s="1">
        <v>4</v>
      </c>
      <c r="I798" t="s">
        <v>59</v>
      </c>
      <c r="J798" t="s">
        <v>55</v>
      </c>
      <c r="K798" t="s">
        <v>62</v>
      </c>
      <c r="L798" t="s">
        <v>41</v>
      </c>
      <c r="M798" s="3">
        <v>32</v>
      </c>
      <c r="N798" t="s">
        <v>60</v>
      </c>
      <c r="O798" t="s">
        <v>59</v>
      </c>
      <c r="P798" t="s">
        <v>45</v>
      </c>
      <c r="Q798" t="s">
        <v>62</v>
      </c>
      <c r="R798" t="s">
        <v>43</v>
      </c>
      <c r="S798" s="3">
        <v>3691</v>
      </c>
      <c r="T798" s="3">
        <v>4605</v>
      </c>
      <c r="U798" s="3" t="str">
        <f t="shared" si="51"/>
        <v>Low</v>
      </c>
      <c r="V798">
        <v>1</v>
      </c>
      <c r="W798" t="s">
        <v>31</v>
      </c>
      <c r="X798" s="2">
        <v>15</v>
      </c>
      <c r="Y798" t="s">
        <v>60</v>
      </c>
      <c r="Z798" t="s">
        <v>61</v>
      </c>
      <c r="AA798">
        <v>1</v>
      </c>
      <c r="AB798">
        <v>7</v>
      </c>
      <c r="AC798">
        <v>3</v>
      </c>
      <c r="AD798">
        <v>4</v>
      </c>
      <c r="AE798">
        <v>7</v>
      </c>
      <c r="AF798">
        <v>7</v>
      </c>
      <c r="AG798">
        <v>5</v>
      </c>
      <c r="AH798">
        <v>6</v>
      </c>
      <c r="AI798" t="str">
        <f t="shared" si="48"/>
        <v>6-10 Years</v>
      </c>
      <c r="AJ798" t="str">
        <f t="shared" si="49"/>
        <v>3-5</v>
      </c>
    </row>
    <row r="799" spans="1:36" x14ac:dyDescent="0.35">
      <c r="A799">
        <v>798</v>
      </c>
      <c r="B799">
        <v>26</v>
      </c>
      <c r="C799" t="str">
        <f t="shared" si="50"/>
        <v>26-35</v>
      </c>
      <c r="D799" t="s">
        <v>31</v>
      </c>
      <c r="E799" t="s">
        <v>32</v>
      </c>
      <c r="F799" s="3">
        <v>1389</v>
      </c>
      <c r="G799" t="s">
        <v>40</v>
      </c>
      <c r="H799" s="1">
        <v>21</v>
      </c>
      <c r="I799" t="s">
        <v>61</v>
      </c>
      <c r="J799" t="s">
        <v>46</v>
      </c>
      <c r="K799" t="s">
        <v>59</v>
      </c>
      <c r="L799" t="s">
        <v>41</v>
      </c>
      <c r="M799" s="3">
        <v>37</v>
      </c>
      <c r="N799" t="s">
        <v>60</v>
      </c>
      <c r="O799" t="s">
        <v>59</v>
      </c>
      <c r="P799" t="s">
        <v>45</v>
      </c>
      <c r="Q799" t="s">
        <v>60</v>
      </c>
      <c r="R799" t="s">
        <v>47</v>
      </c>
      <c r="S799" s="3">
        <v>2377</v>
      </c>
      <c r="T799" s="3">
        <v>19373</v>
      </c>
      <c r="U799" s="3" t="str">
        <f t="shared" si="51"/>
        <v>Low</v>
      </c>
      <c r="V799">
        <v>1</v>
      </c>
      <c r="W799" t="s">
        <v>38</v>
      </c>
      <c r="X799" s="2">
        <v>20</v>
      </c>
      <c r="Y799" t="s">
        <v>62</v>
      </c>
      <c r="Z799" t="s">
        <v>60</v>
      </c>
      <c r="AA799">
        <v>1</v>
      </c>
      <c r="AB799">
        <v>1</v>
      </c>
      <c r="AC799">
        <v>0</v>
      </c>
      <c r="AD799">
        <v>2</v>
      </c>
      <c r="AE799">
        <v>1</v>
      </c>
      <c r="AF799">
        <v>1</v>
      </c>
      <c r="AG799">
        <v>0</v>
      </c>
      <c r="AH799">
        <v>0</v>
      </c>
      <c r="AI799" t="str">
        <f t="shared" si="48"/>
        <v>0-2 Years</v>
      </c>
      <c r="AJ799" t="str">
        <f t="shared" si="49"/>
        <v>0-2</v>
      </c>
    </row>
    <row r="800" spans="1:36" x14ac:dyDescent="0.35">
      <c r="A800">
        <v>799</v>
      </c>
      <c r="B800">
        <v>33</v>
      </c>
      <c r="C800" t="str">
        <f t="shared" si="50"/>
        <v>26-35</v>
      </c>
      <c r="D800" t="s">
        <v>31</v>
      </c>
      <c r="E800" t="s">
        <v>32</v>
      </c>
      <c r="F800" s="3">
        <v>1389</v>
      </c>
      <c r="G800" t="s">
        <v>40</v>
      </c>
      <c r="H800" s="1">
        <v>25</v>
      </c>
      <c r="I800" t="s">
        <v>61</v>
      </c>
      <c r="J800" t="s">
        <v>46</v>
      </c>
      <c r="K800" t="s">
        <v>59</v>
      </c>
      <c r="L800" t="s">
        <v>41</v>
      </c>
      <c r="M800" s="3">
        <v>55</v>
      </c>
      <c r="N800" t="s">
        <v>61</v>
      </c>
      <c r="O800" t="s">
        <v>59</v>
      </c>
      <c r="P800" t="s">
        <v>42</v>
      </c>
      <c r="Q800" t="s">
        <v>61</v>
      </c>
      <c r="R800" t="s">
        <v>37</v>
      </c>
      <c r="S800" s="3">
        <v>2313</v>
      </c>
      <c r="T800" s="3">
        <v>2993</v>
      </c>
      <c r="U800" s="3" t="str">
        <f t="shared" si="51"/>
        <v>Low</v>
      </c>
      <c r="V800">
        <v>4</v>
      </c>
      <c r="W800" t="s">
        <v>31</v>
      </c>
      <c r="X800" s="2">
        <v>20</v>
      </c>
      <c r="Y800" t="s">
        <v>62</v>
      </c>
      <c r="Z800" t="s">
        <v>61</v>
      </c>
      <c r="AA800">
        <v>0</v>
      </c>
      <c r="AB800">
        <v>5</v>
      </c>
      <c r="AC800">
        <v>0</v>
      </c>
      <c r="AD800">
        <v>3</v>
      </c>
      <c r="AE800">
        <v>2</v>
      </c>
      <c r="AF800">
        <v>2</v>
      </c>
      <c r="AG800">
        <v>2</v>
      </c>
      <c r="AH800">
        <v>2</v>
      </c>
      <c r="AI800" t="str">
        <f t="shared" si="48"/>
        <v>0-2 Years</v>
      </c>
      <c r="AJ800" t="str">
        <f t="shared" si="49"/>
        <v>0-2</v>
      </c>
    </row>
    <row r="801" spans="1:36" x14ac:dyDescent="0.35">
      <c r="A801">
        <v>800</v>
      </c>
      <c r="B801">
        <v>42</v>
      </c>
      <c r="C801" t="str">
        <f t="shared" si="50"/>
        <v>36-45</v>
      </c>
      <c r="D801" t="s">
        <v>38</v>
      </c>
      <c r="E801" t="s">
        <v>32</v>
      </c>
      <c r="F801" s="3">
        <v>1389</v>
      </c>
      <c r="G801" t="s">
        <v>40</v>
      </c>
      <c r="H801" s="1">
        <v>2</v>
      </c>
      <c r="I801" t="s">
        <v>58</v>
      </c>
      <c r="J801" t="s">
        <v>46</v>
      </c>
      <c r="K801" t="s">
        <v>62</v>
      </c>
      <c r="L801" t="s">
        <v>41</v>
      </c>
      <c r="M801" s="3">
        <v>35</v>
      </c>
      <c r="N801" t="s">
        <v>60</v>
      </c>
      <c r="O801" t="s">
        <v>62</v>
      </c>
      <c r="P801" t="s">
        <v>51</v>
      </c>
      <c r="Q801" t="s">
        <v>59</v>
      </c>
      <c r="R801" t="s">
        <v>43</v>
      </c>
      <c r="S801" s="3">
        <v>17665</v>
      </c>
      <c r="T801" s="3">
        <v>14399</v>
      </c>
      <c r="U801" s="3" t="str">
        <f t="shared" si="51"/>
        <v>High</v>
      </c>
      <c r="V801">
        <v>0</v>
      </c>
      <c r="W801" t="s">
        <v>38</v>
      </c>
      <c r="X801" s="2">
        <v>17</v>
      </c>
      <c r="Y801" t="s">
        <v>60</v>
      </c>
      <c r="Z801" t="s">
        <v>62</v>
      </c>
      <c r="AA801">
        <v>1</v>
      </c>
      <c r="AB801">
        <v>23</v>
      </c>
      <c r="AC801">
        <v>3</v>
      </c>
      <c r="AD801">
        <v>3</v>
      </c>
      <c r="AE801">
        <v>22</v>
      </c>
      <c r="AF801">
        <v>6</v>
      </c>
      <c r="AG801">
        <v>13</v>
      </c>
      <c r="AH801">
        <v>7</v>
      </c>
      <c r="AI801" t="str">
        <f t="shared" si="48"/>
        <v>10+ Years</v>
      </c>
      <c r="AJ801" t="str">
        <f t="shared" si="49"/>
        <v>6+</v>
      </c>
    </row>
    <row r="802" spans="1:36" x14ac:dyDescent="0.35">
      <c r="A802">
        <v>801</v>
      </c>
      <c r="B802">
        <v>28</v>
      </c>
      <c r="C802" t="str">
        <f t="shared" si="50"/>
        <v>26-35</v>
      </c>
      <c r="D802" t="s">
        <v>31</v>
      </c>
      <c r="E802" t="s">
        <v>39</v>
      </c>
      <c r="F802" s="3">
        <v>1389</v>
      </c>
      <c r="G802" t="s">
        <v>40</v>
      </c>
      <c r="H802" s="1">
        <v>1</v>
      </c>
      <c r="I802" t="s">
        <v>61</v>
      </c>
      <c r="J802" t="s">
        <v>46</v>
      </c>
      <c r="K802" t="s">
        <v>59</v>
      </c>
      <c r="L802" t="s">
        <v>41</v>
      </c>
      <c r="M802" s="3">
        <v>45</v>
      </c>
      <c r="N802" t="s">
        <v>61</v>
      </c>
      <c r="O802" t="s">
        <v>59</v>
      </c>
      <c r="P802" t="s">
        <v>45</v>
      </c>
      <c r="Q802" t="s">
        <v>61</v>
      </c>
      <c r="R802" t="s">
        <v>47</v>
      </c>
      <c r="S802" s="3">
        <v>2596</v>
      </c>
      <c r="T802" s="3">
        <v>7160</v>
      </c>
      <c r="U802" s="3" t="str">
        <f t="shared" si="51"/>
        <v>Low</v>
      </c>
      <c r="V802">
        <v>1</v>
      </c>
      <c r="W802" t="s">
        <v>38</v>
      </c>
      <c r="X802" s="2">
        <v>15</v>
      </c>
      <c r="Y802" t="s">
        <v>60</v>
      </c>
      <c r="Z802" t="s">
        <v>59</v>
      </c>
      <c r="AA802">
        <v>2</v>
      </c>
      <c r="AB802">
        <v>1</v>
      </c>
      <c r="AC802">
        <v>2</v>
      </c>
      <c r="AD802">
        <v>3</v>
      </c>
      <c r="AE802">
        <v>1</v>
      </c>
      <c r="AF802">
        <v>0</v>
      </c>
      <c r="AG802">
        <v>0</v>
      </c>
      <c r="AH802">
        <v>0</v>
      </c>
      <c r="AI802" t="str">
        <f t="shared" si="48"/>
        <v>0-2 Years</v>
      </c>
      <c r="AJ802" t="str">
        <f t="shared" si="49"/>
        <v>0-2</v>
      </c>
    </row>
    <row r="803" spans="1:36" x14ac:dyDescent="0.35">
      <c r="A803">
        <v>802</v>
      </c>
      <c r="B803">
        <v>50</v>
      </c>
      <c r="C803" t="str">
        <f t="shared" si="50"/>
        <v>46-55</v>
      </c>
      <c r="D803" t="s">
        <v>31</v>
      </c>
      <c r="E803" t="s">
        <v>39</v>
      </c>
      <c r="F803" s="3">
        <v>1389</v>
      </c>
      <c r="G803" t="s">
        <v>33</v>
      </c>
      <c r="H803" s="1">
        <v>1</v>
      </c>
      <c r="I803" t="s">
        <v>60</v>
      </c>
      <c r="J803" t="s">
        <v>44</v>
      </c>
      <c r="K803" t="s">
        <v>62</v>
      </c>
      <c r="L803" t="s">
        <v>41</v>
      </c>
      <c r="M803" s="3">
        <v>81</v>
      </c>
      <c r="N803" t="s">
        <v>60</v>
      </c>
      <c r="O803" t="s">
        <v>61</v>
      </c>
      <c r="P803" t="s">
        <v>36</v>
      </c>
      <c r="Q803" t="s">
        <v>60</v>
      </c>
      <c r="R803" t="s">
        <v>37</v>
      </c>
      <c r="S803" s="3">
        <v>4728</v>
      </c>
      <c r="T803" s="3">
        <v>17251</v>
      </c>
      <c r="U803" s="3" t="str">
        <f t="shared" si="51"/>
        <v>Low</v>
      </c>
      <c r="V803">
        <v>3</v>
      </c>
      <c r="W803" t="s">
        <v>31</v>
      </c>
      <c r="X803" s="2">
        <v>14</v>
      </c>
      <c r="Y803" t="s">
        <v>60</v>
      </c>
      <c r="Z803" t="s">
        <v>62</v>
      </c>
      <c r="AA803">
        <v>0</v>
      </c>
      <c r="AB803">
        <v>5</v>
      </c>
      <c r="AC803">
        <v>4</v>
      </c>
      <c r="AD803">
        <v>3</v>
      </c>
      <c r="AE803">
        <v>0</v>
      </c>
      <c r="AF803">
        <v>0</v>
      </c>
      <c r="AG803">
        <v>0</v>
      </c>
      <c r="AH803">
        <v>0</v>
      </c>
      <c r="AI803" t="str">
        <f t="shared" si="48"/>
        <v>0-2 Years</v>
      </c>
      <c r="AJ803" t="str">
        <f t="shared" si="49"/>
        <v>0-2</v>
      </c>
    </row>
    <row r="804" spans="1:36" x14ac:dyDescent="0.35">
      <c r="A804">
        <v>803</v>
      </c>
      <c r="B804">
        <v>33</v>
      </c>
      <c r="C804" t="str">
        <f t="shared" si="50"/>
        <v>26-35</v>
      </c>
      <c r="D804" t="s">
        <v>38</v>
      </c>
      <c r="E804" t="s">
        <v>39</v>
      </c>
      <c r="F804" s="3">
        <v>1389</v>
      </c>
      <c r="G804" t="s">
        <v>33</v>
      </c>
      <c r="H804" s="1">
        <v>7</v>
      </c>
      <c r="I804" t="s">
        <v>61</v>
      </c>
      <c r="J804" t="s">
        <v>34</v>
      </c>
      <c r="K804" t="s">
        <v>62</v>
      </c>
      <c r="L804" t="s">
        <v>35</v>
      </c>
      <c r="M804" s="3">
        <v>30</v>
      </c>
      <c r="N804" t="s">
        <v>60</v>
      </c>
      <c r="O804" t="s">
        <v>61</v>
      </c>
      <c r="P804" t="s">
        <v>36</v>
      </c>
      <c r="Q804" t="s">
        <v>61</v>
      </c>
      <c r="R804" t="s">
        <v>43</v>
      </c>
      <c r="S804" s="3">
        <v>4302</v>
      </c>
      <c r="T804" s="3">
        <v>13401</v>
      </c>
      <c r="U804" s="3" t="str">
        <f t="shared" si="51"/>
        <v>Low</v>
      </c>
      <c r="V804">
        <v>0</v>
      </c>
      <c r="W804" t="s">
        <v>38</v>
      </c>
      <c r="X804" s="2">
        <v>17</v>
      </c>
      <c r="Y804" t="s">
        <v>60</v>
      </c>
      <c r="Z804" t="s">
        <v>60</v>
      </c>
      <c r="AA804">
        <v>1</v>
      </c>
      <c r="AB804">
        <v>4</v>
      </c>
      <c r="AC804">
        <v>3</v>
      </c>
      <c r="AD804">
        <v>3</v>
      </c>
      <c r="AE804">
        <v>3</v>
      </c>
      <c r="AF804">
        <v>2</v>
      </c>
      <c r="AG804">
        <v>0</v>
      </c>
      <c r="AH804">
        <v>2</v>
      </c>
      <c r="AI804" t="str">
        <f t="shared" si="48"/>
        <v>3-5 Years</v>
      </c>
      <c r="AJ804" t="str">
        <f t="shared" si="49"/>
        <v>0-2</v>
      </c>
    </row>
    <row r="805" spans="1:36" x14ac:dyDescent="0.35">
      <c r="A805">
        <v>804</v>
      </c>
      <c r="B805">
        <v>34</v>
      </c>
      <c r="C805" t="str">
        <f t="shared" si="50"/>
        <v>26-35</v>
      </c>
      <c r="D805" t="s">
        <v>38</v>
      </c>
      <c r="E805" t="s">
        <v>50</v>
      </c>
      <c r="F805" s="3">
        <v>1389</v>
      </c>
      <c r="G805" t="s">
        <v>40</v>
      </c>
      <c r="H805" s="1">
        <v>3</v>
      </c>
      <c r="I805" t="s">
        <v>60</v>
      </c>
      <c r="J805" t="s">
        <v>34</v>
      </c>
      <c r="K805" t="s">
        <v>60</v>
      </c>
      <c r="L805" t="s">
        <v>41</v>
      </c>
      <c r="M805" s="3">
        <v>40</v>
      </c>
      <c r="N805" t="s">
        <v>61</v>
      </c>
      <c r="O805" t="s">
        <v>59</v>
      </c>
      <c r="P805" t="s">
        <v>42</v>
      </c>
      <c r="Q805" t="s">
        <v>62</v>
      </c>
      <c r="R805" t="s">
        <v>43</v>
      </c>
      <c r="S805" s="3">
        <v>2979</v>
      </c>
      <c r="T805" s="3">
        <v>22478</v>
      </c>
      <c r="U805" s="3" t="str">
        <f t="shared" si="51"/>
        <v>Low</v>
      </c>
      <c r="V805">
        <v>3</v>
      </c>
      <c r="W805" t="s">
        <v>38</v>
      </c>
      <c r="X805" s="2">
        <v>17</v>
      </c>
      <c r="Y805" t="s">
        <v>60</v>
      </c>
      <c r="Z805" t="s">
        <v>62</v>
      </c>
      <c r="AA805">
        <v>3</v>
      </c>
      <c r="AB805">
        <v>6</v>
      </c>
      <c r="AC805">
        <v>2</v>
      </c>
      <c r="AD805">
        <v>3</v>
      </c>
      <c r="AE805">
        <v>0</v>
      </c>
      <c r="AF805">
        <v>0</v>
      </c>
      <c r="AG805">
        <v>0</v>
      </c>
      <c r="AH805">
        <v>0</v>
      </c>
      <c r="AI805" t="str">
        <f t="shared" si="48"/>
        <v>0-2 Years</v>
      </c>
      <c r="AJ805" t="str">
        <f t="shared" si="49"/>
        <v>0-2</v>
      </c>
    </row>
    <row r="806" spans="1:36" x14ac:dyDescent="0.35">
      <c r="A806">
        <v>805</v>
      </c>
      <c r="B806">
        <v>48</v>
      </c>
      <c r="C806" t="str">
        <f t="shared" si="50"/>
        <v>46-55</v>
      </c>
      <c r="D806" t="s">
        <v>38</v>
      </c>
      <c r="E806" t="s">
        <v>50</v>
      </c>
      <c r="F806" s="3">
        <v>1389</v>
      </c>
      <c r="G806" t="s">
        <v>40</v>
      </c>
      <c r="H806" s="1">
        <v>1</v>
      </c>
      <c r="I806" t="s">
        <v>60</v>
      </c>
      <c r="J806" t="s">
        <v>46</v>
      </c>
      <c r="K806" t="s">
        <v>59</v>
      </c>
      <c r="L806" t="s">
        <v>41</v>
      </c>
      <c r="M806" s="3">
        <v>35</v>
      </c>
      <c r="N806" t="s">
        <v>62</v>
      </c>
      <c r="O806" t="s">
        <v>62</v>
      </c>
      <c r="P806" t="s">
        <v>51</v>
      </c>
      <c r="Q806" t="s">
        <v>62</v>
      </c>
      <c r="R806" t="s">
        <v>37</v>
      </c>
      <c r="S806" s="3">
        <v>16885</v>
      </c>
      <c r="T806" s="3">
        <v>16154</v>
      </c>
      <c r="U806" s="3" t="str">
        <f t="shared" si="51"/>
        <v>High</v>
      </c>
      <c r="V806">
        <v>2</v>
      </c>
      <c r="W806" t="s">
        <v>38</v>
      </c>
      <c r="X806" s="2">
        <v>22</v>
      </c>
      <c r="Y806" t="s">
        <v>62</v>
      </c>
      <c r="Z806" t="s">
        <v>60</v>
      </c>
      <c r="AA806">
        <v>0</v>
      </c>
      <c r="AB806">
        <v>27</v>
      </c>
      <c r="AC806">
        <v>3</v>
      </c>
      <c r="AD806">
        <v>2</v>
      </c>
      <c r="AE806">
        <v>5</v>
      </c>
      <c r="AF806">
        <v>4</v>
      </c>
      <c r="AG806">
        <v>2</v>
      </c>
      <c r="AH806">
        <v>1</v>
      </c>
      <c r="AI806" t="str">
        <f t="shared" si="48"/>
        <v>3-5 Years</v>
      </c>
      <c r="AJ806" t="str">
        <f t="shared" si="49"/>
        <v>0-2</v>
      </c>
    </row>
    <row r="807" spans="1:36" x14ac:dyDescent="0.35">
      <c r="A807">
        <v>806</v>
      </c>
      <c r="B807">
        <v>45</v>
      </c>
      <c r="C807" t="str">
        <f t="shared" si="50"/>
        <v>36-45</v>
      </c>
      <c r="D807" t="s">
        <v>38</v>
      </c>
      <c r="E807" t="s">
        <v>50</v>
      </c>
      <c r="F807" s="3">
        <v>1389</v>
      </c>
      <c r="G807" t="s">
        <v>33</v>
      </c>
      <c r="H807" s="1">
        <v>9</v>
      </c>
      <c r="I807" t="s">
        <v>60</v>
      </c>
      <c r="J807" t="s">
        <v>34</v>
      </c>
      <c r="K807" t="s">
        <v>61</v>
      </c>
      <c r="L807" t="s">
        <v>35</v>
      </c>
      <c r="M807" s="3">
        <v>65</v>
      </c>
      <c r="N807" t="s">
        <v>61</v>
      </c>
      <c r="O807" t="s">
        <v>61</v>
      </c>
      <c r="P807" t="s">
        <v>36</v>
      </c>
      <c r="Q807" t="s">
        <v>60</v>
      </c>
      <c r="R807" t="s">
        <v>43</v>
      </c>
      <c r="S807" s="3">
        <v>5593</v>
      </c>
      <c r="T807" s="3">
        <v>17970</v>
      </c>
      <c r="U807" s="3" t="str">
        <f t="shared" si="51"/>
        <v>Medium</v>
      </c>
      <c r="V807">
        <v>1</v>
      </c>
      <c r="W807" t="s">
        <v>38</v>
      </c>
      <c r="X807" s="2">
        <v>13</v>
      </c>
      <c r="Y807" t="s">
        <v>60</v>
      </c>
      <c r="Z807" t="s">
        <v>62</v>
      </c>
      <c r="AA807">
        <v>1</v>
      </c>
      <c r="AB807">
        <v>15</v>
      </c>
      <c r="AC807">
        <v>2</v>
      </c>
      <c r="AD807">
        <v>3</v>
      </c>
      <c r="AE807">
        <v>15</v>
      </c>
      <c r="AF807">
        <v>10</v>
      </c>
      <c r="AG807">
        <v>4</v>
      </c>
      <c r="AH807">
        <v>12</v>
      </c>
      <c r="AI807" t="str">
        <f t="shared" si="48"/>
        <v>10+ Years</v>
      </c>
      <c r="AJ807" t="str">
        <f t="shared" si="49"/>
        <v>3-5</v>
      </c>
    </row>
    <row r="808" spans="1:36" x14ac:dyDescent="0.35">
      <c r="A808">
        <v>807</v>
      </c>
      <c r="B808">
        <v>52</v>
      </c>
      <c r="C808" t="str">
        <f t="shared" si="50"/>
        <v>46-55</v>
      </c>
      <c r="D808" t="s">
        <v>38</v>
      </c>
      <c r="E808" t="s">
        <v>32</v>
      </c>
      <c r="F808" s="3">
        <v>1389</v>
      </c>
      <c r="G808" t="s">
        <v>40</v>
      </c>
      <c r="H808" s="1">
        <v>7</v>
      </c>
      <c r="I808" t="s">
        <v>60</v>
      </c>
      <c r="J808" t="s">
        <v>34</v>
      </c>
      <c r="K808" t="s">
        <v>61</v>
      </c>
      <c r="L808" t="s">
        <v>41</v>
      </c>
      <c r="M808" s="3">
        <v>87</v>
      </c>
      <c r="N808" t="s">
        <v>60</v>
      </c>
      <c r="O808" t="s">
        <v>60</v>
      </c>
      <c r="P808" t="s">
        <v>49</v>
      </c>
      <c r="Q808" t="s">
        <v>61</v>
      </c>
      <c r="R808" t="s">
        <v>37</v>
      </c>
      <c r="S808" s="3">
        <v>10445</v>
      </c>
      <c r="T808" s="3">
        <v>15322</v>
      </c>
      <c r="U808" s="3" t="str">
        <f t="shared" si="51"/>
        <v>High</v>
      </c>
      <c r="V808">
        <v>7</v>
      </c>
      <c r="W808" t="s">
        <v>38</v>
      </c>
      <c r="X808" s="2">
        <v>19</v>
      </c>
      <c r="Y808" t="s">
        <v>60</v>
      </c>
      <c r="Z808" t="s">
        <v>62</v>
      </c>
      <c r="AA808">
        <v>0</v>
      </c>
      <c r="AB808">
        <v>18</v>
      </c>
      <c r="AC808">
        <v>4</v>
      </c>
      <c r="AD808">
        <v>3</v>
      </c>
      <c r="AE808">
        <v>8</v>
      </c>
      <c r="AF808">
        <v>6</v>
      </c>
      <c r="AG808">
        <v>4</v>
      </c>
      <c r="AH808">
        <v>0</v>
      </c>
      <c r="AI808" t="str">
        <f t="shared" si="48"/>
        <v>6-10 Years</v>
      </c>
      <c r="AJ808" t="str">
        <f t="shared" si="49"/>
        <v>3-5</v>
      </c>
    </row>
    <row r="809" spans="1:36" x14ac:dyDescent="0.35">
      <c r="A809">
        <v>808</v>
      </c>
      <c r="B809">
        <v>38</v>
      </c>
      <c r="C809" t="str">
        <f t="shared" si="50"/>
        <v>36-45</v>
      </c>
      <c r="D809" t="s">
        <v>38</v>
      </c>
      <c r="E809" t="s">
        <v>32</v>
      </c>
      <c r="F809" s="3">
        <v>1389</v>
      </c>
      <c r="G809" t="s">
        <v>33</v>
      </c>
      <c r="H809" s="1">
        <v>10</v>
      </c>
      <c r="I809" t="s">
        <v>60</v>
      </c>
      <c r="J809" t="s">
        <v>54</v>
      </c>
      <c r="K809" t="s">
        <v>60</v>
      </c>
      <c r="L809" t="s">
        <v>41</v>
      </c>
      <c r="M809" s="3">
        <v>73</v>
      </c>
      <c r="N809" t="s">
        <v>61</v>
      </c>
      <c r="O809" t="s">
        <v>60</v>
      </c>
      <c r="P809" t="s">
        <v>36</v>
      </c>
      <c r="Q809" t="s">
        <v>60</v>
      </c>
      <c r="R809" t="s">
        <v>47</v>
      </c>
      <c r="S809" s="3">
        <v>8740</v>
      </c>
      <c r="T809" s="3">
        <v>5569</v>
      </c>
      <c r="U809" s="3" t="str">
        <f t="shared" si="51"/>
        <v>Medium</v>
      </c>
      <c r="V809">
        <v>0</v>
      </c>
      <c r="W809" t="s">
        <v>31</v>
      </c>
      <c r="X809" s="2">
        <v>14</v>
      </c>
      <c r="Y809" t="s">
        <v>60</v>
      </c>
      <c r="Z809" t="s">
        <v>61</v>
      </c>
      <c r="AA809">
        <v>2</v>
      </c>
      <c r="AB809">
        <v>9</v>
      </c>
      <c r="AC809">
        <v>2</v>
      </c>
      <c r="AD809">
        <v>3</v>
      </c>
      <c r="AE809">
        <v>8</v>
      </c>
      <c r="AF809">
        <v>7</v>
      </c>
      <c r="AG809">
        <v>2</v>
      </c>
      <c r="AH809">
        <v>7</v>
      </c>
      <c r="AI809" t="str">
        <f t="shared" si="48"/>
        <v>6-10 Years</v>
      </c>
      <c r="AJ809" t="str">
        <f t="shared" si="49"/>
        <v>0-2</v>
      </c>
    </row>
    <row r="810" spans="1:36" x14ac:dyDescent="0.35">
      <c r="A810">
        <v>809</v>
      </c>
      <c r="B810">
        <v>29</v>
      </c>
      <c r="C810" t="str">
        <f t="shared" si="50"/>
        <v>26-35</v>
      </c>
      <c r="D810" t="s">
        <v>38</v>
      </c>
      <c r="E810" t="s">
        <v>32</v>
      </c>
      <c r="F810" s="3">
        <v>1389</v>
      </c>
      <c r="G810" t="s">
        <v>40</v>
      </c>
      <c r="H810" s="1">
        <v>28</v>
      </c>
      <c r="I810" t="s">
        <v>60</v>
      </c>
      <c r="J810" t="s">
        <v>34</v>
      </c>
      <c r="K810" t="s">
        <v>60</v>
      </c>
      <c r="L810" t="s">
        <v>35</v>
      </c>
      <c r="M810" s="3">
        <v>93</v>
      </c>
      <c r="N810" t="s">
        <v>60</v>
      </c>
      <c r="O810" t="s">
        <v>59</v>
      </c>
      <c r="P810" t="s">
        <v>42</v>
      </c>
      <c r="Q810" t="s">
        <v>62</v>
      </c>
      <c r="R810" t="s">
        <v>47</v>
      </c>
      <c r="S810" s="3">
        <v>2514</v>
      </c>
      <c r="T810" s="3">
        <v>26968</v>
      </c>
      <c r="U810" s="3" t="str">
        <f t="shared" si="51"/>
        <v>Low</v>
      </c>
      <c r="V810">
        <v>4</v>
      </c>
      <c r="W810" t="s">
        <v>38</v>
      </c>
      <c r="X810" s="2">
        <v>22</v>
      </c>
      <c r="Y810" t="s">
        <v>62</v>
      </c>
      <c r="Z810" t="s">
        <v>59</v>
      </c>
      <c r="AA810">
        <v>1</v>
      </c>
      <c r="AB810">
        <v>11</v>
      </c>
      <c r="AC810">
        <v>1</v>
      </c>
      <c r="AD810">
        <v>3</v>
      </c>
      <c r="AE810">
        <v>7</v>
      </c>
      <c r="AF810">
        <v>5</v>
      </c>
      <c r="AG810">
        <v>1</v>
      </c>
      <c r="AH810">
        <v>7</v>
      </c>
      <c r="AI810" t="str">
        <f t="shared" si="48"/>
        <v>6-10 Years</v>
      </c>
      <c r="AJ810" t="str">
        <f t="shared" si="49"/>
        <v>0-2</v>
      </c>
    </row>
    <row r="811" spans="1:36" x14ac:dyDescent="0.35">
      <c r="A811">
        <v>810</v>
      </c>
      <c r="B811">
        <v>28</v>
      </c>
      <c r="C811" t="str">
        <f t="shared" si="50"/>
        <v>26-35</v>
      </c>
      <c r="D811" t="s">
        <v>38</v>
      </c>
      <c r="E811" t="s">
        <v>32</v>
      </c>
      <c r="F811" s="3">
        <v>1389</v>
      </c>
      <c r="G811" t="s">
        <v>40</v>
      </c>
      <c r="H811" s="1">
        <v>3</v>
      </c>
      <c r="I811" t="s">
        <v>61</v>
      </c>
      <c r="J811" t="s">
        <v>46</v>
      </c>
      <c r="K811" t="s">
        <v>62</v>
      </c>
      <c r="L811" t="s">
        <v>35</v>
      </c>
      <c r="M811" s="3">
        <v>93</v>
      </c>
      <c r="N811" t="s">
        <v>60</v>
      </c>
      <c r="O811" t="s">
        <v>60</v>
      </c>
      <c r="P811" t="s">
        <v>48</v>
      </c>
      <c r="Q811" t="s">
        <v>61</v>
      </c>
      <c r="R811" t="s">
        <v>47</v>
      </c>
      <c r="S811" s="3">
        <v>7655</v>
      </c>
      <c r="T811" s="3">
        <v>8039</v>
      </c>
      <c r="U811" s="3" t="str">
        <f t="shared" si="51"/>
        <v>Medium</v>
      </c>
      <c r="V811">
        <v>0</v>
      </c>
      <c r="W811" t="s">
        <v>38</v>
      </c>
      <c r="X811" s="2">
        <v>17</v>
      </c>
      <c r="Y811" t="s">
        <v>60</v>
      </c>
      <c r="Z811" t="s">
        <v>61</v>
      </c>
      <c r="AA811">
        <v>3</v>
      </c>
      <c r="AB811">
        <v>10</v>
      </c>
      <c r="AC811">
        <v>3</v>
      </c>
      <c r="AD811">
        <v>2</v>
      </c>
      <c r="AE811">
        <v>9</v>
      </c>
      <c r="AF811">
        <v>7</v>
      </c>
      <c r="AG811">
        <v>1</v>
      </c>
      <c r="AH811">
        <v>7</v>
      </c>
      <c r="AI811" t="str">
        <f t="shared" si="48"/>
        <v>6-10 Years</v>
      </c>
      <c r="AJ811" t="str">
        <f t="shared" si="49"/>
        <v>0-2</v>
      </c>
    </row>
    <row r="812" spans="1:36" x14ac:dyDescent="0.35">
      <c r="A812">
        <v>811</v>
      </c>
      <c r="B812">
        <v>46</v>
      </c>
      <c r="C812" t="str">
        <f t="shared" si="50"/>
        <v>46-55</v>
      </c>
      <c r="D812" t="s">
        <v>38</v>
      </c>
      <c r="E812" t="s">
        <v>32</v>
      </c>
      <c r="F812" s="3">
        <v>1389</v>
      </c>
      <c r="G812" t="s">
        <v>33</v>
      </c>
      <c r="H812" s="1">
        <v>3</v>
      </c>
      <c r="I812" t="s">
        <v>59</v>
      </c>
      <c r="J812" t="s">
        <v>54</v>
      </c>
      <c r="K812" t="s">
        <v>59</v>
      </c>
      <c r="L812" t="s">
        <v>41</v>
      </c>
      <c r="M812" s="3">
        <v>52</v>
      </c>
      <c r="N812" t="s">
        <v>60</v>
      </c>
      <c r="O812" t="s">
        <v>62</v>
      </c>
      <c r="P812" t="s">
        <v>51</v>
      </c>
      <c r="Q812" t="s">
        <v>60</v>
      </c>
      <c r="R812" t="s">
        <v>43</v>
      </c>
      <c r="S812" s="3">
        <v>17465</v>
      </c>
      <c r="T812" s="3">
        <v>15596</v>
      </c>
      <c r="U812" s="3" t="str">
        <f t="shared" si="51"/>
        <v>High</v>
      </c>
      <c r="V812">
        <v>3</v>
      </c>
      <c r="W812" t="s">
        <v>38</v>
      </c>
      <c r="X812" s="2">
        <v>12</v>
      </c>
      <c r="Y812" t="s">
        <v>60</v>
      </c>
      <c r="Z812" t="s">
        <v>62</v>
      </c>
      <c r="AA812">
        <v>1</v>
      </c>
      <c r="AB812">
        <v>23</v>
      </c>
      <c r="AC812">
        <v>3</v>
      </c>
      <c r="AD812">
        <v>3</v>
      </c>
      <c r="AE812">
        <v>12</v>
      </c>
      <c r="AF812">
        <v>9</v>
      </c>
      <c r="AG812">
        <v>4</v>
      </c>
      <c r="AH812">
        <v>9</v>
      </c>
      <c r="AI812" t="str">
        <f t="shared" si="48"/>
        <v>10+ Years</v>
      </c>
      <c r="AJ812" t="str">
        <f t="shared" si="49"/>
        <v>3-5</v>
      </c>
    </row>
    <row r="813" spans="1:36" x14ac:dyDescent="0.35">
      <c r="A813">
        <v>812</v>
      </c>
      <c r="B813">
        <v>38</v>
      </c>
      <c r="C813" t="str">
        <f t="shared" si="50"/>
        <v>36-45</v>
      </c>
      <c r="D813" t="s">
        <v>38</v>
      </c>
      <c r="E813" t="s">
        <v>32</v>
      </c>
      <c r="F813" s="3">
        <v>1389</v>
      </c>
      <c r="G813" t="s">
        <v>33</v>
      </c>
      <c r="H813" s="1">
        <v>2</v>
      </c>
      <c r="I813" t="s">
        <v>58</v>
      </c>
      <c r="J813" t="s">
        <v>54</v>
      </c>
      <c r="K813" t="s">
        <v>62</v>
      </c>
      <c r="L813" t="s">
        <v>41</v>
      </c>
      <c r="M813" s="3">
        <v>32</v>
      </c>
      <c r="N813" t="s">
        <v>60</v>
      </c>
      <c r="O813" t="s">
        <v>60</v>
      </c>
      <c r="P813" t="s">
        <v>36</v>
      </c>
      <c r="Q813" t="s">
        <v>61</v>
      </c>
      <c r="R813" t="s">
        <v>37</v>
      </c>
      <c r="S813" s="3">
        <v>7351</v>
      </c>
      <c r="T813" s="3">
        <v>20619</v>
      </c>
      <c r="U813" s="3" t="str">
        <f t="shared" si="51"/>
        <v>Medium</v>
      </c>
      <c r="V813">
        <v>7</v>
      </c>
      <c r="W813" t="s">
        <v>38</v>
      </c>
      <c r="X813" s="2">
        <v>16</v>
      </c>
      <c r="Y813" t="s">
        <v>60</v>
      </c>
      <c r="Z813" t="s">
        <v>60</v>
      </c>
      <c r="AA813">
        <v>0</v>
      </c>
      <c r="AB813">
        <v>10</v>
      </c>
      <c r="AC813">
        <v>2</v>
      </c>
      <c r="AD813">
        <v>3</v>
      </c>
      <c r="AE813">
        <v>1</v>
      </c>
      <c r="AF813">
        <v>0</v>
      </c>
      <c r="AG813">
        <v>0</v>
      </c>
      <c r="AH813">
        <v>0</v>
      </c>
      <c r="AI813" t="str">
        <f t="shared" si="48"/>
        <v>0-2 Years</v>
      </c>
      <c r="AJ813" t="str">
        <f t="shared" si="49"/>
        <v>0-2</v>
      </c>
    </row>
    <row r="814" spans="1:36" x14ac:dyDescent="0.35">
      <c r="A814">
        <v>813</v>
      </c>
      <c r="B814">
        <v>43</v>
      </c>
      <c r="C814" t="str">
        <f t="shared" si="50"/>
        <v>36-45</v>
      </c>
      <c r="D814" t="s">
        <v>38</v>
      </c>
      <c r="E814" t="s">
        <v>39</v>
      </c>
      <c r="F814" s="3">
        <v>1389</v>
      </c>
      <c r="G814" t="s">
        <v>40</v>
      </c>
      <c r="H814" s="1">
        <v>27</v>
      </c>
      <c r="I814" t="s">
        <v>61</v>
      </c>
      <c r="J814" t="s">
        <v>34</v>
      </c>
      <c r="K814" t="s">
        <v>60</v>
      </c>
      <c r="L814" t="s">
        <v>35</v>
      </c>
      <c r="M814" s="3">
        <v>83</v>
      </c>
      <c r="N814" t="s">
        <v>60</v>
      </c>
      <c r="O814" t="s">
        <v>60</v>
      </c>
      <c r="P814" t="s">
        <v>48</v>
      </c>
      <c r="Q814" t="s">
        <v>59</v>
      </c>
      <c r="R814" t="s">
        <v>43</v>
      </c>
      <c r="S814" s="3">
        <v>10820</v>
      </c>
      <c r="T814" s="3">
        <v>11535</v>
      </c>
      <c r="U814" s="3" t="str">
        <f t="shared" si="51"/>
        <v>High</v>
      </c>
      <c r="V814">
        <v>8</v>
      </c>
      <c r="W814" t="s">
        <v>38</v>
      </c>
      <c r="X814" s="2">
        <v>11</v>
      </c>
      <c r="Y814" t="s">
        <v>60</v>
      </c>
      <c r="Z814" t="s">
        <v>60</v>
      </c>
      <c r="AA814">
        <v>1</v>
      </c>
      <c r="AB814">
        <v>18</v>
      </c>
      <c r="AC814">
        <v>1</v>
      </c>
      <c r="AD814">
        <v>3</v>
      </c>
      <c r="AE814">
        <v>8</v>
      </c>
      <c r="AF814">
        <v>7</v>
      </c>
      <c r="AG814">
        <v>0</v>
      </c>
      <c r="AH814">
        <v>1</v>
      </c>
      <c r="AI814" t="str">
        <f t="shared" si="48"/>
        <v>6-10 Years</v>
      </c>
      <c r="AJ814" t="str">
        <f t="shared" si="49"/>
        <v>0-2</v>
      </c>
    </row>
    <row r="815" spans="1:36" x14ac:dyDescent="0.35">
      <c r="A815">
        <v>814</v>
      </c>
      <c r="B815">
        <v>39</v>
      </c>
      <c r="C815" t="str">
        <f t="shared" si="50"/>
        <v>36-45</v>
      </c>
      <c r="D815" t="s">
        <v>31</v>
      </c>
      <c r="E815" t="s">
        <v>39</v>
      </c>
      <c r="F815" s="3">
        <v>1389</v>
      </c>
      <c r="G815" t="s">
        <v>40</v>
      </c>
      <c r="H815" s="1">
        <v>2</v>
      </c>
      <c r="I815" t="s">
        <v>61</v>
      </c>
      <c r="J815" t="s">
        <v>34</v>
      </c>
      <c r="K815" t="s">
        <v>59</v>
      </c>
      <c r="L815" t="s">
        <v>41</v>
      </c>
      <c r="M815" s="3">
        <v>84</v>
      </c>
      <c r="N815" t="s">
        <v>60</v>
      </c>
      <c r="O815" t="s">
        <v>62</v>
      </c>
      <c r="P815" t="s">
        <v>49</v>
      </c>
      <c r="Q815" t="s">
        <v>62</v>
      </c>
      <c r="R815" t="s">
        <v>47</v>
      </c>
      <c r="S815" s="3">
        <v>12169</v>
      </c>
      <c r="T815" s="3">
        <v>13547</v>
      </c>
      <c r="U815" s="3" t="str">
        <f t="shared" si="51"/>
        <v>High</v>
      </c>
      <c r="V815">
        <v>7</v>
      </c>
      <c r="W815" t="s">
        <v>38</v>
      </c>
      <c r="X815" s="2">
        <v>11</v>
      </c>
      <c r="Y815" t="s">
        <v>60</v>
      </c>
      <c r="Z815" t="s">
        <v>62</v>
      </c>
      <c r="AA815">
        <v>3</v>
      </c>
      <c r="AB815">
        <v>21</v>
      </c>
      <c r="AC815">
        <v>4</v>
      </c>
      <c r="AD815">
        <v>3</v>
      </c>
      <c r="AE815">
        <v>18</v>
      </c>
      <c r="AF815">
        <v>7</v>
      </c>
      <c r="AG815">
        <v>11</v>
      </c>
      <c r="AH815">
        <v>5</v>
      </c>
      <c r="AI815" t="str">
        <f t="shared" si="48"/>
        <v>10+ Years</v>
      </c>
      <c r="AJ815" t="str">
        <f t="shared" si="49"/>
        <v>6+</v>
      </c>
    </row>
    <row r="816" spans="1:36" x14ac:dyDescent="0.35">
      <c r="A816">
        <v>815</v>
      </c>
      <c r="B816">
        <v>40</v>
      </c>
      <c r="C816" t="str">
        <f t="shared" si="50"/>
        <v>36-45</v>
      </c>
      <c r="D816" t="s">
        <v>38</v>
      </c>
      <c r="E816" t="s">
        <v>32</v>
      </c>
      <c r="F816" s="3">
        <v>1389</v>
      </c>
      <c r="G816" t="s">
        <v>40</v>
      </c>
      <c r="H816" s="1">
        <v>14</v>
      </c>
      <c r="I816" t="s">
        <v>61</v>
      </c>
      <c r="J816" t="s">
        <v>46</v>
      </c>
      <c r="K816" t="s">
        <v>60</v>
      </c>
      <c r="L816" t="s">
        <v>41</v>
      </c>
      <c r="M816" s="3">
        <v>44</v>
      </c>
      <c r="N816" t="s">
        <v>61</v>
      </c>
      <c r="O816" t="e">
        <v>#N/A</v>
      </c>
      <c r="P816" t="s">
        <v>53</v>
      </c>
      <c r="Q816" t="s">
        <v>60</v>
      </c>
      <c r="R816" t="s">
        <v>37</v>
      </c>
      <c r="S816" s="3">
        <v>19626</v>
      </c>
      <c r="T816" s="3">
        <v>17544</v>
      </c>
      <c r="U816" s="3" t="str">
        <f t="shared" si="51"/>
        <v>High</v>
      </c>
      <c r="V816">
        <v>1</v>
      </c>
      <c r="W816" t="s">
        <v>38</v>
      </c>
      <c r="X816" s="2">
        <v>14</v>
      </c>
      <c r="Y816" t="s">
        <v>60</v>
      </c>
      <c r="Z816" t="s">
        <v>59</v>
      </c>
      <c r="AA816">
        <v>0</v>
      </c>
      <c r="AB816">
        <v>21</v>
      </c>
      <c r="AC816">
        <v>2</v>
      </c>
      <c r="AD816">
        <v>4</v>
      </c>
      <c r="AE816">
        <v>20</v>
      </c>
      <c r="AF816">
        <v>7</v>
      </c>
      <c r="AG816">
        <v>4</v>
      </c>
      <c r="AH816">
        <v>9</v>
      </c>
      <c r="AI816" t="str">
        <f t="shared" si="48"/>
        <v>10+ Years</v>
      </c>
      <c r="AJ816" t="str">
        <f t="shared" si="49"/>
        <v>3-5</v>
      </c>
    </row>
    <row r="817" spans="1:36" x14ac:dyDescent="0.35">
      <c r="A817">
        <v>816</v>
      </c>
      <c r="B817">
        <v>21</v>
      </c>
      <c r="C817" t="str">
        <f t="shared" si="50"/>
        <v>18-25</v>
      </c>
      <c r="D817" t="s">
        <v>38</v>
      </c>
      <c r="E817" t="s">
        <v>32</v>
      </c>
      <c r="F817" s="3">
        <v>1389</v>
      </c>
      <c r="G817" t="s">
        <v>40</v>
      </c>
      <c r="H817" s="1">
        <v>1</v>
      </c>
      <c r="I817" t="s">
        <v>59</v>
      </c>
      <c r="J817" t="s">
        <v>55</v>
      </c>
      <c r="K817" t="s">
        <v>62</v>
      </c>
      <c r="L817" t="s">
        <v>35</v>
      </c>
      <c r="M817" s="3">
        <v>70</v>
      </c>
      <c r="N817" t="s">
        <v>61</v>
      </c>
      <c r="O817" t="s">
        <v>59</v>
      </c>
      <c r="P817" t="s">
        <v>42</v>
      </c>
      <c r="Q817" t="s">
        <v>61</v>
      </c>
      <c r="R817" t="s">
        <v>37</v>
      </c>
      <c r="S817" s="3">
        <v>2070</v>
      </c>
      <c r="T817" s="3">
        <v>25326</v>
      </c>
      <c r="U817" s="3" t="str">
        <f t="shared" si="51"/>
        <v>Low</v>
      </c>
      <c r="V817">
        <v>1</v>
      </c>
      <c r="W817" t="s">
        <v>31</v>
      </c>
      <c r="X817" s="2">
        <v>11</v>
      </c>
      <c r="Y817" t="s">
        <v>60</v>
      </c>
      <c r="Z817" t="s">
        <v>60</v>
      </c>
      <c r="AA817">
        <v>0</v>
      </c>
      <c r="AB817">
        <v>2</v>
      </c>
      <c r="AC817">
        <v>6</v>
      </c>
      <c r="AD817">
        <v>4</v>
      </c>
      <c r="AE817">
        <v>2</v>
      </c>
      <c r="AF817">
        <v>2</v>
      </c>
      <c r="AG817">
        <v>2</v>
      </c>
      <c r="AH817">
        <v>2</v>
      </c>
      <c r="AI817" t="str">
        <f t="shared" si="48"/>
        <v>0-2 Years</v>
      </c>
      <c r="AJ817" t="str">
        <f t="shared" si="49"/>
        <v>0-2</v>
      </c>
    </row>
    <row r="818" spans="1:36" x14ac:dyDescent="0.35">
      <c r="A818">
        <v>817</v>
      </c>
      <c r="B818">
        <v>39</v>
      </c>
      <c r="C818" t="str">
        <f t="shared" si="50"/>
        <v>36-45</v>
      </c>
      <c r="D818" t="s">
        <v>38</v>
      </c>
      <c r="E818" t="s">
        <v>50</v>
      </c>
      <c r="F818" s="3">
        <v>1389</v>
      </c>
      <c r="G818" t="s">
        <v>40</v>
      </c>
      <c r="H818" s="1">
        <v>9</v>
      </c>
      <c r="I818" t="s">
        <v>61</v>
      </c>
      <c r="J818" t="s">
        <v>34</v>
      </c>
      <c r="K818" t="s">
        <v>60</v>
      </c>
      <c r="L818" t="s">
        <v>41</v>
      </c>
      <c r="M818" s="3">
        <v>70</v>
      </c>
      <c r="N818" t="s">
        <v>60</v>
      </c>
      <c r="O818" t="s">
        <v>61</v>
      </c>
      <c r="P818" t="s">
        <v>45</v>
      </c>
      <c r="Q818" t="s">
        <v>61</v>
      </c>
      <c r="R818" t="s">
        <v>37</v>
      </c>
      <c r="S818" s="3">
        <v>6782</v>
      </c>
      <c r="T818" s="3">
        <v>8770</v>
      </c>
      <c r="U818" s="3" t="str">
        <f t="shared" si="51"/>
        <v>Medium</v>
      </c>
      <c r="V818">
        <v>9</v>
      </c>
      <c r="W818" t="s">
        <v>38</v>
      </c>
      <c r="X818" s="2">
        <v>15</v>
      </c>
      <c r="Y818" t="s">
        <v>60</v>
      </c>
      <c r="Z818" t="s">
        <v>60</v>
      </c>
      <c r="AA818">
        <v>0</v>
      </c>
      <c r="AB818">
        <v>9</v>
      </c>
      <c r="AC818">
        <v>2</v>
      </c>
      <c r="AD818">
        <v>2</v>
      </c>
      <c r="AE818">
        <v>5</v>
      </c>
      <c r="AF818">
        <v>4</v>
      </c>
      <c r="AG818">
        <v>0</v>
      </c>
      <c r="AH818">
        <v>3</v>
      </c>
      <c r="AI818" t="str">
        <f t="shared" si="48"/>
        <v>3-5 Years</v>
      </c>
      <c r="AJ818" t="str">
        <f t="shared" si="49"/>
        <v>0-2</v>
      </c>
    </row>
    <row r="819" spans="1:36" x14ac:dyDescent="0.35">
      <c r="A819">
        <v>818</v>
      </c>
      <c r="B819">
        <v>36</v>
      </c>
      <c r="C819" t="str">
        <f t="shared" si="50"/>
        <v>36-45</v>
      </c>
      <c r="D819" t="s">
        <v>38</v>
      </c>
      <c r="E819" t="s">
        <v>50</v>
      </c>
      <c r="F819" s="3">
        <v>1389</v>
      </c>
      <c r="G819" t="s">
        <v>40</v>
      </c>
      <c r="H819" s="1">
        <v>18</v>
      </c>
      <c r="I819" t="s">
        <v>60</v>
      </c>
      <c r="J819" t="s">
        <v>34</v>
      </c>
      <c r="K819" t="s">
        <v>59</v>
      </c>
      <c r="L819" t="s">
        <v>41</v>
      </c>
      <c r="M819" s="3">
        <v>78</v>
      </c>
      <c r="N819" t="s">
        <v>60</v>
      </c>
      <c r="O819" t="s">
        <v>61</v>
      </c>
      <c r="P819" t="s">
        <v>48</v>
      </c>
      <c r="Q819" t="s">
        <v>62</v>
      </c>
      <c r="R819" t="s">
        <v>37</v>
      </c>
      <c r="S819" s="3">
        <v>7779</v>
      </c>
      <c r="T819" s="3">
        <v>23238</v>
      </c>
      <c r="U819" s="3" t="str">
        <f t="shared" si="51"/>
        <v>Medium</v>
      </c>
      <c r="V819">
        <v>2</v>
      </c>
      <c r="W819" t="s">
        <v>38</v>
      </c>
      <c r="X819" s="2">
        <v>20</v>
      </c>
      <c r="Y819" t="s">
        <v>62</v>
      </c>
      <c r="Z819" t="s">
        <v>59</v>
      </c>
      <c r="AA819">
        <v>0</v>
      </c>
      <c r="AB819">
        <v>18</v>
      </c>
      <c r="AC819">
        <v>0</v>
      </c>
      <c r="AD819">
        <v>3</v>
      </c>
      <c r="AE819">
        <v>11</v>
      </c>
      <c r="AF819">
        <v>9</v>
      </c>
      <c r="AG819">
        <v>0</v>
      </c>
      <c r="AH819">
        <v>9</v>
      </c>
      <c r="AI819" t="str">
        <f t="shared" si="48"/>
        <v>10+ Years</v>
      </c>
      <c r="AJ819" t="str">
        <f t="shared" si="49"/>
        <v>0-2</v>
      </c>
    </row>
    <row r="820" spans="1:36" x14ac:dyDescent="0.35">
      <c r="A820">
        <v>819</v>
      </c>
      <c r="B820">
        <v>31</v>
      </c>
      <c r="C820" t="str">
        <f t="shared" si="50"/>
        <v>26-35</v>
      </c>
      <c r="D820" t="s">
        <v>38</v>
      </c>
      <c r="E820" t="s">
        <v>39</v>
      </c>
      <c r="F820" s="3">
        <v>1389</v>
      </c>
      <c r="G820" t="s">
        <v>33</v>
      </c>
      <c r="H820" s="1">
        <v>20</v>
      </c>
      <c r="I820" t="s">
        <v>61</v>
      </c>
      <c r="J820" t="s">
        <v>34</v>
      </c>
      <c r="K820" t="s">
        <v>60</v>
      </c>
      <c r="L820" t="s">
        <v>41</v>
      </c>
      <c r="M820" s="3">
        <v>67</v>
      </c>
      <c r="N820" t="s">
        <v>62</v>
      </c>
      <c r="O820" t="s">
        <v>59</v>
      </c>
      <c r="P820" t="s">
        <v>52</v>
      </c>
      <c r="Q820" t="s">
        <v>62</v>
      </c>
      <c r="R820" t="s">
        <v>43</v>
      </c>
      <c r="S820" s="3">
        <v>2791</v>
      </c>
      <c r="T820" s="3">
        <v>21981</v>
      </c>
      <c r="U820" s="3" t="str">
        <f t="shared" si="51"/>
        <v>Low</v>
      </c>
      <c r="V820">
        <v>0</v>
      </c>
      <c r="W820" t="s">
        <v>38</v>
      </c>
      <c r="X820" s="2">
        <v>12</v>
      </c>
      <c r="Y820" t="s">
        <v>60</v>
      </c>
      <c r="Z820" t="s">
        <v>59</v>
      </c>
      <c r="AA820">
        <v>1</v>
      </c>
      <c r="AB820">
        <v>3</v>
      </c>
      <c r="AC820">
        <v>4</v>
      </c>
      <c r="AD820">
        <v>3</v>
      </c>
      <c r="AE820">
        <v>2</v>
      </c>
      <c r="AF820">
        <v>2</v>
      </c>
      <c r="AG820">
        <v>2</v>
      </c>
      <c r="AH820">
        <v>2</v>
      </c>
      <c r="AI820" t="str">
        <f t="shared" si="48"/>
        <v>0-2 Years</v>
      </c>
      <c r="AJ820" t="str">
        <f t="shared" si="49"/>
        <v>0-2</v>
      </c>
    </row>
    <row r="821" spans="1:36" x14ac:dyDescent="0.35">
      <c r="A821">
        <v>820</v>
      </c>
      <c r="B821">
        <v>28</v>
      </c>
      <c r="C821" t="str">
        <f t="shared" si="50"/>
        <v>26-35</v>
      </c>
      <c r="D821" t="s">
        <v>38</v>
      </c>
      <c r="E821" t="s">
        <v>32</v>
      </c>
      <c r="F821" s="3">
        <v>1389</v>
      </c>
      <c r="G821" t="s">
        <v>40</v>
      </c>
      <c r="H821" s="1">
        <v>2</v>
      </c>
      <c r="I821" t="s">
        <v>59</v>
      </c>
      <c r="J821" t="s">
        <v>34</v>
      </c>
      <c r="K821" t="s">
        <v>59</v>
      </c>
      <c r="L821" t="s">
        <v>41</v>
      </c>
      <c r="M821" s="3">
        <v>67</v>
      </c>
      <c r="N821" t="s">
        <v>61</v>
      </c>
      <c r="O821" t="s">
        <v>59</v>
      </c>
      <c r="P821" t="s">
        <v>42</v>
      </c>
      <c r="Q821" t="s">
        <v>61</v>
      </c>
      <c r="R821" t="s">
        <v>43</v>
      </c>
      <c r="S821" s="3">
        <v>3201</v>
      </c>
      <c r="T821" s="3">
        <v>19911</v>
      </c>
      <c r="U821" s="3" t="str">
        <f t="shared" si="51"/>
        <v>Low</v>
      </c>
      <c r="V821">
        <v>0</v>
      </c>
      <c r="W821" t="s">
        <v>38</v>
      </c>
      <c r="X821" s="2">
        <v>17</v>
      </c>
      <c r="Y821" t="s">
        <v>60</v>
      </c>
      <c r="Z821" t="s">
        <v>59</v>
      </c>
      <c r="AA821">
        <v>0</v>
      </c>
      <c r="AB821">
        <v>6</v>
      </c>
      <c r="AC821">
        <v>2</v>
      </c>
      <c r="AD821">
        <v>1</v>
      </c>
      <c r="AE821">
        <v>5</v>
      </c>
      <c r="AF821">
        <v>3</v>
      </c>
      <c r="AG821">
        <v>0</v>
      </c>
      <c r="AH821">
        <v>4</v>
      </c>
      <c r="AI821" t="str">
        <f t="shared" si="48"/>
        <v>3-5 Years</v>
      </c>
      <c r="AJ821" t="str">
        <f t="shared" si="49"/>
        <v>0-2</v>
      </c>
    </row>
    <row r="822" spans="1:36" x14ac:dyDescent="0.35">
      <c r="A822">
        <v>821</v>
      </c>
      <c r="B822">
        <v>35</v>
      </c>
      <c r="C822" t="str">
        <f t="shared" si="50"/>
        <v>26-35</v>
      </c>
      <c r="D822" t="s">
        <v>38</v>
      </c>
      <c r="E822" t="s">
        <v>39</v>
      </c>
      <c r="F822" s="3">
        <v>1389</v>
      </c>
      <c r="G822" t="s">
        <v>33</v>
      </c>
      <c r="H822" s="1">
        <v>11</v>
      </c>
      <c r="I822" t="s">
        <v>58</v>
      </c>
      <c r="J822" t="s">
        <v>54</v>
      </c>
      <c r="K822" t="s">
        <v>62</v>
      </c>
      <c r="L822" t="s">
        <v>41</v>
      </c>
      <c r="M822" s="3">
        <v>54</v>
      </c>
      <c r="N822" t="s">
        <v>60</v>
      </c>
      <c r="O822" t="s">
        <v>61</v>
      </c>
      <c r="P822" t="s">
        <v>36</v>
      </c>
      <c r="Q822" t="s">
        <v>62</v>
      </c>
      <c r="R822" t="s">
        <v>47</v>
      </c>
      <c r="S822" s="3">
        <v>4968</v>
      </c>
      <c r="T822" s="3">
        <v>18500</v>
      </c>
      <c r="U822" s="3" t="str">
        <f t="shared" si="51"/>
        <v>Low</v>
      </c>
      <c r="V822">
        <v>1</v>
      </c>
      <c r="W822" t="s">
        <v>38</v>
      </c>
      <c r="X822" s="2">
        <v>11</v>
      </c>
      <c r="Y822" t="s">
        <v>60</v>
      </c>
      <c r="Z822" t="s">
        <v>62</v>
      </c>
      <c r="AA822">
        <v>1</v>
      </c>
      <c r="AB822">
        <v>5</v>
      </c>
      <c r="AC822">
        <v>3</v>
      </c>
      <c r="AD822">
        <v>3</v>
      </c>
      <c r="AE822">
        <v>5</v>
      </c>
      <c r="AF822">
        <v>2</v>
      </c>
      <c r="AG822">
        <v>0</v>
      </c>
      <c r="AH822">
        <v>2</v>
      </c>
      <c r="AI822" t="str">
        <f t="shared" si="48"/>
        <v>3-5 Years</v>
      </c>
      <c r="AJ822" t="str">
        <f t="shared" si="49"/>
        <v>0-2</v>
      </c>
    </row>
    <row r="823" spans="1:36" x14ac:dyDescent="0.35">
      <c r="A823">
        <v>822</v>
      </c>
      <c r="B823">
        <v>49</v>
      </c>
      <c r="C823" t="str">
        <f t="shared" si="50"/>
        <v>46-55</v>
      </c>
      <c r="D823" t="s">
        <v>38</v>
      </c>
      <c r="E823" t="s">
        <v>32</v>
      </c>
      <c r="F823" s="3">
        <v>1389</v>
      </c>
      <c r="G823" t="s">
        <v>33</v>
      </c>
      <c r="H823" s="1">
        <v>8</v>
      </c>
      <c r="I823" t="s">
        <v>60</v>
      </c>
      <c r="J823" t="s">
        <v>55</v>
      </c>
      <c r="K823" t="s">
        <v>62</v>
      </c>
      <c r="L823" t="s">
        <v>41</v>
      </c>
      <c r="M823" s="3">
        <v>56</v>
      </c>
      <c r="N823" t="s">
        <v>61</v>
      </c>
      <c r="O823" t="s">
        <v>62</v>
      </c>
      <c r="P823" t="s">
        <v>36</v>
      </c>
      <c r="Q823" t="s">
        <v>61</v>
      </c>
      <c r="R823" t="s">
        <v>43</v>
      </c>
      <c r="S823" s="3">
        <v>13120</v>
      </c>
      <c r="T823" s="3">
        <v>11879</v>
      </c>
      <c r="U823" s="3" t="str">
        <f t="shared" si="51"/>
        <v>High</v>
      </c>
      <c r="V823">
        <v>6</v>
      </c>
      <c r="W823" t="s">
        <v>38</v>
      </c>
      <c r="X823" s="2">
        <v>17</v>
      </c>
      <c r="Y823" t="s">
        <v>60</v>
      </c>
      <c r="Z823" t="s">
        <v>61</v>
      </c>
      <c r="AA823">
        <v>1</v>
      </c>
      <c r="AB823">
        <v>22</v>
      </c>
      <c r="AC823">
        <v>3</v>
      </c>
      <c r="AD823">
        <v>3</v>
      </c>
      <c r="AE823">
        <v>9</v>
      </c>
      <c r="AF823">
        <v>8</v>
      </c>
      <c r="AG823">
        <v>2</v>
      </c>
      <c r="AH823">
        <v>3</v>
      </c>
      <c r="AI823" t="str">
        <f t="shared" si="48"/>
        <v>6-10 Years</v>
      </c>
      <c r="AJ823" t="str">
        <f t="shared" si="49"/>
        <v>0-2</v>
      </c>
    </row>
    <row r="824" spans="1:36" x14ac:dyDescent="0.35">
      <c r="A824">
        <v>823</v>
      </c>
      <c r="B824">
        <v>34</v>
      </c>
      <c r="C824" t="str">
        <f t="shared" si="50"/>
        <v>26-35</v>
      </c>
      <c r="D824" t="s">
        <v>38</v>
      </c>
      <c r="E824" t="s">
        <v>39</v>
      </c>
      <c r="F824" s="3">
        <v>1389</v>
      </c>
      <c r="G824" t="s">
        <v>40</v>
      </c>
      <c r="H824" s="1">
        <v>2</v>
      </c>
      <c r="I824" t="s">
        <v>58</v>
      </c>
      <c r="J824" t="s">
        <v>34</v>
      </c>
      <c r="K824" t="s">
        <v>62</v>
      </c>
      <c r="L824" t="s">
        <v>41</v>
      </c>
      <c r="M824" s="3">
        <v>95</v>
      </c>
      <c r="N824" t="s">
        <v>60</v>
      </c>
      <c r="O824" t="s">
        <v>61</v>
      </c>
      <c r="P824" t="s">
        <v>48</v>
      </c>
      <c r="Q824" t="s">
        <v>60</v>
      </c>
      <c r="R824" t="s">
        <v>37</v>
      </c>
      <c r="S824" s="3">
        <v>4033</v>
      </c>
      <c r="T824" s="3">
        <v>15834</v>
      </c>
      <c r="U824" s="3" t="str">
        <f t="shared" si="51"/>
        <v>Low</v>
      </c>
      <c r="V824">
        <v>2</v>
      </c>
      <c r="W824" t="s">
        <v>38</v>
      </c>
      <c r="X824" s="2">
        <v>11</v>
      </c>
      <c r="Y824" t="s">
        <v>60</v>
      </c>
      <c r="Z824" t="s">
        <v>62</v>
      </c>
      <c r="AA824">
        <v>0</v>
      </c>
      <c r="AB824">
        <v>5</v>
      </c>
      <c r="AC824">
        <v>3</v>
      </c>
      <c r="AD824">
        <v>2</v>
      </c>
      <c r="AE824">
        <v>3</v>
      </c>
      <c r="AF824">
        <v>2</v>
      </c>
      <c r="AG824">
        <v>0</v>
      </c>
      <c r="AH824">
        <v>2</v>
      </c>
      <c r="AI824" t="str">
        <f t="shared" si="48"/>
        <v>3-5 Years</v>
      </c>
      <c r="AJ824" t="str">
        <f t="shared" si="49"/>
        <v>0-2</v>
      </c>
    </row>
    <row r="825" spans="1:36" x14ac:dyDescent="0.35">
      <c r="A825">
        <v>824</v>
      </c>
      <c r="B825">
        <v>29</v>
      </c>
      <c r="C825" t="str">
        <f t="shared" si="50"/>
        <v>26-35</v>
      </c>
      <c r="D825" t="s">
        <v>38</v>
      </c>
      <c r="E825" t="s">
        <v>39</v>
      </c>
      <c r="F825" s="3">
        <v>1389</v>
      </c>
      <c r="G825" t="s">
        <v>40</v>
      </c>
      <c r="H825" s="1">
        <v>10</v>
      </c>
      <c r="I825" t="s">
        <v>61</v>
      </c>
      <c r="J825" t="s">
        <v>34</v>
      </c>
      <c r="K825" t="s">
        <v>62</v>
      </c>
      <c r="L825" t="s">
        <v>35</v>
      </c>
      <c r="M825" s="3">
        <v>61</v>
      </c>
      <c r="N825" t="s">
        <v>60</v>
      </c>
      <c r="O825" t="s">
        <v>59</v>
      </c>
      <c r="P825" t="s">
        <v>42</v>
      </c>
      <c r="Q825" t="s">
        <v>61</v>
      </c>
      <c r="R825" t="s">
        <v>47</v>
      </c>
      <c r="S825" s="3">
        <v>3291</v>
      </c>
      <c r="T825" s="3">
        <v>17940</v>
      </c>
      <c r="U825" s="3" t="str">
        <f t="shared" si="51"/>
        <v>Low</v>
      </c>
      <c r="V825">
        <v>0</v>
      </c>
      <c r="W825" t="s">
        <v>38</v>
      </c>
      <c r="X825" s="2">
        <v>14</v>
      </c>
      <c r="Y825" t="s">
        <v>60</v>
      </c>
      <c r="Z825" t="s">
        <v>62</v>
      </c>
      <c r="AA825">
        <v>2</v>
      </c>
      <c r="AB825">
        <v>8</v>
      </c>
      <c r="AC825">
        <v>2</v>
      </c>
      <c r="AD825">
        <v>2</v>
      </c>
      <c r="AE825">
        <v>7</v>
      </c>
      <c r="AF825">
        <v>5</v>
      </c>
      <c r="AG825">
        <v>1</v>
      </c>
      <c r="AH825">
        <v>1</v>
      </c>
      <c r="AI825" t="str">
        <f t="shared" si="48"/>
        <v>6-10 Years</v>
      </c>
      <c r="AJ825" t="str">
        <f t="shared" si="49"/>
        <v>0-2</v>
      </c>
    </row>
    <row r="826" spans="1:36" x14ac:dyDescent="0.35">
      <c r="A826">
        <v>825</v>
      </c>
      <c r="B826">
        <v>42</v>
      </c>
      <c r="C826" t="str">
        <f t="shared" si="50"/>
        <v>36-45</v>
      </c>
      <c r="D826" t="s">
        <v>38</v>
      </c>
      <c r="E826" t="s">
        <v>32</v>
      </c>
      <c r="F826" s="3">
        <v>1389</v>
      </c>
      <c r="G826" t="s">
        <v>40</v>
      </c>
      <c r="H826" s="1">
        <v>29</v>
      </c>
      <c r="I826" t="s">
        <v>61</v>
      </c>
      <c r="J826" t="s">
        <v>46</v>
      </c>
      <c r="K826" t="s">
        <v>61</v>
      </c>
      <c r="L826" t="s">
        <v>41</v>
      </c>
      <c r="M826" s="3">
        <v>56</v>
      </c>
      <c r="N826" t="s">
        <v>59</v>
      </c>
      <c r="O826" t="s">
        <v>61</v>
      </c>
      <c r="P826" t="s">
        <v>45</v>
      </c>
      <c r="Q826" t="s">
        <v>62</v>
      </c>
      <c r="R826" t="s">
        <v>37</v>
      </c>
      <c r="S826" s="3">
        <v>4272</v>
      </c>
      <c r="T826" s="3">
        <v>9558</v>
      </c>
      <c r="U826" s="3" t="str">
        <f t="shared" si="51"/>
        <v>Low</v>
      </c>
      <c r="V826">
        <v>4</v>
      </c>
      <c r="W826" t="s">
        <v>38</v>
      </c>
      <c r="X826" s="2">
        <v>19</v>
      </c>
      <c r="Y826" t="s">
        <v>60</v>
      </c>
      <c r="Z826" t="s">
        <v>59</v>
      </c>
      <c r="AA826">
        <v>0</v>
      </c>
      <c r="AB826">
        <v>16</v>
      </c>
      <c r="AC826">
        <v>3</v>
      </c>
      <c r="AD826">
        <v>3</v>
      </c>
      <c r="AE826">
        <v>1</v>
      </c>
      <c r="AF826">
        <v>0</v>
      </c>
      <c r="AG826">
        <v>0</v>
      </c>
      <c r="AH826">
        <v>0</v>
      </c>
      <c r="AI826" t="str">
        <f t="shared" si="48"/>
        <v>0-2 Years</v>
      </c>
      <c r="AJ826" t="str">
        <f t="shared" si="49"/>
        <v>0-2</v>
      </c>
    </row>
    <row r="827" spans="1:36" x14ac:dyDescent="0.35">
      <c r="A827">
        <v>826</v>
      </c>
      <c r="B827">
        <v>29</v>
      </c>
      <c r="C827" t="str">
        <f t="shared" si="50"/>
        <v>26-35</v>
      </c>
      <c r="D827" t="s">
        <v>38</v>
      </c>
      <c r="E827" t="s">
        <v>32</v>
      </c>
      <c r="F827" s="3">
        <v>1389</v>
      </c>
      <c r="G827" t="s">
        <v>40</v>
      </c>
      <c r="H827" s="1">
        <v>8</v>
      </c>
      <c r="I827" t="s">
        <v>59</v>
      </c>
      <c r="J827" t="s">
        <v>46</v>
      </c>
      <c r="K827" t="s">
        <v>61</v>
      </c>
      <c r="L827" t="s">
        <v>41</v>
      </c>
      <c r="M827" s="3">
        <v>79</v>
      </c>
      <c r="N827" t="s">
        <v>61</v>
      </c>
      <c r="O827" t="s">
        <v>61</v>
      </c>
      <c r="P827" t="s">
        <v>48</v>
      </c>
      <c r="Q827" t="s">
        <v>62</v>
      </c>
      <c r="R827" t="s">
        <v>43</v>
      </c>
      <c r="S827" s="3">
        <v>5056</v>
      </c>
      <c r="T827" s="3">
        <v>17689</v>
      </c>
      <c r="U827" s="3" t="str">
        <f t="shared" si="51"/>
        <v>Medium</v>
      </c>
      <c r="V827">
        <v>1</v>
      </c>
      <c r="W827" t="s">
        <v>31</v>
      </c>
      <c r="X827" s="2">
        <v>15</v>
      </c>
      <c r="Y827" t="s">
        <v>60</v>
      </c>
      <c r="Z827" t="s">
        <v>60</v>
      </c>
      <c r="AA827">
        <v>1</v>
      </c>
      <c r="AB827">
        <v>10</v>
      </c>
      <c r="AC827">
        <v>2</v>
      </c>
      <c r="AD827">
        <v>2</v>
      </c>
      <c r="AE827">
        <v>10</v>
      </c>
      <c r="AF827">
        <v>7</v>
      </c>
      <c r="AG827">
        <v>1</v>
      </c>
      <c r="AH827">
        <v>2</v>
      </c>
      <c r="AI827" t="str">
        <f t="shared" si="48"/>
        <v>6-10 Years</v>
      </c>
      <c r="AJ827" t="str">
        <f t="shared" si="49"/>
        <v>0-2</v>
      </c>
    </row>
    <row r="828" spans="1:36" x14ac:dyDescent="0.35">
      <c r="A828">
        <v>827</v>
      </c>
      <c r="B828">
        <v>38</v>
      </c>
      <c r="C828" t="str">
        <f t="shared" si="50"/>
        <v>36-45</v>
      </c>
      <c r="D828" t="s">
        <v>38</v>
      </c>
      <c r="E828" t="s">
        <v>32</v>
      </c>
      <c r="F828" s="3">
        <v>1389</v>
      </c>
      <c r="G828" t="s">
        <v>56</v>
      </c>
      <c r="H828" s="1">
        <v>1</v>
      </c>
      <c r="I828" t="s">
        <v>61</v>
      </c>
      <c r="J828" t="s">
        <v>56</v>
      </c>
      <c r="K828" t="s">
        <v>60</v>
      </c>
      <c r="L828" t="s">
        <v>41</v>
      </c>
      <c r="M828" s="3">
        <v>37</v>
      </c>
      <c r="N828" t="s">
        <v>62</v>
      </c>
      <c r="O828" t="s">
        <v>59</v>
      </c>
      <c r="P828" t="s">
        <v>56</v>
      </c>
      <c r="Q828" t="s">
        <v>60</v>
      </c>
      <c r="R828" t="s">
        <v>43</v>
      </c>
      <c r="S828" s="3">
        <v>2844</v>
      </c>
      <c r="T828" s="3">
        <v>6004</v>
      </c>
      <c r="U828" s="3" t="str">
        <f t="shared" si="51"/>
        <v>Low</v>
      </c>
      <c r="V828">
        <v>1</v>
      </c>
      <c r="W828" t="s">
        <v>38</v>
      </c>
      <c r="X828" s="2">
        <v>13</v>
      </c>
      <c r="Y828" t="s">
        <v>60</v>
      </c>
      <c r="Z828" t="s">
        <v>62</v>
      </c>
      <c r="AA828">
        <v>1</v>
      </c>
      <c r="AB828">
        <v>7</v>
      </c>
      <c r="AC828">
        <v>2</v>
      </c>
      <c r="AD828">
        <v>4</v>
      </c>
      <c r="AE828">
        <v>7</v>
      </c>
      <c r="AF828">
        <v>6</v>
      </c>
      <c r="AG828">
        <v>5</v>
      </c>
      <c r="AH828">
        <v>0</v>
      </c>
      <c r="AI828" t="str">
        <f t="shared" si="48"/>
        <v>6-10 Years</v>
      </c>
      <c r="AJ828" t="str">
        <f t="shared" si="49"/>
        <v>3-5</v>
      </c>
    </row>
    <row r="829" spans="1:36" x14ac:dyDescent="0.35">
      <c r="A829">
        <v>828</v>
      </c>
      <c r="B829">
        <v>28</v>
      </c>
      <c r="C829" t="str">
        <f t="shared" si="50"/>
        <v>26-35</v>
      </c>
      <c r="D829" t="s">
        <v>38</v>
      </c>
      <c r="E829" t="s">
        <v>39</v>
      </c>
      <c r="F829" s="3">
        <v>1389</v>
      </c>
      <c r="G829" t="s">
        <v>40</v>
      </c>
      <c r="H829" s="1">
        <v>6</v>
      </c>
      <c r="I829" t="s">
        <v>61</v>
      </c>
      <c r="J829" t="s">
        <v>34</v>
      </c>
      <c r="K829" t="s">
        <v>60</v>
      </c>
      <c r="L829" t="s">
        <v>41</v>
      </c>
      <c r="M829" s="3">
        <v>39</v>
      </c>
      <c r="N829" t="s">
        <v>61</v>
      </c>
      <c r="O829" t="s">
        <v>59</v>
      </c>
      <c r="P829" t="s">
        <v>42</v>
      </c>
      <c r="Q829" t="s">
        <v>60</v>
      </c>
      <c r="R829" t="s">
        <v>47</v>
      </c>
      <c r="S829" s="3">
        <v>2703</v>
      </c>
      <c r="T829" s="3">
        <v>22088</v>
      </c>
      <c r="U829" s="3" t="str">
        <f t="shared" si="51"/>
        <v>Low</v>
      </c>
      <c r="V829">
        <v>1</v>
      </c>
      <c r="W829" t="s">
        <v>31</v>
      </c>
      <c r="X829" s="2">
        <v>14</v>
      </c>
      <c r="Y829" t="s">
        <v>60</v>
      </c>
      <c r="Z829" t="s">
        <v>62</v>
      </c>
      <c r="AA829">
        <v>1</v>
      </c>
      <c r="AB829">
        <v>3</v>
      </c>
      <c r="AC829">
        <v>2</v>
      </c>
      <c r="AD829">
        <v>3</v>
      </c>
      <c r="AE829">
        <v>3</v>
      </c>
      <c r="AF829">
        <v>1</v>
      </c>
      <c r="AG829">
        <v>0</v>
      </c>
      <c r="AH829">
        <v>2</v>
      </c>
      <c r="AI829" t="str">
        <f t="shared" si="48"/>
        <v>3-5 Years</v>
      </c>
      <c r="AJ829" t="str">
        <f t="shared" si="49"/>
        <v>0-2</v>
      </c>
    </row>
    <row r="830" spans="1:36" x14ac:dyDescent="0.35">
      <c r="A830">
        <v>829</v>
      </c>
      <c r="B830">
        <v>18</v>
      </c>
      <c r="C830" t="str">
        <f t="shared" si="50"/>
        <v>18-25</v>
      </c>
      <c r="D830" t="s">
        <v>31</v>
      </c>
      <c r="E830" t="s">
        <v>50</v>
      </c>
      <c r="F830" s="3">
        <v>1389</v>
      </c>
      <c r="G830" t="s">
        <v>40</v>
      </c>
      <c r="H830" s="1">
        <v>8</v>
      </c>
      <c r="I830" t="s">
        <v>59</v>
      </c>
      <c r="J830" t="s">
        <v>46</v>
      </c>
      <c r="K830" t="s">
        <v>60</v>
      </c>
      <c r="L830" t="s">
        <v>41</v>
      </c>
      <c r="M830" s="3">
        <v>80</v>
      </c>
      <c r="N830" t="s">
        <v>60</v>
      </c>
      <c r="O830" t="s">
        <v>59</v>
      </c>
      <c r="P830" t="s">
        <v>45</v>
      </c>
      <c r="Q830" t="s">
        <v>60</v>
      </c>
      <c r="R830" t="s">
        <v>37</v>
      </c>
      <c r="S830" s="3">
        <v>1904</v>
      </c>
      <c r="T830" s="3">
        <v>13556</v>
      </c>
      <c r="U830" s="3" t="str">
        <f t="shared" si="51"/>
        <v>Low</v>
      </c>
      <c r="V830">
        <v>1</v>
      </c>
      <c r="W830" t="s">
        <v>38</v>
      </c>
      <c r="X830" s="2">
        <v>12</v>
      </c>
      <c r="Y830" t="s">
        <v>60</v>
      </c>
      <c r="Z830" t="s">
        <v>62</v>
      </c>
      <c r="AA830">
        <v>0</v>
      </c>
      <c r="AB830">
        <v>0</v>
      </c>
      <c r="AC830">
        <v>0</v>
      </c>
      <c r="AD830">
        <v>3</v>
      </c>
      <c r="AE830">
        <v>0</v>
      </c>
      <c r="AF830">
        <v>0</v>
      </c>
      <c r="AG830">
        <v>0</v>
      </c>
      <c r="AH830">
        <v>0</v>
      </c>
      <c r="AI830" t="str">
        <f t="shared" si="48"/>
        <v>0-2 Years</v>
      </c>
      <c r="AJ830" t="str">
        <f t="shared" si="49"/>
        <v>0-2</v>
      </c>
    </row>
    <row r="831" spans="1:36" x14ac:dyDescent="0.35">
      <c r="A831">
        <v>830</v>
      </c>
      <c r="B831">
        <v>33</v>
      </c>
      <c r="C831" t="str">
        <f t="shared" si="50"/>
        <v>26-35</v>
      </c>
      <c r="D831" t="s">
        <v>31</v>
      </c>
      <c r="E831" t="s">
        <v>32</v>
      </c>
      <c r="F831" s="3">
        <v>1389</v>
      </c>
      <c r="G831" t="s">
        <v>33</v>
      </c>
      <c r="H831" s="1">
        <v>9</v>
      </c>
      <c r="I831" t="s">
        <v>60</v>
      </c>
      <c r="J831" t="s">
        <v>54</v>
      </c>
      <c r="K831" t="s">
        <v>59</v>
      </c>
      <c r="L831" t="s">
        <v>35</v>
      </c>
      <c r="M831" s="3">
        <v>77</v>
      </c>
      <c r="N831" t="s">
        <v>60</v>
      </c>
      <c r="O831" t="s">
        <v>61</v>
      </c>
      <c r="P831" t="s">
        <v>36</v>
      </c>
      <c r="Q831" t="s">
        <v>59</v>
      </c>
      <c r="R831" t="s">
        <v>37</v>
      </c>
      <c r="S831" s="3">
        <v>8224</v>
      </c>
      <c r="T831" s="3">
        <v>18385</v>
      </c>
      <c r="U831" s="3" t="str">
        <f t="shared" si="51"/>
        <v>Medium</v>
      </c>
      <c r="V831">
        <v>0</v>
      </c>
      <c r="W831" t="s">
        <v>31</v>
      </c>
      <c r="X831" s="2">
        <v>17</v>
      </c>
      <c r="Y831" t="s">
        <v>60</v>
      </c>
      <c r="Z831" t="s">
        <v>59</v>
      </c>
      <c r="AA831">
        <v>0</v>
      </c>
      <c r="AB831">
        <v>6</v>
      </c>
      <c r="AC831">
        <v>3</v>
      </c>
      <c r="AD831">
        <v>3</v>
      </c>
      <c r="AE831">
        <v>5</v>
      </c>
      <c r="AF831">
        <v>2</v>
      </c>
      <c r="AG831">
        <v>0</v>
      </c>
      <c r="AH831">
        <v>3</v>
      </c>
      <c r="AI831" t="str">
        <f t="shared" si="48"/>
        <v>3-5 Years</v>
      </c>
      <c r="AJ831" t="str">
        <f t="shared" si="49"/>
        <v>0-2</v>
      </c>
    </row>
    <row r="832" spans="1:36" x14ac:dyDescent="0.35">
      <c r="A832">
        <v>831</v>
      </c>
      <c r="B832">
        <v>41</v>
      </c>
      <c r="C832" t="str">
        <f t="shared" si="50"/>
        <v>36-45</v>
      </c>
      <c r="D832" t="s">
        <v>38</v>
      </c>
      <c r="E832" t="s">
        <v>32</v>
      </c>
      <c r="F832" s="3">
        <v>1389</v>
      </c>
      <c r="G832" t="s">
        <v>40</v>
      </c>
      <c r="H832" s="1">
        <v>12</v>
      </c>
      <c r="I832" t="s">
        <v>60</v>
      </c>
      <c r="J832" t="s">
        <v>34</v>
      </c>
      <c r="K832" t="s">
        <v>61</v>
      </c>
      <c r="L832" t="s">
        <v>41</v>
      </c>
      <c r="M832" s="3">
        <v>46</v>
      </c>
      <c r="N832" t="s">
        <v>60</v>
      </c>
      <c r="O832" t="s">
        <v>59</v>
      </c>
      <c r="P832" t="s">
        <v>45</v>
      </c>
      <c r="Q832" t="s">
        <v>62</v>
      </c>
      <c r="R832" t="s">
        <v>43</v>
      </c>
      <c r="S832" s="3">
        <v>4766</v>
      </c>
      <c r="T832" s="3">
        <v>9051</v>
      </c>
      <c r="U832" s="3" t="str">
        <f t="shared" si="51"/>
        <v>Low</v>
      </c>
      <c r="V832">
        <v>3</v>
      </c>
      <c r="W832" t="s">
        <v>31</v>
      </c>
      <c r="X832" s="2">
        <v>11</v>
      </c>
      <c r="Y832" t="s">
        <v>60</v>
      </c>
      <c r="Z832" t="s">
        <v>59</v>
      </c>
      <c r="AA832">
        <v>1</v>
      </c>
      <c r="AB832">
        <v>6</v>
      </c>
      <c r="AC832">
        <v>4</v>
      </c>
      <c r="AD832">
        <v>3</v>
      </c>
      <c r="AE832">
        <v>1</v>
      </c>
      <c r="AF832">
        <v>0</v>
      </c>
      <c r="AG832">
        <v>0</v>
      </c>
      <c r="AH832">
        <v>0</v>
      </c>
      <c r="AI832" t="str">
        <f t="shared" si="48"/>
        <v>0-2 Years</v>
      </c>
      <c r="AJ832" t="str">
        <f t="shared" si="49"/>
        <v>0-2</v>
      </c>
    </row>
    <row r="833" spans="1:36" x14ac:dyDescent="0.35">
      <c r="A833">
        <v>832</v>
      </c>
      <c r="B833">
        <v>31</v>
      </c>
      <c r="C833" t="str">
        <f t="shared" si="50"/>
        <v>26-35</v>
      </c>
      <c r="D833" t="s">
        <v>31</v>
      </c>
      <c r="E833" t="s">
        <v>39</v>
      </c>
      <c r="F833" s="3">
        <v>1389</v>
      </c>
      <c r="G833" t="s">
        <v>40</v>
      </c>
      <c r="H833" s="1">
        <v>15</v>
      </c>
      <c r="I833" t="s">
        <v>61</v>
      </c>
      <c r="J833" t="s">
        <v>46</v>
      </c>
      <c r="K833" t="s">
        <v>60</v>
      </c>
      <c r="L833" t="s">
        <v>41</v>
      </c>
      <c r="M833" s="3">
        <v>72</v>
      </c>
      <c r="N833" t="s">
        <v>60</v>
      </c>
      <c r="O833" t="s">
        <v>59</v>
      </c>
      <c r="P833" t="s">
        <v>45</v>
      </c>
      <c r="Q833" t="s">
        <v>60</v>
      </c>
      <c r="R833" t="s">
        <v>43</v>
      </c>
      <c r="S833" s="3">
        <v>2610</v>
      </c>
      <c r="T833" s="3">
        <v>6233</v>
      </c>
      <c r="U833" s="3" t="str">
        <f t="shared" si="51"/>
        <v>Low</v>
      </c>
      <c r="V833">
        <v>1</v>
      </c>
      <c r="W833" t="s">
        <v>38</v>
      </c>
      <c r="X833" s="2">
        <v>12</v>
      </c>
      <c r="Y833" t="s">
        <v>60</v>
      </c>
      <c r="Z833" t="s">
        <v>60</v>
      </c>
      <c r="AA833">
        <v>1</v>
      </c>
      <c r="AB833">
        <v>2</v>
      </c>
      <c r="AC833">
        <v>5</v>
      </c>
      <c r="AD833">
        <v>2</v>
      </c>
      <c r="AE833">
        <v>2</v>
      </c>
      <c r="AF833">
        <v>2</v>
      </c>
      <c r="AG833">
        <v>2</v>
      </c>
      <c r="AH833">
        <v>2</v>
      </c>
      <c r="AI833" t="str">
        <f t="shared" si="48"/>
        <v>0-2 Years</v>
      </c>
      <c r="AJ833" t="str">
        <f t="shared" si="49"/>
        <v>0-2</v>
      </c>
    </row>
    <row r="834" spans="1:36" x14ac:dyDescent="0.35">
      <c r="A834">
        <v>833</v>
      </c>
      <c r="B834">
        <v>37</v>
      </c>
      <c r="C834" t="str">
        <f t="shared" si="50"/>
        <v>36-45</v>
      </c>
      <c r="D834" t="s">
        <v>38</v>
      </c>
      <c r="E834" t="s">
        <v>32</v>
      </c>
      <c r="F834" s="3">
        <v>1389</v>
      </c>
      <c r="G834" t="s">
        <v>40</v>
      </c>
      <c r="H834" s="1">
        <v>25</v>
      </c>
      <c r="I834" t="s">
        <v>58</v>
      </c>
      <c r="J834" t="s">
        <v>46</v>
      </c>
      <c r="K834" t="s">
        <v>60</v>
      </c>
      <c r="L834" t="s">
        <v>35</v>
      </c>
      <c r="M834" s="3">
        <v>52</v>
      </c>
      <c r="N834" t="s">
        <v>61</v>
      </c>
      <c r="O834" t="s">
        <v>61</v>
      </c>
      <c r="P834" t="s">
        <v>49</v>
      </c>
      <c r="Q834" t="s">
        <v>62</v>
      </c>
      <c r="R834" t="s">
        <v>47</v>
      </c>
      <c r="S834" s="3">
        <v>5731</v>
      </c>
      <c r="T834" s="3">
        <v>17171</v>
      </c>
      <c r="U834" s="3" t="str">
        <f t="shared" si="51"/>
        <v>Medium</v>
      </c>
      <c r="V834">
        <v>7</v>
      </c>
      <c r="W834" t="s">
        <v>38</v>
      </c>
      <c r="X834" s="2">
        <v>13</v>
      </c>
      <c r="Y834" t="s">
        <v>60</v>
      </c>
      <c r="Z834" t="s">
        <v>60</v>
      </c>
      <c r="AA834">
        <v>2</v>
      </c>
      <c r="AB834">
        <v>9</v>
      </c>
      <c r="AC834">
        <v>2</v>
      </c>
      <c r="AD834">
        <v>3</v>
      </c>
      <c r="AE834">
        <v>6</v>
      </c>
      <c r="AF834">
        <v>2</v>
      </c>
      <c r="AG834">
        <v>1</v>
      </c>
      <c r="AH834">
        <v>3</v>
      </c>
      <c r="AI834" t="str">
        <f t="shared" ref="AI834:AI897" si="52">IF(AE834&lt;=2,"0-2 Years",
IF(AE834&lt;=5,"3-5 Years",
IF(AE834&lt;=10,"6-10 Years","10+ Years")))</f>
        <v>6-10 Years</v>
      </c>
      <c r="AJ834" t="str">
        <f t="shared" ref="AJ834:AJ897" si="53">IF(AG834&lt;=2,"0-2",
IF(AG834&lt;=5,"3-5","6+"))</f>
        <v>0-2</v>
      </c>
    </row>
    <row r="835" spans="1:36" x14ac:dyDescent="0.35">
      <c r="A835">
        <v>834</v>
      </c>
      <c r="B835">
        <v>27</v>
      </c>
      <c r="C835" t="str">
        <f t="shared" ref="C835:C898" si="54">IF(B835&lt;=25,"18-25",
IF(B835&lt;=35,"26-35",
IF(B835&lt;=45,"36-45",
IF(B835&lt;=55,"46-55","55+"))))</f>
        <v>26-35</v>
      </c>
      <c r="D835" t="s">
        <v>38</v>
      </c>
      <c r="E835" t="s">
        <v>32</v>
      </c>
      <c r="F835" s="3">
        <v>1389</v>
      </c>
      <c r="G835" t="s">
        <v>40</v>
      </c>
      <c r="H835" s="1">
        <v>6</v>
      </c>
      <c r="I835" t="s">
        <v>61</v>
      </c>
      <c r="J835" t="s">
        <v>34</v>
      </c>
      <c r="K835" t="s">
        <v>62</v>
      </c>
      <c r="L835" t="s">
        <v>41</v>
      </c>
      <c r="M835" s="3">
        <v>55</v>
      </c>
      <c r="N835" t="s">
        <v>61</v>
      </c>
      <c r="O835" t="s">
        <v>59</v>
      </c>
      <c r="P835" t="s">
        <v>42</v>
      </c>
      <c r="Q835" t="s">
        <v>60</v>
      </c>
      <c r="R835" t="s">
        <v>43</v>
      </c>
      <c r="S835" s="3">
        <v>2539</v>
      </c>
      <c r="T835" s="3">
        <v>7950</v>
      </c>
      <c r="U835" s="3" t="str">
        <f t="shared" ref="U835:U898" si="55">_xlfn.IFS(S835&lt;5000,"Low",S835&lt;10000,"Medium",S835&gt;10000,"High")</f>
        <v>Low</v>
      </c>
      <c r="V835">
        <v>1</v>
      </c>
      <c r="W835" t="s">
        <v>38</v>
      </c>
      <c r="X835" s="2">
        <v>13</v>
      </c>
      <c r="Y835" t="s">
        <v>60</v>
      </c>
      <c r="Z835" t="s">
        <v>60</v>
      </c>
      <c r="AA835">
        <v>1</v>
      </c>
      <c r="AB835">
        <v>4</v>
      </c>
      <c r="AC835">
        <v>0</v>
      </c>
      <c r="AD835">
        <v>3</v>
      </c>
      <c r="AE835">
        <v>4</v>
      </c>
      <c r="AF835">
        <v>2</v>
      </c>
      <c r="AG835">
        <v>2</v>
      </c>
      <c r="AH835">
        <v>2</v>
      </c>
      <c r="AI835" t="str">
        <f t="shared" si="52"/>
        <v>3-5 Years</v>
      </c>
      <c r="AJ835" t="str">
        <f t="shared" si="53"/>
        <v>0-2</v>
      </c>
    </row>
    <row r="836" spans="1:36" x14ac:dyDescent="0.35">
      <c r="A836">
        <v>835</v>
      </c>
      <c r="B836">
        <v>34</v>
      </c>
      <c r="C836" t="str">
        <f t="shared" si="54"/>
        <v>26-35</v>
      </c>
      <c r="D836" t="s">
        <v>38</v>
      </c>
      <c r="E836" t="s">
        <v>32</v>
      </c>
      <c r="F836" s="3">
        <v>1389</v>
      </c>
      <c r="G836" t="s">
        <v>33</v>
      </c>
      <c r="H836" s="1">
        <v>9</v>
      </c>
      <c r="I836" t="s">
        <v>59</v>
      </c>
      <c r="J836" t="s">
        <v>34</v>
      </c>
      <c r="K836" t="s">
        <v>61</v>
      </c>
      <c r="L836" t="s">
        <v>35</v>
      </c>
      <c r="M836" s="3">
        <v>70</v>
      </c>
      <c r="N836" t="s">
        <v>60</v>
      </c>
      <c r="O836" t="s">
        <v>61</v>
      </c>
      <c r="P836" t="s">
        <v>36</v>
      </c>
      <c r="Q836" t="s">
        <v>60</v>
      </c>
      <c r="R836" t="s">
        <v>43</v>
      </c>
      <c r="S836" s="3">
        <v>5714</v>
      </c>
      <c r="T836" s="3">
        <v>5829</v>
      </c>
      <c r="U836" s="3" t="str">
        <f t="shared" si="55"/>
        <v>Medium</v>
      </c>
      <c r="V836">
        <v>1</v>
      </c>
      <c r="W836" t="s">
        <v>38</v>
      </c>
      <c r="X836" s="2">
        <v>20</v>
      </c>
      <c r="Y836" t="s">
        <v>62</v>
      </c>
      <c r="Z836" t="s">
        <v>59</v>
      </c>
      <c r="AA836">
        <v>0</v>
      </c>
      <c r="AB836">
        <v>6</v>
      </c>
      <c r="AC836">
        <v>3</v>
      </c>
      <c r="AD836">
        <v>2</v>
      </c>
      <c r="AE836">
        <v>6</v>
      </c>
      <c r="AF836">
        <v>5</v>
      </c>
      <c r="AG836">
        <v>1</v>
      </c>
      <c r="AH836">
        <v>3</v>
      </c>
      <c r="AI836" t="str">
        <f t="shared" si="52"/>
        <v>6-10 Years</v>
      </c>
      <c r="AJ836" t="str">
        <f t="shared" si="53"/>
        <v>0-2</v>
      </c>
    </row>
    <row r="837" spans="1:36" x14ac:dyDescent="0.35">
      <c r="A837">
        <v>836</v>
      </c>
      <c r="B837">
        <v>35</v>
      </c>
      <c r="C837" t="str">
        <f t="shared" si="54"/>
        <v>26-35</v>
      </c>
      <c r="D837" t="s">
        <v>38</v>
      </c>
      <c r="E837" t="s">
        <v>32</v>
      </c>
      <c r="F837" s="3">
        <v>1389</v>
      </c>
      <c r="G837" t="s">
        <v>56</v>
      </c>
      <c r="H837" s="1">
        <v>8</v>
      </c>
      <c r="I837" t="s">
        <v>60</v>
      </c>
      <c r="J837" t="s">
        <v>55</v>
      </c>
      <c r="K837" t="s">
        <v>60</v>
      </c>
      <c r="L837" t="s">
        <v>41</v>
      </c>
      <c r="M837" s="3">
        <v>100</v>
      </c>
      <c r="N837" t="s">
        <v>60</v>
      </c>
      <c r="O837" t="s">
        <v>59</v>
      </c>
      <c r="P837" t="s">
        <v>56</v>
      </c>
      <c r="Q837" t="s">
        <v>60</v>
      </c>
      <c r="R837" t="s">
        <v>37</v>
      </c>
      <c r="S837" s="3">
        <v>4323</v>
      </c>
      <c r="T837" s="3">
        <v>7108</v>
      </c>
      <c r="U837" s="3" t="str">
        <f t="shared" si="55"/>
        <v>Low</v>
      </c>
      <c r="V837">
        <v>1</v>
      </c>
      <c r="W837" t="s">
        <v>38</v>
      </c>
      <c r="X837" s="2">
        <v>17</v>
      </c>
      <c r="Y837" t="s">
        <v>60</v>
      </c>
      <c r="Z837" t="s">
        <v>61</v>
      </c>
      <c r="AA837">
        <v>0</v>
      </c>
      <c r="AB837">
        <v>6</v>
      </c>
      <c r="AC837">
        <v>2</v>
      </c>
      <c r="AD837">
        <v>1</v>
      </c>
      <c r="AE837">
        <v>5</v>
      </c>
      <c r="AF837">
        <v>4</v>
      </c>
      <c r="AG837">
        <v>1</v>
      </c>
      <c r="AH837">
        <v>4</v>
      </c>
      <c r="AI837" t="str">
        <f t="shared" si="52"/>
        <v>3-5 Years</v>
      </c>
      <c r="AJ837" t="str">
        <f t="shared" si="53"/>
        <v>0-2</v>
      </c>
    </row>
    <row r="838" spans="1:36" x14ac:dyDescent="0.35">
      <c r="A838">
        <v>837</v>
      </c>
      <c r="B838">
        <v>29</v>
      </c>
      <c r="C838" t="str">
        <f t="shared" si="54"/>
        <v>26-35</v>
      </c>
      <c r="D838" t="s">
        <v>31</v>
      </c>
      <c r="E838" t="s">
        <v>32</v>
      </c>
      <c r="F838" s="3">
        <v>1389</v>
      </c>
      <c r="G838" t="s">
        <v>33</v>
      </c>
      <c r="H838" s="1">
        <v>23</v>
      </c>
      <c r="I838" t="s">
        <v>59</v>
      </c>
      <c r="J838" t="s">
        <v>34</v>
      </c>
      <c r="K838" t="s">
        <v>62</v>
      </c>
      <c r="L838" t="s">
        <v>35</v>
      </c>
      <c r="M838" s="3">
        <v>45</v>
      </c>
      <c r="N838" t="s">
        <v>61</v>
      </c>
      <c r="O838" t="s">
        <v>60</v>
      </c>
      <c r="P838" t="s">
        <v>36</v>
      </c>
      <c r="Q838" t="s">
        <v>59</v>
      </c>
      <c r="R838" t="s">
        <v>43</v>
      </c>
      <c r="S838" s="3">
        <v>7336</v>
      </c>
      <c r="T838" s="3">
        <v>11162</v>
      </c>
      <c r="U838" s="3" t="str">
        <f t="shared" si="55"/>
        <v>Medium</v>
      </c>
      <c r="V838">
        <v>1</v>
      </c>
      <c r="W838" t="s">
        <v>38</v>
      </c>
      <c r="X838" s="2">
        <v>13</v>
      </c>
      <c r="Y838" t="s">
        <v>60</v>
      </c>
      <c r="Z838" t="s">
        <v>59</v>
      </c>
      <c r="AA838">
        <v>1</v>
      </c>
      <c r="AB838">
        <v>11</v>
      </c>
      <c r="AC838">
        <v>3</v>
      </c>
      <c r="AD838">
        <v>1</v>
      </c>
      <c r="AE838">
        <v>11</v>
      </c>
      <c r="AF838">
        <v>8</v>
      </c>
      <c r="AG838">
        <v>3</v>
      </c>
      <c r="AH838">
        <v>10</v>
      </c>
      <c r="AI838" t="str">
        <f t="shared" si="52"/>
        <v>10+ Years</v>
      </c>
      <c r="AJ838" t="str">
        <f t="shared" si="53"/>
        <v>3-5</v>
      </c>
    </row>
    <row r="839" spans="1:36" x14ac:dyDescent="0.35">
      <c r="A839">
        <v>838</v>
      </c>
      <c r="B839">
        <v>40</v>
      </c>
      <c r="C839" t="str">
        <f t="shared" si="54"/>
        <v>36-45</v>
      </c>
      <c r="D839" t="s">
        <v>38</v>
      </c>
      <c r="E839" t="s">
        <v>39</v>
      </c>
      <c r="F839" s="3">
        <v>1389</v>
      </c>
      <c r="G839" t="s">
        <v>40</v>
      </c>
      <c r="H839" s="1">
        <v>9</v>
      </c>
      <c r="I839" t="s">
        <v>60</v>
      </c>
      <c r="J839" t="s">
        <v>46</v>
      </c>
      <c r="K839" t="s">
        <v>61</v>
      </c>
      <c r="L839" t="s">
        <v>35</v>
      </c>
      <c r="M839" s="3">
        <v>88</v>
      </c>
      <c r="N839" t="s">
        <v>60</v>
      </c>
      <c r="O839" t="s">
        <v>60</v>
      </c>
      <c r="P839" t="s">
        <v>53</v>
      </c>
      <c r="Q839" t="s">
        <v>60</v>
      </c>
      <c r="R839" t="s">
        <v>37</v>
      </c>
      <c r="S839" s="3">
        <v>13499</v>
      </c>
      <c r="T839" s="3">
        <v>13782</v>
      </c>
      <c r="U839" s="3" t="str">
        <f t="shared" si="55"/>
        <v>High</v>
      </c>
      <c r="V839">
        <v>9</v>
      </c>
      <c r="W839" t="s">
        <v>38</v>
      </c>
      <c r="X839" s="2">
        <v>17</v>
      </c>
      <c r="Y839" t="s">
        <v>60</v>
      </c>
      <c r="Z839" t="s">
        <v>60</v>
      </c>
      <c r="AA839">
        <v>0</v>
      </c>
      <c r="AB839">
        <v>20</v>
      </c>
      <c r="AC839">
        <v>3</v>
      </c>
      <c r="AD839">
        <v>2</v>
      </c>
      <c r="AE839">
        <v>18</v>
      </c>
      <c r="AF839">
        <v>7</v>
      </c>
      <c r="AG839">
        <v>2</v>
      </c>
      <c r="AH839">
        <v>13</v>
      </c>
      <c r="AI839" t="str">
        <f t="shared" si="52"/>
        <v>10+ Years</v>
      </c>
      <c r="AJ839" t="str">
        <f t="shared" si="53"/>
        <v>0-2</v>
      </c>
    </row>
    <row r="840" spans="1:36" x14ac:dyDescent="0.35">
      <c r="A840">
        <v>839</v>
      </c>
      <c r="B840">
        <v>42</v>
      </c>
      <c r="C840" t="str">
        <f t="shared" si="54"/>
        <v>36-45</v>
      </c>
      <c r="D840" t="s">
        <v>31</v>
      </c>
      <c r="E840" t="s">
        <v>39</v>
      </c>
      <c r="F840" s="3">
        <v>1389</v>
      </c>
      <c r="G840" t="s">
        <v>33</v>
      </c>
      <c r="H840" s="1">
        <v>12</v>
      </c>
      <c r="I840" t="s">
        <v>61</v>
      </c>
      <c r="J840" t="s">
        <v>34</v>
      </c>
      <c r="K840" t="s">
        <v>60</v>
      </c>
      <c r="L840" t="s">
        <v>41</v>
      </c>
      <c r="M840" s="3">
        <v>44</v>
      </c>
      <c r="N840" t="s">
        <v>60</v>
      </c>
      <c r="O840" t="s">
        <v>62</v>
      </c>
      <c r="P840" t="s">
        <v>36</v>
      </c>
      <c r="Q840" t="s">
        <v>59</v>
      </c>
      <c r="R840" t="s">
        <v>37</v>
      </c>
      <c r="S840" s="3">
        <v>13758</v>
      </c>
      <c r="T840" s="3">
        <v>2447</v>
      </c>
      <c r="U840" s="3" t="str">
        <f t="shared" si="55"/>
        <v>High</v>
      </c>
      <c r="V840">
        <v>0</v>
      </c>
      <c r="W840" t="s">
        <v>31</v>
      </c>
      <c r="X840" s="2">
        <v>12</v>
      </c>
      <c r="Y840" t="s">
        <v>60</v>
      </c>
      <c r="Z840" t="s">
        <v>61</v>
      </c>
      <c r="AA840">
        <v>0</v>
      </c>
      <c r="AB840">
        <v>22</v>
      </c>
      <c r="AC840">
        <v>2</v>
      </c>
      <c r="AD840">
        <v>2</v>
      </c>
      <c r="AE840">
        <v>21</v>
      </c>
      <c r="AF840">
        <v>9</v>
      </c>
      <c r="AG840">
        <v>13</v>
      </c>
      <c r="AH840">
        <v>14</v>
      </c>
      <c r="AI840" t="str">
        <f t="shared" si="52"/>
        <v>10+ Years</v>
      </c>
      <c r="AJ840" t="str">
        <f t="shared" si="53"/>
        <v>6+</v>
      </c>
    </row>
    <row r="841" spans="1:36" x14ac:dyDescent="0.35">
      <c r="A841">
        <v>840</v>
      </c>
      <c r="B841">
        <v>42</v>
      </c>
      <c r="C841" t="str">
        <f t="shared" si="54"/>
        <v>36-45</v>
      </c>
      <c r="D841" t="s">
        <v>38</v>
      </c>
      <c r="E841" t="s">
        <v>32</v>
      </c>
      <c r="F841" s="3">
        <v>1389</v>
      </c>
      <c r="G841" t="s">
        <v>33</v>
      </c>
      <c r="H841" s="1">
        <v>4</v>
      </c>
      <c r="I841" t="s">
        <v>60</v>
      </c>
      <c r="J841" t="s">
        <v>54</v>
      </c>
      <c r="K841" t="s">
        <v>61</v>
      </c>
      <c r="L841" t="s">
        <v>41</v>
      </c>
      <c r="M841" s="3">
        <v>45</v>
      </c>
      <c r="N841" t="s">
        <v>60</v>
      </c>
      <c r="O841" t="s">
        <v>61</v>
      </c>
      <c r="P841" t="s">
        <v>36</v>
      </c>
      <c r="Q841" t="s">
        <v>59</v>
      </c>
      <c r="R841" t="s">
        <v>37</v>
      </c>
      <c r="S841" s="3">
        <v>5155</v>
      </c>
      <c r="T841" s="3">
        <v>2253</v>
      </c>
      <c r="U841" s="3" t="str">
        <f t="shared" si="55"/>
        <v>Medium</v>
      </c>
      <c r="V841">
        <v>7</v>
      </c>
      <c r="W841" t="s">
        <v>38</v>
      </c>
      <c r="X841" s="2">
        <v>13</v>
      </c>
      <c r="Y841" t="s">
        <v>60</v>
      </c>
      <c r="Z841" t="s">
        <v>62</v>
      </c>
      <c r="AA841">
        <v>0</v>
      </c>
      <c r="AB841">
        <v>9</v>
      </c>
      <c r="AC841">
        <v>3</v>
      </c>
      <c r="AD841">
        <v>4</v>
      </c>
      <c r="AE841">
        <v>6</v>
      </c>
      <c r="AF841">
        <v>4</v>
      </c>
      <c r="AG841">
        <v>1</v>
      </c>
      <c r="AH841">
        <v>5</v>
      </c>
      <c r="AI841" t="str">
        <f t="shared" si="52"/>
        <v>6-10 Years</v>
      </c>
      <c r="AJ841" t="str">
        <f t="shared" si="53"/>
        <v>0-2</v>
      </c>
    </row>
    <row r="842" spans="1:36" x14ac:dyDescent="0.35">
      <c r="A842">
        <v>841</v>
      </c>
      <c r="B842">
        <v>35</v>
      </c>
      <c r="C842" t="str">
        <f t="shared" si="54"/>
        <v>26-35</v>
      </c>
      <c r="D842" t="s">
        <v>38</v>
      </c>
      <c r="E842" t="s">
        <v>32</v>
      </c>
      <c r="F842" s="3">
        <v>1389</v>
      </c>
      <c r="G842" t="s">
        <v>40</v>
      </c>
      <c r="H842" s="1">
        <v>1</v>
      </c>
      <c r="I842" t="s">
        <v>60</v>
      </c>
      <c r="J842" t="s">
        <v>46</v>
      </c>
      <c r="K842" t="s">
        <v>62</v>
      </c>
      <c r="L842" t="s">
        <v>41</v>
      </c>
      <c r="M842" s="3">
        <v>58</v>
      </c>
      <c r="N842" t="s">
        <v>61</v>
      </c>
      <c r="O842" t="s">
        <v>59</v>
      </c>
      <c r="P842" t="s">
        <v>45</v>
      </c>
      <c r="Q842" t="s">
        <v>60</v>
      </c>
      <c r="R842" t="s">
        <v>43</v>
      </c>
      <c r="S842" s="3">
        <v>2258</v>
      </c>
      <c r="T842" s="3">
        <v>16340</v>
      </c>
      <c r="U842" s="3" t="str">
        <f t="shared" si="55"/>
        <v>Low</v>
      </c>
      <c r="V842">
        <v>6</v>
      </c>
      <c r="W842" t="s">
        <v>38</v>
      </c>
      <c r="X842" s="2">
        <v>12</v>
      </c>
      <c r="Y842" t="s">
        <v>60</v>
      </c>
      <c r="Z842" t="s">
        <v>61</v>
      </c>
      <c r="AA842">
        <v>1</v>
      </c>
      <c r="AB842">
        <v>10</v>
      </c>
      <c r="AC842">
        <v>2</v>
      </c>
      <c r="AD842">
        <v>3</v>
      </c>
      <c r="AE842">
        <v>8</v>
      </c>
      <c r="AF842">
        <v>0</v>
      </c>
      <c r="AG842">
        <v>1</v>
      </c>
      <c r="AH842">
        <v>7</v>
      </c>
      <c r="AI842" t="str">
        <f t="shared" si="52"/>
        <v>6-10 Years</v>
      </c>
      <c r="AJ842" t="str">
        <f t="shared" si="53"/>
        <v>0-2</v>
      </c>
    </row>
    <row r="843" spans="1:36" x14ac:dyDescent="0.35">
      <c r="A843">
        <v>842</v>
      </c>
      <c r="B843">
        <v>24</v>
      </c>
      <c r="C843" t="str">
        <f t="shared" si="54"/>
        <v>18-25</v>
      </c>
      <c r="D843" t="s">
        <v>38</v>
      </c>
      <c r="E843" t="s">
        <v>32</v>
      </c>
      <c r="F843" s="3">
        <v>1389</v>
      </c>
      <c r="G843" t="s">
        <v>40</v>
      </c>
      <c r="H843" s="1">
        <v>24</v>
      </c>
      <c r="I843" t="s">
        <v>61</v>
      </c>
      <c r="J843" t="s">
        <v>46</v>
      </c>
      <c r="K843" t="s">
        <v>62</v>
      </c>
      <c r="L843" t="s">
        <v>41</v>
      </c>
      <c r="M843" s="3">
        <v>49</v>
      </c>
      <c r="N843" t="s">
        <v>60</v>
      </c>
      <c r="O843" t="s">
        <v>59</v>
      </c>
      <c r="P843" t="s">
        <v>45</v>
      </c>
      <c r="Q843" t="s">
        <v>61</v>
      </c>
      <c r="R843" t="s">
        <v>37</v>
      </c>
      <c r="S843" s="3">
        <v>3597</v>
      </c>
      <c r="T843" s="3">
        <v>6409</v>
      </c>
      <c r="U843" s="3" t="str">
        <f t="shared" si="55"/>
        <v>Low</v>
      </c>
      <c r="V843">
        <v>8</v>
      </c>
      <c r="W843" t="s">
        <v>38</v>
      </c>
      <c r="X843" s="2">
        <v>22</v>
      </c>
      <c r="Y843" t="s">
        <v>62</v>
      </c>
      <c r="Z843" t="s">
        <v>62</v>
      </c>
      <c r="AA843">
        <v>0</v>
      </c>
      <c r="AB843">
        <v>6</v>
      </c>
      <c r="AC843">
        <v>2</v>
      </c>
      <c r="AD843">
        <v>3</v>
      </c>
      <c r="AE843">
        <v>4</v>
      </c>
      <c r="AF843">
        <v>3</v>
      </c>
      <c r="AG843">
        <v>1</v>
      </c>
      <c r="AH843">
        <v>2</v>
      </c>
      <c r="AI843" t="str">
        <f t="shared" si="52"/>
        <v>3-5 Years</v>
      </c>
      <c r="AJ843" t="str">
        <f t="shared" si="53"/>
        <v>0-2</v>
      </c>
    </row>
    <row r="844" spans="1:36" x14ac:dyDescent="0.35">
      <c r="A844">
        <v>843</v>
      </c>
      <c r="B844">
        <v>28</v>
      </c>
      <c r="C844" t="str">
        <f t="shared" si="54"/>
        <v>26-35</v>
      </c>
      <c r="D844" t="s">
        <v>31</v>
      </c>
      <c r="E844" t="s">
        <v>32</v>
      </c>
      <c r="F844" s="3">
        <v>1389</v>
      </c>
      <c r="G844" t="s">
        <v>40</v>
      </c>
      <c r="H844" s="1">
        <v>12</v>
      </c>
      <c r="I844" t="s">
        <v>59</v>
      </c>
      <c r="J844" t="s">
        <v>34</v>
      </c>
      <c r="K844" t="s">
        <v>60</v>
      </c>
      <c r="L844" t="s">
        <v>35</v>
      </c>
      <c r="M844" s="3">
        <v>79</v>
      </c>
      <c r="N844" t="s">
        <v>60</v>
      </c>
      <c r="O844" t="s">
        <v>59</v>
      </c>
      <c r="P844" t="s">
        <v>45</v>
      </c>
      <c r="Q844" t="s">
        <v>62</v>
      </c>
      <c r="R844" t="s">
        <v>43</v>
      </c>
      <c r="S844" s="3">
        <v>2515</v>
      </c>
      <c r="T844" s="3">
        <v>22955</v>
      </c>
      <c r="U844" s="3" t="str">
        <f t="shared" si="55"/>
        <v>Low</v>
      </c>
      <c r="V844">
        <v>1</v>
      </c>
      <c r="W844" t="s">
        <v>31</v>
      </c>
      <c r="X844" s="2">
        <v>11</v>
      </c>
      <c r="Y844" t="s">
        <v>60</v>
      </c>
      <c r="Z844" t="s">
        <v>62</v>
      </c>
      <c r="AA844">
        <v>0</v>
      </c>
      <c r="AB844">
        <v>1</v>
      </c>
      <c r="AC844">
        <v>4</v>
      </c>
      <c r="AD844">
        <v>2</v>
      </c>
      <c r="AE844">
        <v>1</v>
      </c>
      <c r="AF844">
        <v>1</v>
      </c>
      <c r="AG844">
        <v>0</v>
      </c>
      <c r="AH844">
        <v>0</v>
      </c>
      <c r="AI844" t="str">
        <f t="shared" si="52"/>
        <v>0-2 Years</v>
      </c>
      <c r="AJ844" t="str">
        <f t="shared" si="53"/>
        <v>0-2</v>
      </c>
    </row>
    <row r="845" spans="1:36" x14ac:dyDescent="0.35">
      <c r="A845">
        <v>844</v>
      </c>
      <c r="B845">
        <v>26</v>
      </c>
      <c r="C845" t="str">
        <f t="shared" si="54"/>
        <v>26-35</v>
      </c>
      <c r="D845" t="s">
        <v>38</v>
      </c>
      <c r="E845" t="s">
        <v>32</v>
      </c>
      <c r="F845" s="3">
        <v>1389</v>
      </c>
      <c r="G845" t="s">
        <v>40</v>
      </c>
      <c r="H845" s="1">
        <v>3</v>
      </c>
      <c r="I845" t="s">
        <v>60</v>
      </c>
      <c r="J845" t="s">
        <v>46</v>
      </c>
      <c r="K845" t="s">
        <v>59</v>
      </c>
      <c r="L845" t="s">
        <v>41</v>
      </c>
      <c r="M845" s="3">
        <v>82</v>
      </c>
      <c r="N845" t="s">
        <v>62</v>
      </c>
      <c r="O845" t="s">
        <v>59</v>
      </c>
      <c r="P845" t="s">
        <v>45</v>
      </c>
      <c r="Q845" t="s">
        <v>62</v>
      </c>
      <c r="R845" t="s">
        <v>43</v>
      </c>
      <c r="S845" s="3">
        <v>4420</v>
      </c>
      <c r="T845" s="3">
        <v>13421</v>
      </c>
      <c r="U845" s="3" t="str">
        <f t="shared" si="55"/>
        <v>Low</v>
      </c>
      <c r="V845">
        <v>1</v>
      </c>
      <c r="W845" t="s">
        <v>38</v>
      </c>
      <c r="X845" s="2">
        <v>22</v>
      </c>
      <c r="Y845" t="s">
        <v>62</v>
      </c>
      <c r="Z845" t="s">
        <v>61</v>
      </c>
      <c r="AA845">
        <v>1</v>
      </c>
      <c r="AB845">
        <v>8</v>
      </c>
      <c r="AC845">
        <v>2</v>
      </c>
      <c r="AD845">
        <v>3</v>
      </c>
      <c r="AE845">
        <v>8</v>
      </c>
      <c r="AF845">
        <v>7</v>
      </c>
      <c r="AG845">
        <v>0</v>
      </c>
      <c r="AH845">
        <v>7</v>
      </c>
      <c r="AI845" t="str">
        <f t="shared" si="52"/>
        <v>6-10 Years</v>
      </c>
      <c r="AJ845" t="str">
        <f t="shared" si="53"/>
        <v>0-2</v>
      </c>
    </row>
    <row r="846" spans="1:36" x14ac:dyDescent="0.35">
      <c r="A846">
        <v>845</v>
      </c>
      <c r="B846">
        <v>30</v>
      </c>
      <c r="C846" t="str">
        <f t="shared" si="54"/>
        <v>26-35</v>
      </c>
      <c r="D846" t="s">
        <v>38</v>
      </c>
      <c r="E846" t="s">
        <v>32</v>
      </c>
      <c r="F846" s="3">
        <v>1389</v>
      </c>
      <c r="G846" t="s">
        <v>33</v>
      </c>
      <c r="H846" s="1">
        <v>10</v>
      </c>
      <c r="I846" t="s">
        <v>61</v>
      </c>
      <c r="J846" t="s">
        <v>54</v>
      </c>
      <c r="K846" t="s">
        <v>60</v>
      </c>
      <c r="L846" t="s">
        <v>41</v>
      </c>
      <c r="M846" s="3">
        <v>72</v>
      </c>
      <c r="N846" t="s">
        <v>61</v>
      </c>
      <c r="O846" t="s">
        <v>61</v>
      </c>
      <c r="P846" t="s">
        <v>36</v>
      </c>
      <c r="Q846" t="s">
        <v>60</v>
      </c>
      <c r="R846" t="s">
        <v>43</v>
      </c>
      <c r="S846" s="3">
        <v>6578</v>
      </c>
      <c r="T846" s="3">
        <v>2706</v>
      </c>
      <c r="U846" s="3" t="str">
        <f t="shared" si="55"/>
        <v>Medium</v>
      </c>
      <c r="V846">
        <v>1</v>
      </c>
      <c r="W846" t="s">
        <v>38</v>
      </c>
      <c r="X846" s="2">
        <v>18</v>
      </c>
      <c r="Y846" t="s">
        <v>60</v>
      </c>
      <c r="Z846" t="s">
        <v>59</v>
      </c>
      <c r="AA846">
        <v>1</v>
      </c>
      <c r="AB846">
        <v>10</v>
      </c>
      <c r="AC846">
        <v>3</v>
      </c>
      <c r="AD846">
        <v>3</v>
      </c>
      <c r="AE846">
        <v>10</v>
      </c>
      <c r="AF846">
        <v>3</v>
      </c>
      <c r="AG846">
        <v>1</v>
      </c>
      <c r="AH846">
        <v>4</v>
      </c>
      <c r="AI846" t="str">
        <f t="shared" si="52"/>
        <v>6-10 Years</v>
      </c>
      <c r="AJ846" t="str">
        <f t="shared" si="53"/>
        <v>0-2</v>
      </c>
    </row>
    <row r="847" spans="1:36" x14ac:dyDescent="0.35">
      <c r="A847">
        <v>846</v>
      </c>
      <c r="B847">
        <v>40</v>
      </c>
      <c r="C847" t="str">
        <f t="shared" si="54"/>
        <v>36-45</v>
      </c>
      <c r="D847" t="s">
        <v>38</v>
      </c>
      <c r="E847" t="s">
        <v>39</v>
      </c>
      <c r="F847" s="3">
        <v>1389</v>
      </c>
      <c r="G847" t="s">
        <v>40</v>
      </c>
      <c r="H847" s="1">
        <v>26</v>
      </c>
      <c r="I847" t="s">
        <v>58</v>
      </c>
      <c r="J847" t="s">
        <v>46</v>
      </c>
      <c r="K847" t="s">
        <v>60</v>
      </c>
      <c r="L847" t="s">
        <v>35</v>
      </c>
      <c r="M847" s="3">
        <v>92</v>
      </c>
      <c r="N847" t="s">
        <v>61</v>
      </c>
      <c r="O847" t="s">
        <v>61</v>
      </c>
      <c r="P847" t="s">
        <v>42</v>
      </c>
      <c r="Q847" t="s">
        <v>62</v>
      </c>
      <c r="R847" t="s">
        <v>43</v>
      </c>
      <c r="S847" s="3">
        <v>4422</v>
      </c>
      <c r="T847" s="3">
        <v>21203</v>
      </c>
      <c r="U847" s="3" t="str">
        <f t="shared" si="55"/>
        <v>Low</v>
      </c>
      <c r="V847">
        <v>3</v>
      </c>
      <c r="W847" t="s">
        <v>31</v>
      </c>
      <c r="X847" s="2">
        <v>13</v>
      </c>
      <c r="Y847" t="s">
        <v>60</v>
      </c>
      <c r="Z847" t="s">
        <v>62</v>
      </c>
      <c r="AA847">
        <v>1</v>
      </c>
      <c r="AB847">
        <v>16</v>
      </c>
      <c r="AC847">
        <v>3</v>
      </c>
      <c r="AD847">
        <v>1</v>
      </c>
      <c r="AE847">
        <v>1</v>
      </c>
      <c r="AF847">
        <v>1</v>
      </c>
      <c r="AG847">
        <v>0</v>
      </c>
      <c r="AH847">
        <v>0</v>
      </c>
      <c r="AI847" t="str">
        <f t="shared" si="52"/>
        <v>0-2 Years</v>
      </c>
      <c r="AJ847" t="str">
        <f t="shared" si="53"/>
        <v>0-2</v>
      </c>
    </row>
    <row r="848" spans="1:36" x14ac:dyDescent="0.35">
      <c r="A848">
        <v>847</v>
      </c>
      <c r="B848">
        <v>35</v>
      </c>
      <c r="C848" t="str">
        <f t="shared" si="54"/>
        <v>26-35</v>
      </c>
      <c r="D848" t="s">
        <v>38</v>
      </c>
      <c r="E848" t="s">
        <v>32</v>
      </c>
      <c r="F848" s="3">
        <v>1389</v>
      </c>
      <c r="G848" t="s">
        <v>40</v>
      </c>
      <c r="H848" s="1">
        <v>2</v>
      </c>
      <c r="I848" t="s">
        <v>61</v>
      </c>
      <c r="J848" t="s">
        <v>34</v>
      </c>
      <c r="K848" t="s">
        <v>60</v>
      </c>
      <c r="L848" t="s">
        <v>41</v>
      </c>
      <c r="M848" s="3">
        <v>44</v>
      </c>
      <c r="N848" t="s">
        <v>61</v>
      </c>
      <c r="O848" t="s">
        <v>60</v>
      </c>
      <c r="P848" t="s">
        <v>48</v>
      </c>
      <c r="Q848" t="s">
        <v>61</v>
      </c>
      <c r="R848" t="s">
        <v>47</v>
      </c>
      <c r="S848" s="3">
        <v>10274</v>
      </c>
      <c r="T848" s="3">
        <v>19588</v>
      </c>
      <c r="U848" s="3" t="str">
        <f t="shared" si="55"/>
        <v>High</v>
      </c>
      <c r="V848">
        <v>2</v>
      </c>
      <c r="W848" t="s">
        <v>38</v>
      </c>
      <c r="X848" s="2">
        <v>18</v>
      </c>
      <c r="Y848" t="s">
        <v>60</v>
      </c>
      <c r="Z848" t="s">
        <v>61</v>
      </c>
      <c r="AA848">
        <v>1</v>
      </c>
      <c r="AB848">
        <v>15</v>
      </c>
      <c r="AC848">
        <v>2</v>
      </c>
      <c r="AD848">
        <v>4</v>
      </c>
      <c r="AE848">
        <v>7</v>
      </c>
      <c r="AF848">
        <v>7</v>
      </c>
      <c r="AG848">
        <v>6</v>
      </c>
      <c r="AH848">
        <v>4</v>
      </c>
      <c r="AI848" t="str">
        <f t="shared" si="52"/>
        <v>6-10 Years</v>
      </c>
      <c r="AJ848" t="str">
        <f t="shared" si="53"/>
        <v>6+</v>
      </c>
    </row>
    <row r="849" spans="1:36" x14ac:dyDescent="0.35">
      <c r="A849">
        <v>848</v>
      </c>
      <c r="B849">
        <v>34</v>
      </c>
      <c r="C849" t="str">
        <f t="shared" si="54"/>
        <v>26-35</v>
      </c>
      <c r="D849" t="s">
        <v>38</v>
      </c>
      <c r="E849" t="s">
        <v>39</v>
      </c>
      <c r="F849" s="3">
        <v>1389</v>
      </c>
      <c r="G849" t="s">
        <v>40</v>
      </c>
      <c r="H849" s="1">
        <v>1</v>
      </c>
      <c r="I849" t="s">
        <v>61</v>
      </c>
      <c r="J849" t="s">
        <v>46</v>
      </c>
      <c r="K849" t="s">
        <v>62</v>
      </c>
      <c r="L849" t="s">
        <v>41</v>
      </c>
      <c r="M849" s="3">
        <v>97</v>
      </c>
      <c r="N849" t="s">
        <v>61</v>
      </c>
      <c r="O849" t="s">
        <v>61</v>
      </c>
      <c r="P849" t="s">
        <v>49</v>
      </c>
      <c r="Q849" t="s">
        <v>59</v>
      </c>
      <c r="R849" t="s">
        <v>37</v>
      </c>
      <c r="S849" s="3">
        <v>5343</v>
      </c>
      <c r="T849" s="3">
        <v>25755</v>
      </c>
      <c r="U849" s="3" t="str">
        <f t="shared" si="55"/>
        <v>Medium</v>
      </c>
      <c r="V849">
        <v>0</v>
      </c>
      <c r="W849" t="s">
        <v>38</v>
      </c>
      <c r="X849" s="2">
        <v>20</v>
      </c>
      <c r="Y849" t="s">
        <v>62</v>
      </c>
      <c r="Z849" t="s">
        <v>60</v>
      </c>
      <c r="AA849">
        <v>0</v>
      </c>
      <c r="AB849">
        <v>14</v>
      </c>
      <c r="AC849">
        <v>3</v>
      </c>
      <c r="AD849">
        <v>3</v>
      </c>
      <c r="AE849">
        <v>13</v>
      </c>
      <c r="AF849">
        <v>9</v>
      </c>
      <c r="AG849">
        <v>4</v>
      </c>
      <c r="AH849">
        <v>9</v>
      </c>
      <c r="AI849" t="str">
        <f t="shared" si="52"/>
        <v>10+ Years</v>
      </c>
      <c r="AJ849" t="str">
        <f t="shared" si="53"/>
        <v>3-5</v>
      </c>
    </row>
    <row r="850" spans="1:36" x14ac:dyDescent="0.35">
      <c r="A850">
        <v>849</v>
      </c>
      <c r="B850">
        <v>35</v>
      </c>
      <c r="C850" t="str">
        <f t="shared" si="54"/>
        <v>26-35</v>
      </c>
      <c r="D850" t="s">
        <v>38</v>
      </c>
      <c r="E850" t="s">
        <v>39</v>
      </c>
      <c r="F850" s="3">
        <v>1389</v>
      </c>
      <c r="G850" t="s">
        <v>40</v>
      </c>
      <c r="H850" s="1">
        <v>4</v>
      </c>
      <c r="I850" t="s">
        <v>60</v>
      </c>
      <c r="J850" t="s">
        <v>44</v>
      </c>
      <c r="K850" t="s">
        <v>62</v>
      </c>
      <c r="L850" t="s">
        <v>41</v>
      </c>
      <c r="M850" s="3">
        <v>47</v>
      </c>
      <c r="N850" t="s">
        <v>61</v>
      </c>
      <c r="O850" t="s">
        <v>59</v>
      </c>
      <c r="P850" t="s">
        <v>45</v>
      </c>
      <c r="Q850" t="s">
        <v>62</v>
      </c>
      <c r="R850" t="s">
        <v>43</v>
      </c>
      <c r="S850" s="3">
        <v>2376</v>
      </c>
      <c r="T850" s="3">
        <v>26537</v>
      </c>
      <c r="U850" s="3" t="str">
        <f t="shared" si="55"/>
        <v>Low</v>
      </c>
      <c r="V850">
        <v>1</v>
      </c>
      <c r="W850" t="s">
        <v>38</v>
      </c>
      <c r="X850" s="2">
        <v>13</v>
      </c>
      <c r="Y850" t="s">
        <v>60</v>
      </c>
      <c r="Z850" t="s">
        <v>61</v>
      </c>
      <c r="AA850">
        <v>1</v>
      </c>
      <c r="AB850">
        <v>2</v>
      </c>
      <c r="AC850">
        <v>2</v>
      </c>
      <c r="AD850">
        <v>4</v>
      </c>
      <c r="AE850">
        <v>2</v>
      </c>
      <c r="AF850">
        <v>2</v>
      </c>
      <c r="AG850">
        <v>2</v>
      </c>
      <c r="AH850">
        <v>2</v>
      </c>
      <c r="AI850" t="str">
        <f t="shared" si="52"/>
        <v>0-2 Years</v>
      </c>
      <c r="AJ850" t="str">
        <f t="shared" si="53"/>
        <v>0-2</v>
      </c>
    </row>
    <row r="851" spans="1:36" x14ac:dyDescent="0.35">
      <c r="A851">
        <v>850</v>
      </c>
      <c r="B851">
        <v>43</v>
      </c>
      <c r="C851" t="str">
        <f t="shared" si="54"/>
        <v>36-45</v>
      </c>
      <c r="D851" t="s">
        <v>31</v>
      </c>
      <c r="E851" t="s">
        <v>32</v>
      </c>
      <c r="F851" s="3">
        <v>1389</v>
      </c>
      <c r="G851" t="s">
        <v>33</v>
      </c>
      <c r="H851" s="1">
        <v>9</v>
      </c>
      <c r="I851" t="s">
        <v>61</v>
      </c>
      <c r="J851" t="s">
        <v>54</v>
      </c>
      <c r="K851" t="s">
        <v>59</v>
      </c>
      <c r="L851" t="s">
        <v>35</v>
      </c>
      <c r="M851" s="3">
        <v>85</v>
      </c>
      <c r="N851" t="s">
        <v>59</v>
      </c>
      <c r="O851" t="s">
        <v>61</v>
      </c>
      <c r="P851" t="s">
        <v>36</v>
      </c>
      <c r="Q851" t="s">
        <v>60</v>
      </c>
      <c r="R851" t="s">
        <v>37</v>
      </c>
      <c r="S851" s="3">
        <v>5346</v>
      </c>
      <c r="T851" s="3">
        <v>9489</v>
      </c>
      <c r="U851" s="3" t="str">
        <f t="shared" si="55"/>
        <v>Medium</v>
      </c>
      <c r="V851">
        <v>8</v>
      </c>
      <c r="W851" t="s">
        <v>38</v>
      </c>
      <c r="X851" s="2">
        <v>13</v>
      </c>
      <c r="Y851" t="s">
        <v>60</v>
      </c>
      <c r="Z851" t="s">
        <v>61</v>
      </c>
      <c r="AA851">
        <v>0</v>
      </c>
      <c r="AB851">
        <v>7</v>
      </c>
      <c r="AC851">
        <v>2</v>
      </c>
      <c r="AD851">
        <v>2</v>
      </c>
      <c r="AE851">
        <v>4</v>
      </c>
      <c r="AF851">
        <v>3</v>
      </c>
      <c r="AG851">
        <v>1</v>
      </c>
      <c r="AH851">
        <v>3</v>
      </c>
      <c r="AI851" t="str">
        <f t="shared" si="52"/>
        <v>3-5 Years</v>
      </c>
      <c r="AJ851" t="str">
        <f t="shared" si="53"/>
        <v>0-2</v>
      </c>
    </row>
    <row r="852" spans="1:36" x14ac:dyDescent="0.35">
      <c r="A852">
        <v>851</v>
      </c>
      <c r="B852">
        <v>32</v>
      </c>
      <c r="C852" t="str">
        <f t="shared" si="54"/>
        <v>26-35</v>
      </c>
      <c r="D852" t="s">
        <v>38</v>
      </c>
      <c r="E852" t="s">
        <v>50</v>
      </c>
      <c r="F852" s="3">
        <v>1389</v>
      </c>
      <c r="G852" t="s">
        <v>33</v>
      </c>
      <c r="H852" s="1">
        <v>2</v>
      </c>
      <c r="I852" t="s">
        <v>59</v>
      </c>
      <c r="J852" t="s">
        <v>34</v>
      </c>
      <c r="K852" t="s">
        <v>60</v>
      </c>
      <c r="L852" t="s">
        <v>35</v>
      </c>
      <c r="M852" s="3">
        <v>76</v>
      </c>
      <c r="N852" t="s">
        <v>60</v>
      </c>
      <c r="O852" t="s">
        <v>59</v>
      </c>
      <c r="P852" t="s">
        <v>52</v>
      </c>
      <c r="Q852" t="s">
        <v>59</v>
      </c>
      <c r="R852" t="s">
        <v>47</v>
      </c>
      <c r="S852" s="3">
        <v>2827</v>
      </c>
      <c r="T852" s="3">
        <v>14947</v>
      </c>
      <c r="U852" s="3" t="str">
        <f t="shared" si="55"/>
        <v>Low</v>
      </c>
      <c r="V852">
        <v>1</v>
      </c>
      <c r="W852" t="s">
        <v>38</v>
      </c>
      <c r="X852" s="2">
        <v>12</v>
      </c>
      <c r="Y852" t="s">
        <v>60</v>
      </c>
      <c r="Z852" t="s">
        <v>60</v>
      </c>
      <c r="AA852">
        <v>3</v>
      </c>
      <c r="AB852">
        <v>1</v>
      </c>
      <c r="AC852">
        <v>3</v>
      </c>
      <c r="AD852">
        <v>3</v>
      </c>
      <c r="AE852">
        <v>1</v>
      </c>
      <c r="AF852">
        <v>0</v>
      </c>
      <c r="AG852">
        <v>0</v>
      </c>
      <c r="AH852">
        <v>0</v>
      </c>
      <c r="AI852" t="str">
        <f t="shared" si="52"/>
        <v>0-2 Years</v>
      </c>
      <c r="AJ852" t="str">
        <f t="shared" si="53"/>
        <v>0-2</v>
      </c>
    </row>
    <row r="853" spans="1:36" x14ac:dyDescent="0.35">
      <c r="A853">
        <v>852</v>
      </c>
      <c r="B853">
        <v>56</v>
      </c>
      <c r="C853" t="str">
        <f t="shared" si="54"/>
        <v>55+</v>
      </c>
      <c r="D853" t="s">
        <v>38</v>
      </c>
      <c r="E853" t="s">
        <v>32</v>
      </c>
      <c r="F853" s="3">
        <v>1389</v>
      </c>
      <c r="G853" t="s">
        <v>40</v>
      </c>
      <c r="H853" s="1">
        <v>4</v>
      </c>
      <c r="I853" t="s">
        <v>60</v>
      </c>
      <c r="J853" t="s">
        <v>55</v>
      </c>
      <c r="K853" t="s">
        <v>62</v>
      </c>
      <c r="L853" t="s">
        <v>35</v>
      </c>
      <c r="M853" s="3">
        <v>92</v>
      </c>
      <c r="N853" t="s">
        <v>60</v>
      </c>
      <c r="O853" t="e">
        <v>#N/A</v>
      </c>
      <c r="P853" t="s">
        <v>51</v>
      </c>
      <c r="Q853" t="s">
        <v>59</v>
      </c>
      <c r="R853" t="s">
        <v>47</v>
      </c>
      <c r="S853" s="3">
        <v>19943</v>
      </c>
      <c r="T853" s="3">
        <v>18575</v>
      </c>
      <c r="U853" s="3" t="str">
        <f t="shared" si="55"/>
        <v>High</v>
      </c>
      <c r="V853">
        <v>4</v>
      </c>
      <c r="W853" t="s">
        <v>38</v>
      </c>
      <c r="X853" s="2">
        <v>13</v>
      </c>
      <c r="Y853" t="s">
        <v>60</v>
      </c>
      <c r="Z853" t="s">
        <v>62</v>
      </c>
      <c r="AA853">
        <v>1</v>
      </c>
      <c r="AB853">
        <v>28</v>
      </c>
      <c r="AC853">
        <v>2</v>
      </c>
      <c r="AD853">
        <v>3</v>
      </c>
      <c r="AE853">
        <v>5</v>
      </c>
      <c r="AF853">
        <v>2</v>
      </c>
      <c r="AG853">
        <v>4</v>
      </c>
      <c r="AH853">
        <v>2</v>
      </c>
      <c r="AI853" t="str">
        <f t="shared" si="52"/>
        <v>3-5 Years</v>
      </c>
      <c r="AJ853" t="str">
        <f t="shared" si="53"/>
        <v>3-5</v>
      </c>
    </row>
    <row r="854" spans="1:36" x14ac:dyDescent="0.35">
      <c r="A854">
        <v>853</v>
      </c>
      <c r="B854">
        <v>29</v>
      </c>
      <c r="C854" t="str">
        <f t="shared" si="54"/>
        <v>26-35</v>
      </c>
      <c r="D854" t="s">
        <v>38</v>
      </c>
      <c r="E854" t="s">
        <v>32</v>
      </c>
      <c r="F854" s="3">
        <v>1389</v>
      </c>
      <c r="G854" t="s">
        <v>40</v>
      </c>
      <c r="H854" s="1">
        <v>6</v>
      </c>
      <c r="I854" t="s">
        <v>59</v>
      </c>
      <c r="J854" t="s">
        <v>46</v>
      </c>
      <c r="K854" t="s">
        <v>61</v>
      </c>
      <c r="L854" t="s">
        <v>35</v>
      </c>
      <c r="M854" s="3">
        <v>54</v>
      </c>
      <c r="N854" t="s">
        <v>60</v>
      </c>
      <c r="O854" t="s">
        <v>59</v>
      </c>
      <c r="P854" t="s">
        <v>45</v>
      </c>
      <c r="Q854" t="s">
        <v>62</v>
      </c>
      <c r="R854" t="s">
        <v>43</v>
      </c>
      <c r="S854" s="3">
        <v>3131</v>
      </c>
      <c r="T854" s="3">
        <v>26342</v>
      </c>
      <c r="U854" s="3" t="str">
        <f t="shared" si="55"/>
        <v>Low</v>
      </c>
      <c r="V854">
        <v>1</v>
      </c>
      <c r="W854" t="s">
        <v>38</v>
      </c>
      <c r="X854" s="2">
        <v>13</v>
      </c>
      <c r="Y854" t="s">
        <v>60</v>
      </c>
      <c r="Z854" t="s">
        <v>59</v>
      </c>
      <c r="AA854">
        <v>1</v>
      </c>
      <c r="AB854">
        <v>10</v>
      </c>
      <c r="AC854">
        <v>5</v>
      </c>
      <c r="AD854">
        <v>3</v>
      </c>
      <c r="AE854">
        <v>10</v>
      </c>
      <c r="AF854">
        <v>8</v>
      </c>
      <c r="AG854">
        <v>0</v>
      </c>
      <c r="AH854">
        <v>8</v>
      </c>
      <c r="AI854" t="str">
        <f t="shared" si="52"/>
        <v>6-10 Years</v>
      </c>
      <c r="AJ854" t="str">
        <f t="shared" si="53"/>
        <v>0-2</v>
      </c>
    </row>
    <row r="855" spans="1:36" x14ac:dyDescent="0.35">
      <c r="A855">
        <v>854</v>
      </c>
      <c r="B855">
        <v>19</v>
      </c>
      <c r="C855" t="str">
        <f t="shared" si="54"/>
        <v>18-25</v>
      </c>
      <c r="D855" t="s">
        <v>38</v>
      </c>
      <c r="E855" t="s">
        <v>32</v>
      </c>
      <c r="F855" s="3">
        <v>1389</v>
      </c>
      <c r="G855" t="s">
        <v>40</v>
      </c>
      <c r="H855" s="1">
        <v>9</v>
      </c>
      <c r="I855" t="s">
        <v>58</v>
      </c>
      <c r="J855" t="s">
        <v>34</v>
      </c>
      <c r="K855" t="s">
        <v>60</v>
      </c>
      <c r="L855" t="s">
        <v>41</v>
      </c>
      <c r="M855" s="3">
        <v>54</v>
      </c>
      <c r="N855" t="s">
        <v>60</v>
      </c>
      <c r="O855" t="s">
        <v>59</v>
      </c>
      <c r="P855" t="s">
        <v>42</v>
      </c>
      <c r="Q855" t="s">
        <v>59</v>
      </c>
      <c r="R855" t="s">
        <v>37</v>
      </c>
      <c r="S855" s="3">
        <v>2552</v>
      </c>
      <c r="T855" s="3">
        <v>7172</v>
      </c>
      <c r="U855" s="3" t="str">
        <f t="shared" si="55"/>
        <v>Low</v>
      </c>
      <c r="V855">
        <v>1</v>
      </c>
      <c r="W855" t="s">
        <v>38</v>
      </c>
      <c r="X855" s="2">
        <v>25</v>
      </c>
      <c r="Y855" t="s">
        <v>62</v>
      </c>
      <c r="Z855" t="s">
        <v>60</v>
      </c>
      <c r="AA855">
        <v>0</v>
      </c>
      <c r="AB855">
        <v>1</v>
      </c>
      <c r="AC855">
        <v>4</v>
      </c>
      <c r="AD855">
        <v>3</v>
      </c>
      <c r="AE855">
        <v>1</v>
      </c>
      <c r="AF855">
        <v>1</v>
      </c>
      <c r="AG855">
        <v>0</v>
      </c>
      <c r="AH855">
        <v>0</v>
      </c>
      <c r="AI855" t="str">
        <f t="shared" si="52"/>
        <v>0-2 Years</v>
      </c>
      <c r="AJ855" t="str">
        <f t="shared" si="53"/>
        <v>0-2</v>
      </c>
    </row>
    <row r="856" spans="1:36" x14ac:dyDescent="0.35">
      <c r="A856">
        <v>855</v>
      </c>
      <c r="B856">
        <v>45</v>
      </c>
      <c r="C856" t="str">
        <f t="shared" si="54"/>
        <v>36-45</v>
      </c>
      <c r="D856" t="s">
        <v>38</v>
      </c>
      <c r="E856" t="s">
        <v>32</v>
      </c>
      <c r="F856" s="3">
        <v>1389</v>
      </c>
      <c r="G856" t="s">
        <v>40</v>
      </c>
      <c r="H856" s="1">
        <v>7</v>
      </c>
      <c r="I856" t="s">
        <v>61</v>
      </c>
      <c r="J856" t="s">
        <v>46</v>
      </c>
      <c r="K856" t="s">
        <v>59</v>
      </c>
      <c r="L856" t="s">
        <v>35</v>
      </c>
      <c r="M856" s="3">
        <v>83</v>
      </c>
      <c r="N856" t="s">
        <v>60</v>
      </c>
      <c r="O856" t="s">
        <v>59</v>
      </c>
      <c r="P856" t="s">
        <v>42</v>
      </c>
      <c r="Q856" t="s">
        <v>60</v>
      </c>
      <c r="R856" t="s">
        <v>43</v>
      </c>
      <c r="S856" s="3">
        <v>4477</v>
      </c>
      <c r="T856" s="3">
        <v>20100</v>
      </c>
      <c r="U856" s="3" t="str">
        <f t="shared" si="55"/>
        <v>Low</v>
      </c>
      <c r="V856">
        <v>4</v>
      </c>
      <c r="W856" t="s">
        <v>31</v>
      </c>
      <c r="X856" s="2">
        <v>19</v>
      </c>
      <c r="Y856" t="s">
        <v>60</v>
      </c>
      <c r="Z856" t="s">
        <v>60</v>
      </c>
      <c r="AA856">
        <v>1</v>
      </c>
      <c r="AB856">
        <v>7</v>
      </c>
      <c r="AC856">
        <v>2</v>
      </c>
      <c r="AD856">
        <v>2</v>
      </c>
      <c r="AE856">
        <v>3</v>
      </c>
      <c r="AF856">
        <v>2</v>
      </c>
      <c r="AG856">
        <v>0</v>
      </c>
      <c r="AH856">
        <v>2</v>
      </c>
      <c r="AI856" t="str">
        <f t="shared" si="52"/>
        <v>3-5 Years</v>
      </c>
      <c r="AJ856" t="str">
        <f t="shared" si="53"/>
        <v>0-2</v>
      </c>
    </row>
    <row r="857" spans="1:36" x14ac:dyDescent="0.35">
      <c r="A857">
        <v>856</v>
      </c>
      <c r="B857">
        <v>37</v>
      </c>
      <c r="C857" t="str">
        <f t="shared" si="54"/>
        <v>36-45</v>
      </c>
      <c r="D857" t="s">
        <v>38</v>
      </c>
      <c r="E857" t="s">
        <v>32</v>
      </c>
      <c r="F857" s="3">
        <v>1389</v>
      </c>
      <c r="G857" t="s">
        <v>40</v>
      </c>
      <c r="H857" s="1">
        <v>1</v>
      </c>
      <c r="I857" t="s">
        <v>61</v>
      </c>
      <c r="J857" t="s">
        <v>34</v>
      </c>
      <c r="K857" t="s">
        <v>62</v>
      </c>
      <c r="L857" t="s">
        <v>35</v>
      </c>
      <c r="M857" s="3">
        <v>56</v>
      </c>
      <c r="N857" t="s">
        <v>61</v>
      </c>
      <c r="O857" t="s">
        <v>61</v>
      </c>
      <c r="P857" t="s">
        <v>48</v>
      </c>
      <c r="Q857" t="s">
        <v>62</v>
      </c>
      <c r="R857" t="s">
        <v>43</v>
      </c>
      <c r="S857" s="3">
        <v>6474</v>
      </c>
      <c r="T857" s="3">
        <v>9961</v>
      </c>
      <c r="U857" s="3" t="str">
        <f t="shared" si="55"/>
        <v>Medium</v>
      </c>
      <c r="V857">
        <v>1</v>
      </c>
      <c r="W857" t="s">
        <v>38</v>
      </c>
      <c r="X857" s="2">
        <v>13</v>
      </c>
      <c r="Y857" t="s">
        <v>60</v>
      </c>
      <c r="Z857" t="s">
        <v>61</v>
      </c>
      <c r="AA857">
        <v>1</v>
      </c>
      <c r="AB857">
        <v>14</v>
      </c>
      <c r="AC857">
        <v>2</v>
      </c>
      <c r="AD857">
        <v>2</v>
      </c>
      <c r="AE857">
        <v>14</v>
      </c>
      <c r="AF857">
        <v>8</v>
      </c>
      <c r="AG857">
        <v>3</v>
      </c>
      <c r="AH857">
        <v>11</v>
      </c>
      <c r="AI857" t="str">
        <f t="shared" si="52"/>
        <v>10+ Years</v>
      </c>
      <c r="AJ857" t="str">
        <f t="shared" si="53"/>
        <v>3-5</v>
      </c>
    </row>
    <row r="858" spans="1:36" x14ac:dyDescent="0.35">
      <c r="A858">
        <v>857</v>
      </c>
      <c r="B858">
        <v>20</v>
      </c>
      <c r="C858" t="str">
        <f t="shared" si="54"/>
        <v>18-25</v>
      </c>
      <c r="D858" t="s">
        <v>38</v>
      </c>
      <c r="E858" t="s">
        <v>32</v>
      </c>
      <c r="F858" s="3">
        <v>1389</v>
      </c>
      <c r="G858" t="s">
        <v>40</v>
      </c>
      <c r="H858" s="1">
        <v>3</v>
      </c>
      <c r="I858" t="s">
        <v>61</v>
      </c>
      <c r="J858" t="s">
        <v>34</v>
      </c>
      <c r="K858" t="s">
        <v>59</v>
      </c>
      <c r="L858" t="s">
        <v>41</v>
      </c>
      <c r="M858" s="3">
        <v>87</v>
      </c>
      <c r="N858" t="s">
        <v>61</v>
      </c>
      <c r="O858" t="s">
        <v>59</v>
      </c>
      <c r="P858" t="s">
        <v>45</v>
      </c>
      <c r="Q858" t="s">
        <v>60</v>
      </c>
      <c r="R858" t="s">
        <v>37</v>
      </c>
      <c r="S858" s="3">
        <v>3033</v>
      </c>
      <c r="T858" s="3">
        <v>12828</v>
      </c>
      <c r="U858" s="3" t="str">
        <f t="shared" si="55"/>
        <v>Low</v>
      </c>
      <c r="V858">
        <v>1</v>
      </c>
      <c r="W858" t="s">
        <v>38</v>
      </c>
      <c r="X858" s="2">
        <v>12</v>
      </c>
      <c r="Y858" t="s">
        <v>60</v>
      </c>
      <c r="Z858" t="s">
        <v>59</v>
      </c>
      <c r="AA858">
        <v>0</v>
      </c>
      <c r="AB858">
        <v>2</v>
      </c>
      <c r="AC858">
        <v>2</v>
      </c>
      <c r="AD858">
        <v>2</v>
      </c>
      <c r="AE858">
        <v>2</v>
      </c>
      <c r="AF858">
        <v>2</v>
      </c>
      <c r="AG858">
        <v>1</v>
      </c>
      <c r="AH858">
        <v>2</v>
      </c>
      <c r="AI858" t="str">
        <f t="shared" si="52"/>
        <v>0-2 Years</v>
      </c>
      <c r="AJ858" t="str">
        <f t="shared" si="53"/>
        <v>0-2</v>
      </c>
    </row>
    <row r="859" spans="1:36" x14ac:dyDescent="0.35">
      <c r="A859">
        <v>858</v>
      </c>
      <c r="B859">
        <v>44</v>
      </c>
      <c r="C859" t="str">
        <f t="shared" si="54"/>
        <v>36-45</v>
      </c>
      <c r="D859" t="s">
        <v>31</v>
      </c>
      <c r="E859" t="s">
        <v>32</v>
      </c>
      <c r="F859" s="3">
        <v>1389</v>
      </c>
      <c r="G859" t="s">
        <v>40</v>
      </c>
      <c r="H859" s="1">
        <v>10</v>
      </c>
      <c r="I859" t="s">
        <v>60</v>
      </c>
      <c r="J859" t="s">
        <v>34</v>
      </c>
      <c r="K859" t="s">
        <v>60</v>
      </c>
      <c r="L859" t="s">
        <v>41</v>
      </c>
      <c r="M859" s="3">
        <v>96</v>
      </c>
      <c r="N859" t="s">
        <v>60</v>
      </c>
      <c r="O859" t="s">
        <v>59</v>
      </c>
      <c r="P859" t="s">
        <v>42</v>
      </c>
      <c r="Q859" t="s">
        <v>60</v>
      </c>
      <c r="R859" t="s">
        <v>37</v>
      </c>
      <c r="S859" s="3">
        <v>2936</v>
      </c>
      <c r="T859" s="3">
        <v>10826</v>
      </c>
      <c r="U859" s="3" t="str">
        <f t="shared" si="55"/>
        <v>Low</v>
      </c>
      <c r="V859">
        <v>1</v>
      </c>
      <c r="W859" t="s">
        <v>31</v>
      </c>
      <c r="X859" s="2">
        <v>11</v>
      </c>
      <c r="Y859" t="s">
        <v>60</v>
      </c>
      <c r="Z859" t="s">
        <v>60</v>
      </c>
      <c r="AA859">
        <v>0</v>
      </c>
      <c r="AB859">
        <v>6</v>
      </c>
      <c r="AC859">
        <v>4</v>
      </c>
      <c r="AD859">
        <v>3</v>
      </c>
      <c r="AE859">
        <v>6</v>
      </c>
      <c r="AF859">
        <v>4</v>
      </c>
      <c r="AG859">
        <v>0</v>
      </c>
      <c r="AH859">
        <v>2</v>
      </c>
      <c r="AI859" t="str">
        <f t="shared" si="52"/>
        <v>6-10 Years</v>
      </c>
      <c r="AJ859" t="str">
        <f t="shared" si="53"/>
        <v>0-2</v>
      </c>
    </row>
    <row r="860" spans="1:36" x14ac:dyDescent="0.35">
      <c r="A860">
        <v>859</v>
      </c>
      <c r="B860">
        <v>53</v>
      </c>
      <c r="C860" t="str">
        <f t="shared" si="54"/>
        <v>46-55</v>
      </c>
      <c r="D860" t="s">
        <v>38</v>
      </c>
      <c r="E860" t="s">
        <v>32</v>
      </c>
      <c r="F860" s="3">
        <v>1389</v>
      </c>
      <c r="G860" t="s">
        <v>40</v>
      </c>
      <c r="H860" s="1">
        <v>7</v>
      </c>
      <c r="I860" t="s">
        <v>58</v>
      </c>
      <c r="J860" t="s">
        <v>46</v>
      </c>
      <c r="K860" t="s">
        <v>62</v>
      </c>
      <c r="L860" t="s">
        <v>35</v>
      </c>
      <c r="M860" s="3">
        <v>50</v>
      </c>
      <c r="N860" t="s">
        <v>60</v>
      </c>
      <c r="O860" t="e">
        <v>#N/A</v>
      </c>
      <c r="P860" t="s">
        <v>51</v>
      </c>
      <c r="Q860" t="s">
        <v>60</v>
      </c>
      <c r="R860" t="s">
        <v>47</v>
      </c>
      <c r="S860" s="3">
        <v>18606</v>
      </c>
      <c r="T860" s="3">
        <v>18640</v>
      </c>
      <c r="U860" s="3" t="str">
        <f t="shared" si="55"/>
        <v>High</v>
      </c>
      <c r="V860">
        <v>3</v>
      </c>
      <c r="W860" t="s">
        <v>38</v>
      </c>
      <c r="X860" s="2">
        <v>18</v>
      </c>
      <c r="Y860" t="s">
        <v>60</v>
      </c>
      <c r="Z860" t="s">
        <v>61</v>
      </c>
      <c r="AA860">
        <v>1</v>
      </c>
      <c r="AB860">
        <v>26</v>
      </c>
      <c r="AC860">
        <v>6</v>
      </c>
      <c r="AD860">
        <v>3</v>
      </c>
      <c r="AE860">
        <v>7</v>
      </c>
      <c r="AF860">
        <v>7</v>
      </c>
      <c r="AG860">
        <v>4</v>
      </c>
      <c r="AH860">
        <v>7</v>
      </c>
      <c r="AI860" t="str">
        <f t="shared" si="52"/>
        <v>6-10 Years</v>
      </c>
      <c r="AJ860" t="str">
        <f t="shared" si="53"/>
        <v>3-5</v>
      </c>
    </row>
    <row r="861" spans="1:36" x14ac:dyDescent="0.35">
      <c r="A861">
        <v>860</v>
      </c>
      <c r="B861">
        <v>29</v>
      </c>
      <c r="C861" t="str">
        <f t="shared" si="54"/>
        <v>26-35</v>
      </c>
      <c r="D861" t="s">
        <v>38</v>
      </c>
      <c r="E861" t="s">
        <v>32</v>
      </c>
      <c r="F861" s="3">
        <v>1389</v>
      </c>
      <c r="G861" t="s">
        <v>40</v>
      </c>
      <c r="H861" s="1">
        <v>15</v>
      </c>
      <c r="I861" t="s">
        <v>59</v>
      </c>
      <c r="J861" t="s">
        <v>34</v>
      </c>
      <c r="K861" t="s">
        <v>61</v>
      </c>
      <c r="L861" t="s">
        <v>35</v>
      </c>
      <c r="M861" s="3">
        <v>69</v>
      </c>
      <c r="N861" t="s">
        <v>59</v>
      </c>
      <c r="O861" t="s">
        <v>59</v>
      </c>
      <c r="P861" t="s">
        <v>42</v>
      </c>
      <c r="Q861" t="s">
        <v>62</v>
      </c>
      <c r="R861" t="s">
        <v>43</v>
      </c>
      <c r="S861" s="3">
        <v>2168</v>
      </c>
      <c r="T861" s="3">
        <v>26933</v>
      </c>
      <c r="U861" s="3" t="str">
        <f t="shared" si="55"/>
        <v>Low</v>
      </c>
      <c r="V861">
        <v>0</v>
      </c>
      <c r="W861" t="s">
        <v>31</v>
      </c>
      <c r="X861" s="2">
        <v>18</v>
      </c>
      <c r="Y861" t="s">
        <v>60</v>
      </c>
      <c r="Z861" t="s">
        <v>59</v>
      </c>
      <c r="AA861">
        <v>1</v>
      </c>
      <c r="AB861">
        <v>6</v>
      </c>
      <c r="AC861">
        <v>2</v>
      </c>
      <c r="AD861">
        <v>2</v>
      </c>
      <c r="AE861">
        <v>5</v>
      </c>
      <c r="AF861">
        <v>4</v>
      </c>
      <c r="AG861">
        <v>1</v>
      </c>
      <c r="AH861">
        <v>3</v>
      </c>
      <c r="AI861" t="str">
        <f t="shared" si="52"/>
        <v>3-5 Years</v>
      </c>
      <c r="AJ861" t="str">
        <f t="shared" si="53"/>
        <v>0-2</v>
      </c>
    </row>
    <row r="862" spans="1:36" x14ac:dyDescent="0.35">
      <c r="A862">
        <v>861</v>
      </c>
      <c r="B862">
        <v>22</v>
      </c>
      <c r="C862" t="str">
        <f t="shared" si="54"/>
        <v>18-25</v>
      </c>
      <c r="D862" t="s">
        <v>31</v>
      </c>
      <c r="E862" t="s">
        <v>39</v>
      </c>
      <c r="F862" s="3">
        <v>1389</v>
      </c>
      <c r="G862" t="s">
        <v>40</v>
      </c>
      <c r="H862" s="1">
        <v>3</v>
      </c>
      <c r="I862" t="s">
        <v>60</v>
      </c>
      <c r="J862" t="s">
        <v>34</v>
      </c>
      <c r="K862" t="s">
        <v>60</v>
      </c>
      <c r="L862" t="s">
        <v>41</v>
      </c>
      <c r="M862" s="3">
        <v>48</v>
      </c>
      <c r="N862" t="s">
        <v>61</v>
      </c>
      <c r="O862" t="s">
        <v>59</v>
      </c>
      <c r="P862" t="s">
        <v>42</v>
      </c>
      <c r="Q862" t="s">
        <v>62</v>
      </c>
      <c r="R862" t="s">
        <v>43</v>
      </c>
      <c r="S862" s="3">
        <v>2853</v>
      </c>
      <c r="T862" s="3">
        <v>4223</v>
      </c>
      <c r="U862" s="3" t="str">
        <f t="shared" si="55"/>
        <v>Low</v>
      </c>
      <c r="V862">
        <v>0</v>
      </c>
      <c r="W862" t="s">
        <v>31</v>
      </c>
      <c r="X862" s="2">
        <v>11</v>
      </c>
      <c r="Y862" t="s">
        <v>60</v>
      </c>
      <c r="Z862" t="s">
        <v>61</v>
      </c>
      <c r="AA862">
        <v>1</v>
      </c>
      <c r="AB862">
        <v>1</v>
      </c>
      <c r="AC862">
        <v>5</v>
      </c>
      <c r="AD862">
        <v>3</v>
      </c>
      <c r="AE862">
        <v>0</v>
      </c>
      <c r="AF862">
        <v>0</v>
      </c>
      <c r="AG862">
        <v>0</v>
      </c>
      <c r="AH862">
        <v>0</v>
      </c>
      <c r="AI862" t="str">
        <f t="shared" si="52"/>
        <v>0-2 Years</v>
      </c>
      <c r="AJ862" t="str">
        <f t="shared" si="53"/>
        <v>0-2</v>
      </c>
    </row>
    <row r="863" spans="1:36" x14ac:dyDescent="0.35">
      <c r="A863">
        <v>862</v>
      </c>
      <c r="B863">
        <v>46</v>
      </c>
      <c r="C863" t="str">
        <f t="shared" si="54"/>
        <v>46-55</v>
      </c>
      <c r="D863" t="s">
        <v>38</v>
      </c>
      <c r="E863" t="s">
        <v>32</v>
      </c>
      <c r="F863" s="3">
        <v>1389</v>
      </c>
      <c r="G863" t="s">
        <v>33</v>
      </c>
      <c r="H863" s="1">
        <v>2</v>
      </c>
      <c r="I863" t="s">
        <v>61</v>
      </c>
      <c r="J863" t="s">
        <v>54</v>
      </c>
      <c r="K863" t="s">
        <v>60</v>
      </c>
      <c r="L863" t="s">
        <v>35</v>
      </c>
      <c r="M863" s="3">
        <v>69</v>
      </c>
      <c r="N863" t="s">
        <v>60</v>
      </c>
      <c r="O863" t="s">
        <v>62</v>
      </c>
      <c r="P863" t="s">
        <v>51</v>
      </c>
      <c r="Q863" t="s">
        <v>59</v>
      </c>
      <c r="R863" t="s">
        <v>43</v>
      </c>
      <c r="S863" s="3">
        <v>17048</v>
      </c>
      <c r="T863" s="3">
        <v>24097</v>
      </c>
      <c r="U863" s="3" t="str">
        <f t="shared" si="55"/>
        <v>High</v>
      </c>
      <c r="V863">
        <v>8</v>
      </c>
      <c r="W863" t="s">
        <v>38</v>
      </c>
      <c r="X863" s="2">
        <v>23</v>
      </c>
      <c r="Y863" t="s">
        <v>62</v>
      </c>
      <c r="Z863" t="s">
        <v>59</v>
      </c>
      <c r="AA863">
        <v>0</v>
      </c>
      <c r="AB863">
        <v>28</v>
      </c>
      <c r="AC863">
        <v>2</v>
      </c>
      <c r="AD863">
        <v>3</v>
      </c>
      <c r="AE863">
        <v>26</v>
      </c>
      <c r="AF863">
        <v>15</v>
      </c>
      <c r="AG863">
        <v>15</v>
      </c>
      <c r="AH863">
        <v>9</v>
      </c>
      <c r="AI863" t="str">
        <f t="shared" si="52"/>
        <v>10+ Years</v>
      </c>
      <c r="AJ863" t="str">
        <f t="shared" si="53"/>
        <v>6+</v>
      </c>
    </row>
    <row r="864" spans="1:36" x14ac:dyDescent="0.35">
      <c r="A864">
        <v>863</v>
      </c>
      <c r="B864">
        <v>44</v>
      </c>
      <c r="C864" t="str">
        <f t="shared" si="54"/>
        <v>36-45</v>
      </c>
      <c r="D864" t="s">
        <v>38</v>
      </c>
      <c r="E864" t="s">
        <v>50</v>
      </c>
      <c r="F864" s="3">
        <v>1389</v>
      </c>
      <c r="G864" t="s">
        <v>40</v>
      </c>
      <c r="H864" s="1">
        <v>17</v>
      </c>
      <c r="I864" t="s">
        <v>61</v>
      </c>
      <c r="J864" t="s">
        <v>34</v>
      </c>
      <c r="K864" t="s">
        <v>62</v>
      </c>
      <c r="L864" t="s">
        <v>41</v>
      </c>
      <c r="M864" s="3">
        <v>74</v>
      </c>
      <c r="N864" t="s">
        <v>59</v>
      </c>
      <c r="O864" t="s">
        <v>59</v>
      </c>
      <c r="P864" t="s">
        <v>42</v>
      </c>
      <c r="Q864" t="s">
        <v>60</v>
      </c>
      <c r="R864" t="s">
        <v>37</v>
      </c>
      <c r="S864" s="3">
        <v>2290</v>
      </c>
      <c r="T864" s="3">
        <v>4279</v>
      </c>
      <c r="U864" s="3" t="str">
        <f t="shared" si="55"/>
        <v>Low</v>
      </c>
      <c r="V864">
        <v>2</v>
      </c>
      <c r="W864" t="s">
        <v>38</v>
      </c>
      <c r="X864" s="2">
        <v>13</v>
      </c>
      <c r="Y864" t="s">
        <v>60</v>
      </c>
      <c r="Z864" t="s">
        <v>62</v>
      </c>
      <c r="AA864">
        <v>0</v>
      </c>
      <c r="AB864">
        <v>6</v>
      </c>
      <c r="AC864">
        <v>3</v>
      </c>
      <c r="AD864">
        <v>3</v>
      </c>
      <c r="AE864">
        <v>0</v>
      </c>
      <c r="AF864">
        <v>0</v>
      </c>
      <c r="AG864">
        <v>0</v>
      </c>
      <c r="AH864">
        <v>0</v>
      </c>
      <c r="AI864" t="str">
        <f t="shared" si="52"/>
        <v>0-2 Years</v>
      </c>
      <c r="AJ864" t="str">
        <f t="shared" si="53"/>
        <v>0-2</v>
      </c>
    </row>
    <row r="865" spans="1:36" x14ac:dyDescent="0.35">
      <c r="A865">
        <v>864</v>
      </c>
      <c r="B865">
        <v>33</v>
      </c>
      <c r="C865" t="str">
        <f t="shared" si="54"/>
        <v>26-35</v>
      </c>
      <c r="D865" t="s">
        <v>38</v>
      </c>
      <c r="E865" t="s">
        <v>32</v>
      </c>
      <c r="F865" s="3">
        <v>1389</v>
      </c>
      <c r="G865" t="s">
        <v>56</v>
      </c>
      <c r="H865" s="1">
        <v>2</v>
      </c>
      <c r="I865" t="s">
        <v>61</v>
      </c>
      <c r="J865" t="s">
        <v>56</v>
      </c>
      <c r="K865" t="s">
        <v>61</v>
      </c>
      <c r="L865" t="s">
        <v>41</v>
      </c>
      <c r="M865" s="3">
        <v>99</v>
      </c>
      <c r="N865" t="s">
        <v>60</v>
      </c>
      <c r="O865" t="s">
        <v>59</v>
      </c>
      <c r="P865" t="s">
        <v>56</v>
      </c>
      <c r="Q865" t="s">
        <v>60</v>
      </c>
      <c r="R865" t="s">
        <v>43</v>
      </c>
      <c r="S865" s="3">
        <v>3600</v>
      </c>
      <c r="T865" s="3">
        <v>8429</v>
      </c>
      <c r="U865" s="3" t="str">
        <f t="shared" si="55"/>
        <v>Low</v>
      </c>
      <c r="V865">
        <v>1</v>
      </c>
      <c r="W865" t="s">
        <v>38</v>
      </c>
      <c r="X865" s="2">
        <v>13</v>
      </c>
      <c r="Y865" t="s">
        <v>60</v>
      </c>
      <c r="Z865" t="s">
        <v>62</v>
      </c>
      <c r="AA865">
        <v>1</v>
      </c>
      <c r="AB865">
        <v>5</v>
      </c>
      <c r="AC865">
        <v>2</v>
      </c>
      <c r="AD865">
        <v>3</v>
      </c>
      <c r="AE865">
        <v>5</v>
      </c>
      <c r="AF865">
        <v>4</v>
      </c>
      <c r="AG865">
        <v>1</v>
      </c>
      <c r="AH865">
        <v>4</v>
      </c>
      <c r="AI865" t="str">
        <f t="shared" si="52"/>
        <v>3-5 Years</v>
      </c>
      <c r="AJ865" t="str">
        <f t="shared" si="53"/>
        <v>0-2</v>
      </c>
    </row>
    <row r="866" spans="1:36" x14ac:dyDescent="0.35">
      <c r="A866">
        <v>865</v>
      </c>
      <c r="B866">
        <v>41</v>
      </c>
      <c r="C866" t="str">
        <f t="shared" si="54"/>
        <v>36-45</v>
      </c>
      <c r="D866" t="s">
        <v>31</v>
      </c>
      <c r="E866" t="s">
        <v>50</v>
      </c>
      <c r="F866" s="3">
        <v>1389</v>
      </c>
      <c r="G866" t="s">
        <v>40</v>
      </c>
      <c r="H866" s="1">
        <v>5</v>
      </c>
      <c r="I866" t="s">
        <v>58</v>
      </c>
      <c r="J866" t="s">
        <v>34</v>
      </c>
      <c r="K866" t="s">
        <v>59</v>
      </c>
      <c r="L866" t="s">
        <v>41</v>
      </c>
      <c r="M866" s="3">
        <v>95</v>
      </c>
      <c r="N866" t="s">
        <v>61</v>
      </c>
      <c r="O866" t="s">
        <v>59</v>
      </c>
      <c r="P866" t="s">
        <v>42</v>
      </c>
      <c r="Q866" t="s">
        <v>59</v>
      </c>
      <c r="R866" t="s">
        <v>47</v>
      </c>
      <c r="S866" s="3">
        <v>2107</v>
      </c>
      <c r="T866" s="3">
        <v>20293</v>
      </c>
      <c r="U866" s="3" t="str">
        <f t="shared" si="55"/>
        <v>Low</v>
      </c>
      <c r="V866">
        <v>6</v>
      </c>
      <c r="W866" t="s">
        <v>38</v>
      </c>
      <c r="X866" s="2">
        <v>17</v>
      </c>
      <c r="Y866" t="s">
        <v>60</v>
      </c>
      <c r="Z866" t="s">
        <v>59</v>
      </c>
      <c r="AA866">
        <v>1</v>
      </c>
      <c r="AB866">
        <v>5</v>
      </c>
      <c r="AC866">
        <v>2</v>
      </c>
      <c r="AD866">
        <v>1</v>
      </c>
      <c r="AE866">
        <v>1</v>
      </c>
      <c r="AF866">
        <v>0</v>
      </c>
      <c r="AG866">
        <v>0</v>
      </c>
      <c r="AH866">
        <v>0</v>
      </c>
      <c r="AI866" t="str">
        <f t="shared" si="52"/>
        <v>0-2 Years</v>
      </c>
      <c r="AJ866" t="str">
        <f t="shared" si="53"/>
        <v>0-2</v>
      </c>
    </row>
    <row r="867" spans="1:36" x14ac:dyDescent="0.35">
      <c r="A867">
        <v>866</v>
      </c>
      <c r="B867">
        <v>30</v>
      </c>
      <c r="C867" t="str">
        <f t="shared" si="54"/>
        <v>26-35</v>
      </c>
      <c r="D867" t="s">
        <v>38</v>
      </c>
      <c r="E867" t="s">
        <v>32</v>
      </c>
      <c r="F867" s="3">
        <v>1389</v>
      </c>
      <c r="G867" t="s">
        <v>33</v>
      </c>
      <c r="H867" s="1">
        <v>29</v>
      </c>
      <c r="I867" t="s">
        <v>60</v>
      </c>
      <c r="J867" t="s">
        <v>34</v>
      </c>
      <c r="K867" t="s">
        <v>60</v>
      </c>
      <c r="L867" t="s">
        <v>41</v>
      </c>
      <c r="M867" s="3">
        <v>61</v>
      </c>
      <c r="N867" t="s">
        <v>60</v>
      </c>
      <c r="O867" t="s">
        <v>61</v>
      </c>
      <c r="P867" t="s">
        <v>36</v>
      </c>
      <c r="Q867" t="s">
        <v>59</v>
      </c>
      <c r="R867" t="s">
        <v>47</v>
      </c>
      <c r="S867" s="3">
        <v>4115</v>
      </c>
      <c r="T867" s="3">
        <v>13192</v>
      </c>
      <c r="U867" s="3" t="str">
        <f t="shared" si="55"/>
        <v>Low</v>
      </c>
      <c r="V867">
        <v>8</v>
      </c>
      <c r="W867" t="s">
        <v>38</v>
      </c>
      <c r="X867" s="2">
        <v>19</v>
      </c>
      <c r="Y867" t="s">
        <v>60</v>
      </c>
      <c r="Z867" t="s">
        <v>60</v>
      </c>
      <c r="AA867">
        <v>3</v>
      </c>
      <c r="AB867">
        <v>8</v>
      </c>
      <c r="AC867">
        <v>3</v>
      </c>
      <c r="AD867">
        <v>3</v>
      </c>
      <c r="AE867">
        <v>4</v>
      </c>
      <c r="AF867">
        <v>3</v>
      </c>
      <c r="AG867">
        <v>0</v>
      </c>
      <c r="AH867">
        <v>3</v>
      </c>
      <c r="AI867" t="str">
        <f t="shared" si="52"/>
        <v>3-5 Years</v>
      </c>
      <c r="AJ867" t="str">
        <f t="shared" si="53"/>
        <v>0-2</v>
      </c>
    </row>
    <row r="868" spans="1:36" x14ac:dyDescent="0.35">
      <c r="A868">
        <v>867</v>
      </c>
      <c r="B868">
        <v>40</v>
      </c>
      <c r="C868" t="str">
        <f t="shared" si="54"/>
        <v>36-45</v>
      </c>
      <c r="D868" t="s">
        <v>38</v>
      </c>
      <c r="E868" t="s">
        <v>39</v>
      </c>
      <c r="F868" s="3">
        <v>1389</v>
      </c>
      <c r="G868" t="s">
        <v>33</v>
      </c>
      <c r="H868" s="1">
        <v>2</v>
      </c>
      <c r="I868" t="s">
        <v>60</v>
      </c>
      <c r="J868" t="s">
        <v>46</v>
      </c>
      <c r="K868" t="s">
        <v>61</v>
      </c>
      <c r="L868" t="s">
        <v>41</v>
      </c>
      <c r="M868" s="3">
        <v>62</v>
      </c>
      <c r="N868" t="s">
        <v>60</v>
      </c>
      <c r="O868" t="s">
        <v>61</v>
      </c>
      <c r="P868" t="s">
        <v>36</v>
      </c>
      <c r="Q868" t="s">
        <v>61</v>
      </c>
      <c r="R868" t="s">
        <v>43</v>
      </c>
      <c r="S868" s="3">
        <v>4327</v>
      </c>
      <c r="T868" s="3">
        <v>25440</v>
      </c>
      <c r="U868" s="3" t="str">
        <f t="shared" si="55"/>
        <v>Low</v>
      </c>
      <c r="V868">
        <v>5</v>
      </c>
      <c r="W868" t="s">
        <v>38</v>
      </c>
      <c r="X868" s="2">
        <v>12</v>
      </c>
      <c r="Y868" t="s">
        <v>60</v>
      </c>
      <c r="Z868" t="s">
        <v>62</v>
      </c>
      <c r="AA868">
        <v>3</v>
      </c>
      <c r="AB868">
        <v>5</v>
      </c>
      <c r="AC868">
        <v>2</v>
      </c>
      <c r="AD868">
        <v>3</v>
      </c>
      <c r="AE868">
        <v>0</v>
      </c>
      <c r="AF868">
        <v>0</v>
      </c>
      <c r="AG868">
        <v>0</v>
      </c>
      <c r="AH868">
        <v>0</v>
      </c>
      <c r="AI868" t="str">
        <f t="shared" si="52"/>
        <v>0-2 Years</v>
      </c>
      <c r="AJ868" t="str">
        <f t="shared" si="53"/>
        <v>0-2</v>
      </c>
    </row>
    <row r="869" spans="1:36" x14ac:dyDescent="0.35">
      <c r="A869">
        <v>868</v>
      </c>
      <c r="B869">
        <v>50</v>
      </c>
      <c r="C869" t="str">
        <f t="shared" si="54"/>
        <v>46-55</v>
      </c>
      <c r="D869" t="s">
        <v>38</v>
      </c>
      <c r="E869" t="s">
        <v>39</v>
      </c>
      <c r="F869" s="3">
        <v>1389</v>
      </c>
      <c r="G869" t="s">
        <v>40</v>
      </c>
      <c r="H869" s="1">
        <v>2</v>
      </c>
      <c r="I869" t="s">
        <v>61</v>
      </c>
      <c r="J869" t="s">
        <v>46</v>
      </c>
      <c r="K869" t="s">
        <v>62</v>
      </c>
      <c r="L869" t="s">
        <v>35</v>
      </c>
      <c r="M869" s="3">
        <v>30</v>
      </c>
      <c r="N869" t="s">
        <v>60</v>
      </c>
      <c r="O869" t="s">
        <v>62</v>
      </c>
      <c r="P869" t="s">
        <v>51</v>
      </c>
      <c r="Q869" t="s">
        <v>59</v>
      </c>
      <c r="R869" t="s">
        <v>43</v>
      </c>
      <c r="S869" s="3">
        <v>17856</v>
      </c>
      <c r="T869" s="3">
        <v>9490</v>
      </c>
      <c r="U869" s="3" t="str">
        <f t="shared" si="55"/>
        <v>High</v>
      </c>
      <c r="V869">
        <v>2</v>
      </c>
      <c r="W869" t="s">
        <v>38</v>
      </c>
      <c r="X869" s="2">
        <v>22</v>
      </c>
      <c r="Y869" t="s">
        <v>62</v>
      </c>
      <c r="Z869" t="s">
        <v>60</v>
      </c>
      <c r="AA869">
        <v>1</v>
      </c>
      <c r="AB869">
        <v>32</v>
      </c>
      <c r="AC869">
        <v>3</v>
      </c>
      <c r="AD869">
        <v>3</v>
      </c>
      <c r="AE869">
        <v>2</v>
      </c>
      <c r="AF869">
        <v>2</v>
      </c>
      <c r="AG869">
        <v>2</v>
      </c>
      <c r="AH869">
        <v>2</v>
      </c>
      <c r="AI869" t="str">
        <f t="shared" si="52"/>
        <v>0-2 Years</v>
      </c>
      <c r="AJ869" t="str">
        <f t="shared" si="53"/>
        <v>0-2</v>
      </c>
    </row>
    <row r="870" spans="1:36" x14ac:dyDescent="0.35">
      <c r="A870">
        <v>869</v>
      </c>
      <c r="B870">
        <v>28</v>
      </c>
      <c r="C870" t="str">
        <f t="shared" si="54"/>
        <v>26-35</v>
      </c>
      <c r="D870" t="s">
        <v>38</v>
      </c>
      <c r="E870" t="s">
        <v>32</v>
      </c>
      <c r="F870" s="3">
        <v>1389</v>
      </c>
      <c r="G870" t="s">
        <v>40</v>
      </c>
      <c r="H870" s="1">
        <v>19</v>
      </c>
      <c r="I870" t="s">
        <v>60</v>
      </c>
      <c r="J870" t="s">
        <v>46</v>
      </c>
      <c r="K870" t="s">
        <v>62</v>
      </c>
      <c r="L870" t="s">
        <v>41</v>
      </c>
      <c r="M870" s="3">
        <v>78</v>
      </c>
      <c r="N870" t="s">
        <v>61</v>
      </c>
      <c r="O870" t="s">
        <v>59</v>
      </c>
      <c r="P870" t="s">
        <v>45</v>
      </c>
      <c r="Q870" t="s">
        <v>59</v>
      </c>
      <c r="R870" t="s">
        <v>43</v>
      </c>
      <c r="S870" s="3">
        <v>3196</v>
      </c>
      <c r="T870" s="3">
        <v>12449</v>
      </c>
      <c r="U870" s="3" t="str">
        <f t="shared" si="55"/>
        <v>Low</v>
      </c>
      <c r="V870">
        <v>1</v>
      </c>
      <c r="W870" t="s">
        <v>38</v>
      </c>
      <c r="X870" s="2">
        <v>12</v>
      </c>
      <c r="Y870" t="s">
        <v>60</v>
      </c>
      <c r="Z870" t="s">
        <v>60</v>
      </c>
      <c r="AA870">
        <v>3</v>
      </c>
      <c r="AB870">
        <v>6</v>
      </c>
      <c r="AC870">
        <v>2</v>
      </c>
      <c r="AD870">
        <v>3</v>
      </c>
      <c r="AE870">
        <v>6</v>
      </c>
      <c r="AF870">
        <v>5</v>
      </c>
      <c r="AG870">
        <v>3</v>
      </c>
      <c r="AH870">
        <v>3</v>
      </c>
      <c r="AI870" t="str">
        <f t="shared" si="52"/>
        <v>6-10 Years</v>
      </c>
      <c r="AJ870" t="str">
        <f t="shared" si="53"/>
        <v>3-5</v>
      </c>
    </row>
    <row r="871" spans="1:36" x14ac:dyDescent="0.35">
      <c r="A871">
        <v>870</v>
      </c>
      <c r="B871">
        <v>46</v>
      </c>
      <c r="C871" t="str">
        <f t="shared" si="54"/>
        <v>46-55</v>
      </c>
      <c r="D871" t="s">
        <v>38</v>
      </c>
      <c r="E871" t="s">
        <v>32</v>
      </c>
      <c r="F871" s="3">
        <v>1389</v>
      </c>
      <c r="G871" t="s">
        <v>40</v>
      </c>
      <c r="H871" s="1">
        <v>15</v>
      </c>
      <c r="I871" t="s">
        <v>58</v>
      </c>
      <c r="J871" t="s">
        <v>34</v>
      </c>
      <c r="K871" t="s">
        <v>62</v>
      </c>
      <c r="L871" t="s">
        <v>41</v>
      </c>
      <c r="M871" s="3">
        <v>52</v>
      </c>
      <c r="N871" t="s">
        <v>60</v>
      </c>
      <c r="O871" t="e">
        <v>#N/A</v>
      </c>
      <c r="P871" t="s">
        <v>53</v>
      </c>
      <c r="Q871" t="s">
        <v>61</v>
      </c>
      <c r="R871" t="s">
        <v>43</v>
      </c>
      <c r="S871" s="3">
        <v>19081</v>
      </c>
      <c r="T871" s="3">
        <v>10849</v>
      </c>
      <c r="U871" s="3" t="str">
        <f t="shared" si="55"/>
        <v>High</v>
      </c>
      <c r="V871">
        <v>5</v>
      </c>
      <c r="W871" t="s">
        <v>38</v>
      </c>
      <c r="X871" s="2">
        <v>11</v>
      </c>
      <c r="Y871" t="s">
        <v>60</v>
      </c>
      <c r="Z871" t="s">
        <v>59</v>
      </c>
      <c r="AA871">
        <v>1</v>
      </c>
      <c r="AB871">
        <v>25</v>
      </c>
      <c r="AC871">
        <v>2</v>
      </c>
      <c r="AD871">
        <v>3</v>
      </c>
      <c r="AE871">
        <v>4</v>
      </c>
      <c r="AF871">
        <v>2</v>
      </c>
      <c r="AG871">
        <v>0</v>
      </c>
      <c r="AH871">
        <v>3</v>
      </c>
      <c r="AI871" t="str">
        <f t="shared" si="52"/>
        <v>3-5 Years</v>
      </c>
      <c r="AJ871" t="str">
        <f t="shared" si="53"/>
        <v>0-2</v>
      </c>
    </row>
    <row r="872" spans="1:36" x14ac:dyDescent="0.35">
      <c r="A872">
        <v>871</v>
      </c>
      <c r="B872">
        <v>35</v>
      </c>
      <c r="C872" t="str">
        <f t="shared" si="54"/>
        <v>26-35</v>
      </c>
      <c r="D872" t="s">
        <v>38</v>
      </c>
      <c r="E872" t="s">
        <v>32</v>
      </c>
      <c r="F872" s="3">
        <v>1389</v>
      </c>
      <c r="G872" t="s">
        <v>33</v>
      </c>
      <c r="H872" s="1">
        <v>17</v>
      </c>
      <c r="I872" t="s">
        <v>60</v>
      </c>
      <c r="J872" t="s">
        <v>34</v>
      </c>
      <c r="K872" t="s">
        <v>60</v>
      </c>
      <c r="L872" t="s">
        <v>41</v>
      </c>
      <c r="M872" s="3">
        <v>94</v>
      </c>
      <c r="N872" t="s">
        <v>60</v>
      </c>
      <c r="O872" t="s">
        <v>61</v>
      </c>
      <c r="P872" t="s">
        <v>36</v>
      </c>
      <c r="Q872" t="s">
        <v>59</v>
      </c>
      <c r="R872" t="s">
        <v>43</v>
      </c>
      <c r="S872" s="3">
        <v>8966</v>
      </c>
      <c r="T872" s="3">
        <v>21026</v>
      </c>
      <c r="U872" s="3" t="str">
        <f t="shared" si="55"/>
        <v>Medium</v>
      </c>
      <c r="V872">
        <v>3</v>
      </c>
      <c r="W872" t="s">
        <v>31</v>
      </c>
      <c r="X872" s="2">
        <v>15</v>
      </c>
      <c r="Y872" t="s">
        <v>60</v>
      </c>
      <c r="Z872" t="s">
        <v>62</v>
      </c>
      <c r="AA872">
        <v>3</v>
      </c>
      <c r="AB872">
        <v>15</v>
      </c>
      <c r="AC872">
        <v>2</v>
      </c>
      <c r="AD872">
        <v>3</v>
      </c>
      <c r="AE872">
        <v>7</v>
      </c>
      <c r="AF872">
        <v>7</v>
      </c>
      <c r="AG872">
        <v>1</v>
      </c>
      <c r="AH872">
        <v>7</v>
      </c>
      <c r="AI872" t="str">
        <f t="shared" si="52"/>
        <v>6-10 Years</v>
      </c>
      <c r="AJ872" t="str">
        <f t="shared" si="53"/>
        <v>0-2</v>
      </c>
    </row>
    <row r="873" spans="1:36" x14ac:dyDescent="0.35">
      <c r="A873">
        <v>872</v>
      </c>
      <c r="B873">
        <v>24</v>
      </c>
      <c r="C873" t="str">
        <f t="shared" si="54"/>
        <v>18-25</v>
      </c>
      <c r="D873" t="s">
        <v>31</v>
      </c>
      <c r="E873" t="s">
        <v>32</v>
      </c>
      <c r="F873" s="3">
        <v>1389</v>
      </c>
      <c r="G873" t="s">
        <v>40</v>
      </c>
      <c r="H873" s="1">
        <v>17</v>
      </c>
      <c r="I873" t="s">
        <v>58</v>
      </c>
      <c r="J873" t="s">
        <v>34</v>
      </c>
      <c r="K873" t="s">
        <v>62</v>
      </c>
      <c r="L873" t="s">
        <v>35</v>
      </c>
      <c r="M873" s="3">
        <v>97</v>
      </c>
      <c r="N873" t="s">
        <v>60</v>
      </c>
      <c r="O873" t="s">
        <v>59</v>
      </c>
      <c r="P873" t="s">
        <v>45</v>
      </c>
      <c r="Q873" t="s">
        <v>61</v>
      </c>
      <c r="R873" t="s">
        <v>43</v>
      </c>
      <c r="S873" s="3">
        <v>2210</v>
      </c>
      <c r="T873" s="3">
        <v>3372</v>
      </c>
      <c r="U873" s="3" t="str">
        <f t="shared" si="55"/>
        <v>Low</v>
      </c>
      <c r="V873">
        <v>1</v>
      </c>
      <c r="W873" t="s">
        <v>38</v>
      </c>
      <c r="X873" s="2">
        <v>13</v>
      </c>
      <c r="Y873" t="s">
        <v>60</v>
      </c>
      <c r="Z873" t="s">
        <v>59</v>
      </c>
      <c r="AA873">
        <v>1</v>
      </c>
      <c r="AB873">
        <v>1</v>
      </c>
      <c r="AC873">
        <v>3</v>
      </c>
      <c r="AD873">
        <v>1</v>
      </c>
      <c r="AE873">
        <v>1</v>
      </c>
      <c r="AF873">
        <v>0</v>
      </c>
      <c r="AG873">
        <v>0</v>
      </c>
      <c r="AH873">
        <v>0</v>
      </c>
      <c r="AI873" t="str">
        <f t="shared" si="52"/>
        <v>0-2 Years</v>
      </c>
      <c r="AJ873" t="str">
        <f t="shared" si="53"/>
        <v>0-2</v>
      </c>
    </row>
    <row r="874" spans="1:36" x14ac:dyDescent="0.35">
      <c r="A874">
        <v>873</v>
      </c>
      <c r="B874">
        <v>33</v>
      </c>
      <c r="C874" t="str">
        <f t="shared" si="54"/>
        <v>26-35</v>
      </c>
      <c r="D874" t="s">
        <v>38</v>
      </c>
      <c r="E874" t="s">
        <v>39</v>
      </c>
      <c r="F874" s="3">
        <v>1389</v>
      </c>
      <c r="G874" t="s">
        <v>33</v>
      </c>
      <c r="H874" s="1">
        <v>25</v>
      </c>
      <c r="I874" t="s">
        <v>61</v>
      </c>
      <c r="J874" t="s">
        <v>46</v>
      </c>
      <c r="K874" t="s">
        <v>61</v>
      </c>
      <c r="L874" t="s">
        <v>35</v>
      </c>
      <c r="M874" s="3">
        <v>82</v>
      </c>
      <c r="N874" t="s">
        <v>60</v>
      </c>
      <c r="O874" t="s">
        <v>61</v>
      </c>
      <c r="P874" t="s">
        <v>36</v>
      </c>
      <c r="Q874" t="s">
        <v>60</v>
      </c>
      <c r="R874" t="s">
        <v>43</v>
      </c>
      <c r="S874" s="3">
        <v>4539</v>
      </c>
      <c r="T874" s="3">
        <v>4905</v>
      </c>
      <c r="U874" s="3" t="str">
        <f t="shared" si="55"/>
        <v>Low</v>
      </c>
      <c r="V874">
        <v>1</v>
      </c>
      <c r="W874" t="s">
        <v>38</v>
      </c>
      <c r="X874" s="2">
        <v>12</v>
      </c>
      <c r="Y874" t="s">
        <v>60</v>
      </c>
      <c r="Z874" t="s">
        <v>59</v>
      </c>
      <c r="AA874">
        <v>1</v>
      </c>
      <c r="AB874">
        <v>10</v>
      </c>
      <c r="AC874">
        <v>3</v>
      </c>
      <c r="AD874">
        <v>2</v>
      </c>
      <c r="AE874">
        <v>10</v>
      </c>
      <c r="AF874">
        <v>7</v>
      </c>
      <c r="AG874">
        <v>0</v>
      </c>
      <c r="AH874">
        <v>1</v>
      </c>
      <c r="AI874" t="str">
        <f t="shared" si="52"/>
        <v>6-10 Years</v>
      </c>
      <c r="AJ874" t="str">
        <f t="shared" si="53"/>
        <v>0-2</v>
      </c>
    </row>
    <row r="875" spans="1:36" x14ac:dyDescent="0.35">
      <c r="A875">
        <v>874</v>
      </c>
      <c r="B875">
        <v>36</v>
      </c>
      <c r="C875" t="str">
        <f t="shared" si="54"/>
        <v>36-45</v>
      </c>
      <c r="D875" t="s">
        <v>38</v>
      </c>
      <c r="E875" t="s">
        <v>32</v>
      </c>
      <c r="F875" s="3">
        <v>1389</v>
      </c>
      <c r="G875" t="s">
        <v>40</v>
      </c>
      <c r="H875" s="1">
        <v>6</v>
      </c>
      <c r="I875" t="s">
        <v>60</v>
      </c>
      <c r="J875" t="s">
        <v>34</v>
      </c>
      <c r="K875" t="s">
        <v>60</v>
      </c>
      <c r="L875" t="s">
        <v>41</v>
      </c>
      <c r="M875" s="3">
        <v>60</v>
      </c>
      <c r="N875" t="s">
        <v>59</v>
      </c>
      <c r="O875" t="s">
        <v>59</v>
      </c>
      <c r="P875" t="s">
        <v>45</v>
      </c>
      <c r="Q875" t="s">
        <v>60</v>
      </c>
      <c r="R875" t="s">
        <v>47</v>
      </c>
      <c r="S875" s="3">
        <v>2741</v>
      </c>
      <c r="T875" s="3">
        <v>6865</v>
      </c>
      <c r="U875" s="3" t="str">
        <f t="shared" si="55"/>
        <v>Low</v>
      </c>
      <c r="V875">
        <v>1</v>
      </c>
      <c r="W875" t="s">
        <v>38</v>
      </c>
      <c r="X875" s="2">
        <v>14</v>
      </c>
      <c r="Y875" t="s">
        <v>60</v>
      </c>
      <c r="Z875" t="s">
        <v>60</v>
      </c>
      <c r="AA875">
        <v>1</v>
      </c>
      <c r="AB875">
        <v>7</v>
      </c>
      <c r="AC875">
        <v>4</v>
      </c>
      <c r="AD875">
        <v>3</v>
      </c>
      <c r="AE875">
        <v>7</v>
      </c>
      <c r="AF875">
        <v>7</v>
      </c>
      <c r="AG875">
        <v>1</v>
      </c>
      <c r="AH875">
        <v>7</v>
      </c>
      <c r="AI875" t="str">
        <f t="shared" si="52"/>
        <v>6-10 Years</v>
      </c>
      <c r="AJ875" t="str">
        <f t="shared" si="53"/>
        <v>0-2</v>
      </c>
    </row>
    <row r="876" spans="1:36" x14ac:dyDescent="0.35">
      <c r="A876">
        <v>875</v>
      </c>
      <c r="B876">
        <v>30</v>
      </c>
      <c r="C876" t="str">
        <f t="shared" si="54"/>
        <v>26-35</v>
      </c>
      <c r="D876" t="s">
        <v>38</v>
      </c>
      <c r="E876" t="s">
        <v>32</v>
      </c>
      <c r="F876" s="3">
        <v>1389</v>
      </c>
      <c r="G876" t="s">
        <v>40</v>
      </c>
      <c r="H876" s="1">
        <v>7</v>
      </c>
      <c r="I876" t="s">
        <v>60</v>
      </c>
      <c r="J876" t="s">
        <v>34</v>
      </c>
      <c r="K876" t="s">
        <v>60</v>
      </c>
      <c r="L876" t="s">
        <v>41</v>
      </c>
      <c r="M876" s="3">
        <v>49</v>
      </c>
      <c r="N876" t="s">
        <v>60</v>
      </c>
      <c r="O876" t="s">
        <v>61</v>
      </c>
      <c r="P876" t="s">
        <v>45</v>
      </c>
      <c r="Q876" t="s">
        <v>60</v>
      </c>
      <c r="R876" t="s">
        <v>47</v>
      </c>
      <c r="S876" s="3">
        <v>3491</v>
      </c>
      <c r="T876" s="3">
        <v>11309</v>
      </c>
      <c r="U876" s="3" t="str">
        <f t="shared" si="55"/>
        <v>Low</v>
      </c>
      <c r="V876">
        <v>1</v>
      </c>
      <c r="W876" t="s">
        <v>38</v>
      </c>
      <c r="X876" s="2">
        <v>13</v>
      </c>
      <c r="Y876" t="s">
        <v>60</v>
      </c>
      <c r="Z876" t="s">
        <v>59</v>
      </c>
      <c r="AA876">
        <v>3</v>
      </c>
      <c r="AB876">
        <v>10</v>
      </c>
      <c r="AC876">
        <v>4</v>
      </c>
      <c r="AD876">
        <v>2</v>
      </c>
      <c r="AE876">
        <v>10</v>
      </c>
      <c r="AF876">
        <v>7</v>
      </c>
      <c r="AG876">
        <v>8</v>
      </c>
      <c r="AH876">
        <v>9</v>
      </c>
      <c r="AI876" t="str">
        <f t="shared" si="52"/>
        <v>6-10 Years</v>
      </c>
      <c r="AJ876" t="str">
        <f t="shared" si="53"/>
        <v>6+</v>
      </c>
    </row>
    <row r="877" spans="1:36" x14ac:dyDescent="0.35">
      <c r="A877">
        <v>876</v>
      </c>
      <c r="B877">
        <v>44</v>
      </c>
      <c r="C877" t="str">
        <f t="shared" si="54"/>
        <v>36-45</v>
      </c>
      <c r="D877" t="s">
        <v>38</v>
      </c>
      <c r="E877" t="s">
        <v>32</v>
      </c>
      <c r="F877" s="3">
        <v>1389</v>
      </c>
      <c r="G877" t="s">
        <v>40</v>
      </c>
      <c r="H877" s="1">
        <v>29</v>
      </c>
      <c r="I877" t="s">
        <v>60</v>
      </c>
      <c r="J877" t="s">
        <v>44</v>
      </c>
      <c r="K877" t="s">
        <v>62</v>
      </c>
      <c r="L877" t="s">
        <v>41</v>
      </c>
      <c r="M877" s="3">
        <v>32</v>
      </c>
      <c r="N877" t="s">
        <v>60</v>
      </c>
      <c r="O877" t="s">
        <v>61</v>
      </c>
      <c r="P877" t="s">
        <v>42</v>
      </c>
      <c r="Q877" t="s">
        <v>62</v>
      </c>
      <c r="R877" t="s">
        <v>37</v>
      </c>
      <c r="S877" s="3">
        <v>4541</v>
      </c>
      <c r="T877" s="3">
        <v>7744</v>
      </c>
      <c r="U877" s="3" t="str">
        <f t="shared" si="55"/>
        <v>Low</v>
      </c>
      <c r="V877">
        <v>1</v>
      </c>
      <c r="W877" t="s">
        <v>38</v>
      </c>
      <c r="X877" s="2">
        <v>25</v>
      </c>
      <c r="Y877" t="s">
        <v>62</v>
      </c>
      <c r="Z877" t="s">
        <v>61</v>
      </c>
      <c r="AA877">
        <v>0</v>
      </c>
      <c r="AB877">
        <v>20</v>
      </c>
      <c r="AC877">
        <v>3</v>
      </c>
      <c r="AD877">
        <v>3</v>
      </c>
      <c r="AE877">
        <v>20</v>
      </c>
      <c r="AF877">
        <v>11</v>
      </c>
      <c r="AG877">
        <v>13</v>
      </c>
      <c r="AH877">
        <v>17</v>
      </c>
      <c r="AI877" t="str">
        <f t="shared" si="52"/>
        <v>10+ Years</v>
      </c>
      <c r="AJ877" t="str">
        <f t="shared" si="53"/>
        <v>6+</v>
      </c>
    </row>
    <row r="878" spans="1:36" x14ac:dyDescent="0.35">
      <c r="A878">
        <v>877</v>
      </c>
      <c r="B878">
        <v>20</v>
      </c>
      <c r="C878" t="str">
        <f t="shared" si="54"/>
        <v>18-25</v>
      </c>
      <c r="D878" t="s">
        <v>38</v>
      </c>
      <c r="E878" t="s">
        <v>32</v>
      </c>
      <c r="F878" s="3">
        <v>1389</v>
      </c>
      <c r="G878" t="s">
        <v>33</v>
      </c>
      <c r="H878" s="1">
        <v>21</v>
      </c>
      <c r="I878" t="s">
        <v>61</v>
      </c>
      <c r="J878" t="s">
        <v>54</v>
      </c>
      <c r="K878" t="s">
        <v>60</v>
      </c>
      <c r="L878" t="s">
        <v>41</v>
      </c>
      <c r="M878" s="3">
        <v>43</v>
      </c>
      <c r="N878" t="s">
        <v>62</v>
      </c>
      <c r="O878" t="s">
        <v>59</v>
      </c>
      <c r="P878" t="s">
        <v>52</v>
      </c>
      <c r="Q878" t="s">
        <v>62</v>
      </c>
      <c r="R878" t="s">
        <v>37</v>
      </c>
      <c r="S878" s="3">
        <v>2678</v>
      </c>
      <c r="T878" s="3">
        <v>5050</v>
      </c>
      <c r="U878" s="3" t="str">
        <f t="shared" si="55"/>
        <v>Low</v>
      </c>
      <c r="V878">
        <v>1</v>
      </c>
      <c r="W878" t="s">
        <v>38</v>
      </c>
      <c r="X878" s="2">
        <v>17</v>
      </c>
      <c r="Y878" t="s">
        <v>60</v>
      </c>
      <c r="Z878" t="s">
        <v>62</v>
      </c>
      <c r="AA878">
        <v>0</v>
      </c>
      <c r="AB878">
        <v>2</v>
      </c>
      <c r="AC878">
        <v>2</v>
      </c>
      <c r="AD878">
        <v>3</v>
      </c>
      <c r="AE878">
        <v>2</v>
      </c>
      <c r="AF878">
        <v>1</v>
      </c>
      <c r="AG878">
        <v>2</v>
      </c>
      <c r="AH878">
        <v>2</v>
      </c>
      <c r="AI878" t="str">
        <f t="shared" si="52"/>
        <v>0-2 Years</v>
      </c>
      <c r="AJ878" t="str">
        <f t="shared" si="53"/>
        <v>0-2</v>
      </c>
    </row>
    <row r="879" spans="1:36" x14ac:dyDescent="0.35">
      <c r="A879">
        <v>878</v>
      </c>
      <c r="B879">
        <v>46</v>
      </c>
      <c r="C879" t="str">
        <f t="shared" si="54"/>
        <v>46-55</v>
      </c>
      <c r="D879" t="s">
        <v>38</v>
      </c>
      <c r="E879" t="s">
        <v>32</v>
      </c>
      <c r="F879" s="3">
        <v>1389</v>
      </c>
      <c r="G879" t="s">
        <v>40</v>
      </c>
      <c r="H879" s="1">
        <v>2</v>
      </c>
      <c r="I879" t="s">
        <v>60</v>
      </c>
      <c r="J879" t="s">
        <v>55</v>
      </c>
      <c r="K879" t="s">
        <v>62</v>
      </c>
      <c r="L879" t="s">
        <v>41</v>
      </c>
      <c r="M879" s="3">
        <v>60</v>
      </c>
      <c r="N879" t="s">
        <v>60</v>
      </c>
      <c r="O879" t="s">
        <v>61</v>
      </c>
      <c r="P879" t="s">
        <v>48</v>
      </c>
      <c r="Q879" t="s">
        <v>62</v>
      </c>
      <c r="R879" t="s">
        <v>47</v>
      </c>
      <c r="S879" s="3">
        <v>7379</v>
      </c>
      <c r="T879" s="3">
        <v>17433</v>
      </c>
      <c r="U879" s="3" t="str">
        <f t="shared" si="55"/>
        <v>Medium</v>
      </c>
      <c r="V879">
        <v>2</v>
      </c>
      <c r="W879" t="s">
        <v>38</v>
      </c>
      <c r="X879" s="2">
        <v>11</v>
      </c>
      <c r="Y879" t="s">
        <v>60</v>
      </c>
      <c r="Z879" t="s">
        <v>60</v>
      </c>
      <c r="AA879">
        <v>1</v>
      </c>
      <c r="AB879">
        <v>12</v>
      </c>
      <c r="AC879">
        <v>3</v>
      </c>
      <c r="AD879">
        <v>2</v>
      </c>
      <c r="AE879">
        <v>6</v>
      </c>
      <c r="AF879">
        <v>3</v>
      </c>
      <c r="AG879">
        <v>1</v>
      </c>
      <c r="AH879">
        <v>4</v>
      </c>
      <c r="AI879" t="str">
        <f t="shared" si="52"/>
        <v>6-10 Years</v>
      </c>
      <c r="AJ879" t="str">
        <f t="shared" si="53"/>
        <v>0-2</v>
      </c>
    </row>
    <row r="880" spans="1:36" x14ac:dyDescent="0.35">
      <c r="A880">
        <v>879</v>
      </c>
      <c r="B880">
        <v>42</v>
      </c>
      <c r="C880" t="str">
        <f t="shared" si="54"/>
        <v>36-45</v>
      </c>
      <c r="D880" t="s">
        <v>38</v>
      </c>
      <c r="E880" t="s">
        <v>50</v>
      </c>
      <c r="F880" s="3">
        <v>1389</v>
      </c>
      <c r="G880" t="s">
        <v>56</v>
      </c>
      <c r="H880" s="1">
        <v>2</v>
      </c>
      <c r="I880" t="s">
        <v>62</v>
      </c>
      <c r="J880" t="s">
        <v>46</v>
      </c>
      <c r="K880" t="s">
        <v>62</v>
      </c>
      <c r="L880" t="s">
        <v>41</v>
      </c>
      <c r="M880" s="3">
        <v>79</v>
      </c>
      <c r="N880" t="s">
        <v>62</v>
      </c>
      <c r="O880" t="s">
        <v>61</v>
      </c>
      <c r="P880" t="s">
        <v>56</v>
      </c>
      <c r="Q880" t="s">
        <v>59</v>
      </c>
      <c r="R880" t="s">
        <v>43</v>
      </c>
      <c r="S880" s="3">
        <v>6272</v>
      </c>
      <c r="T880" s="3">
        <v>12858</v>
      </c>
      <c r="U880" s="3" t="str">
        <f t="shared" si="55"/>
        <v>Medium</v>
      </c>
      <c r="V880">
        <v>7</v>
      </c>
      <c r="W880" t="s">
        <v>38</v>
      </c>
      <c r="X880" s="2">
        <v>16</v>
      </c>
      <c r="Y880" t="s">
        <v>60</v>
      </c>
      <c r="Z880" t="s">
        <v>59</v>
      </c>
      <c r="AA880">
        <v>1</v>
      </c>
      <c r="AB880">
        <v>10</v>
      </c>
      <c r="AC880">
        <v>3</v>
      </c>
      <c r="AD880">
        <v>4</v>
      </c>
      <c r="AE880">
        <v>4</v>
      </c>
      <c r="AF880">
        <v>3</v>
      </c>
      <c r="AG880">
        <v>0</v>
      </c>
      <c r="AH880">
        <v>3</v>
      </c>
      <c r="AI880" t="str">
        <f t="shared" si="52"/>
        <v>3-5 Years</v>
      </c>
      <c r="AJ880" t="str">
        <f t="shared" si="53"/>
        <v>0-2</v>
      </c>
    </row>
    <row r="881" spans="1:36" x14ac:dyDescent="0.35">
      <c r="A881">
        <v>880</v>
      </c>
      <c r="B881">
        <v>60</v>
      </c>
      <c r="C881" t="str">
        <f t="shared" si="54"/>
        <v>55+</v>
      </c>
      <c r="D881" t="s">
        <v>38</v>
      </c>
      <c r="E881" t="s">
        <v>32</v>
      </c>
      <c r="F881" s="3">
        <v>1389</v>
      </c>
      <c r="G881" t="s">
        <v>33</v>
      </c>
      <c r="H881" s="1">
        <v>7</v>
      </c>
      <c r="I881" t="s">
        <v>60</v>
      </c>
      <c r="J881" t="s">
        <v>54</v>
      </c>
      <c r="K881" t="s">
        <v>61</v>
      </c>
      <c r="L881" t="s">
        <v>41</v>
      </c>
      <c r="M881" s="3">
        <v>52</v>
      </c>
      <c r="N881" t="s">
        <v>62</v>
      </c>
      <c r="O881" t="s">
        <v>61</v>
      </c>
      <c r="P881" t="s">
        <v>36</v>
      </c>
      <c r="Q881" t="s">
        <v>62</v>
      </c>
      <c r="R881" t="s">
        <v>47</v>
      </c>
      <c r="S881" s="3">
        <v>5220</v>
      </c>
      <c r="T881" s="3">
        <v>10893</v>
      </c>
      <c r="U881" s="3" t="str">
        <f t="shared" si="55"/>
        <v>Medium</v>
      </c>
      <c r="V881">
        <v>0</v>
      </c>
      <c r="W881" t="s">
        <v>31</v>
      </c>
      <c r="X881" s="2">
        <v>18</v>
      </c>
      <c r="Y881" t="s">
        <v>60</v>
      </c>
      <c r="Z881" t="s">
        <v>61</v>
      </c>
      <c r="AA881">
        <v>1</v>
      </c>
      <c r="AB881">
        <v>12</v>
      </c>
      <c r="AC881">
        <v>3</v>
      </c>
      <c r="AD881">
        <v>3</v>
      </c>
      <c r="AE881">
        <v>11</v>
      </c>
      <c r="AF881">
        <v>7</v>
      </c>
      <c r="AG881">
        <v>1</v>
      </c>
      <c r="AH881">
        <v>9</v>
      </c>
      <c r="AI881" t="str">
        <f t="shared" si="52"/>
        <v>10+ Years</v>
      </c>
      <c r="AJ881" t="str">
        <f t="shared" si="53"/>
        <v>0-2</v>
      </c>
    </row>
    <row r="882" spans="1:36" x14ac:dyDescent="0.35">
      <c r="A882">
        <v>881</v>
      </c>
      <c r="B882">
        <v>32</v>
      </c>
      <c r="C882" t="str">
        <f t="shared" si="54"/>
        <v>26-35</v>
      </c>
      <c r="D882" t="s">
        <v>38</v>
      </c>
      <c r="E882" t="s">
        <v>39</v>
      </c>
      <c r="F882" s="3">
        <v>1389</v>
      </c>
      <c r="G882" t="s">
        <v>40</v>
      </c>
      <c r="H882" s="1">
        <v>13</v>
      </c>
      <c r="I882" t="s">
        <v>61</v>
      </c>
      <c r="J882" t="s">
        <v>44</v>
      </c>
      <c r="K882" t="s">
        <v>60</v>
      </c>
      <c r="L882" t="s">
        <v>35</v>
      </c>
      <c r="M882" s="3">
        <v>77</v>
      </c>
      <c r="N882" t="s">
        <v>61</v>
      </c>
      <c r="O882" t="s">
        <v>59</v>
      </c>
      <c r="P882" t="s">
        <v>45</v>
      </c>
      <c r="Q882" t="s">
        <v>61</v>
      </c>
      <c r="R882" t="s">
        <v>43</v>
      </c>
      <c r="S882" s="3">
        <v>2743</v>
      </c>
      <c r="T882" s="3">
        <v>7331</v>
      </c>
      <c r="U882" s="3" t="str">
        <f t="shared" si="55"/>
        <v>Low</v>
      </c>
      <c r="V882">
        <v>1</v>
      </c>
      <c r="W882" t="s">
        <v>38</v>
      </c>
      <c r="X882" s="2">
        <v>20</v>
      </c>
      <c r="Y882" t="s">
        <v>62</v>
      </c>
      <c r="Z882" t="s">
        <v>60</v>
      </c>
      <c r="AA882">
        <v>1</v>
      </c>
      <c r="AB882">
        <v>2</v>
      </c>
      <c r="AC882">
        <v>2</v>
      </c>
      <c r="AD882">
        <v>3</v>
      </c>
      <c r="AE882">
        <v>2</v>
      </c>
      <c r="AF882">
        <v>2</v>
      </c>
      <c r="AG882">
        <v>2</v>
      </c>
      <c r="AH882">
        <v>2</v>
      </c>
      <c r="AI882" t="str">
        <f t="shared" si="52"/>
        <v>0-2 Years</v>
      </c>
      <c r="AJ882" t="str">
        <f t="shared" si="53"/>
        <v>0-2</v>
      </c>
    </row>
    <row r="883" spans="1:36" x14ac:dyDescent="0.35">
      <c r="A883">
        <v>882</v>
      </c>
      <c r="B883">
        <v>32</v>
      </c>
      <c r="C883" t="str">
        <f t="shared" si="54"/>
        <v>26-35</v>
      </c>
      <c r="D883" t="s">
        <v>38</v>
      </c>
      <c r="E883" t="s">
        <v>39</v>
      </c>
      <c r="F883" s="3">
        <v>1389</v>
      </c>
      <c r="G883" t="s">
        <v>40</v>
      </c>
      <c r="H883" s="1">
        <v>2</v>
      </c>
      <c r="I883" t="s">
        <v>58</v>
      </c>
      <c r="J883" t="s">
        <v>34</v>
      </c>
      <c r="K883" t="s">
        <v>62</v>
      </c>
      <c r="L883" t="s">
        <v>35</v>
      </c>
      <c r="M883" s="3">
        <v>38</v>
      </c>
      <c r="N883" t="s">
        <v>60</v>
      </c>
      <c r="O883" t="s">
        <v>61</v>
      </c>
      <c r="P883" t="s">
        <v>42</v>
      </c>
      <c r="Q883" t="s">
        <v>60</v>
      </c>
      <c r="R883" t="s">
        <v>37</v>
      </c>
      <c r="S883" s="3">
        <v>4998</v>
      </c>
      <c r="T883" s="3">
        <v>2338</v>
      </c>
      <c r="U883" s="3" t="str">
        <f t="shared" si="55"/>
        <v>Low</v>
      </c>
      <c r="V883">
        <v>4</v>
      </c>
      <c r="W883" t="s">
        <v>31</v>
      </c>
      <c r="X883" s="2">
        <v>14</v>
      </c>
      <c r="Y883" t="s">
        <v>60</v>
      </c>
      <c r="Z883" t="s">
        <v>62</v>
      </c>
      <c r="AA883">
        <v>0</v>
      </c>
      <c r="AB883">
        <v>10</v>
      </c>
      <c r="AC883">
        <v>2</v>
      </c>
      <c r="AD883">
        <v>3</v>
      </c>
      <c r="AE883">
        <v>8</v>
      </c>
      <c r="AF883">
        <v>7</v>
      </c>
      <c r="AG883">
        <v>0</v>
      </c>
      <c r="AH883">
        <v>7</v>
      </c>
      <c r="AI883" t="str">
        <f t="shared" si="52"/>
        <v>6-10 Years</v>
      </c>
      <c r="AJ883" t="str">
        <f t="shared" si="53"/>
        <v>0-2</v>
      </c>
    </row>
    <row r="884" spans="1:36" x14ac:dyDescent="0.35">
      <c r="A884">
        <v>883</v>
      </c>
      <c r="B884">
        <v>36</v>
      </c>
      <c r="C884" t="str">
        <f t="shared" si="54"/>
        <v>36-45</v>
      </c>
      <c r="D884" t="s">
        <v>38</v>
      </c>
      <c r="E884" t="s">
        <v>32</v>
      </c>
      <c r="F884" s="3">
        <v>1389</v>
      </c>
      <c r="G884" t="s">
        <v>40</v>
      </c>
      <c r="H884" s="1">
        <v>1</v>
      </c>
      <c r="I884" t="s">
        <v>61</v>
      </c>
      <c r="J884" t="s">
        <v>55</v>
      </c>
      <c r="K884" t="s">
        <v>60</v>
      </c>
      <c r="L884" t="s">
        <v>35</v>
      </c>
      <c r="M884" s="3">
        <v>77</v>
      </c>
      <c r="N884" t="s">
        <v>59</v>
      </c>
      <c r="O884" t="s">
        <v>60</v>
      </c>
      <c r="P884" t="s">
        <v>48</v>
      </c>
      <c r="Q884" t="s">
        <v>59</v>
      </c>
      <c r="R884" t="s">
        <v>47</v>
      </c>
      <c r="S884" s="3">
        <v>10252</v>
      </c>
      <c r="T884" s="3">
        <v>4235</v>
      </c>
      <c r="U884" s="3" t="str">
        <f t="shared" si="55"/>
        <v>High</v>
      </c>
      <c r="V884">
        <v>2</v>
      </c>
      <c r="W884" t="s">
        <v>31</v>
      </c>
      <c r="X884" s="2">
        <v>21</v>
      </c>
      <c r="Y884" t="s">
        <v>62</v>
      </c>
      <c r="Z884" t="s">
        <v>60</v>
      </c>
      <c r="AA884">
        <v>1</v>
      </c>
      <c r="AB884">
        <v>17</v>
      </c>
      <c r="AC884">
        <v>2</v>
      </c>
      <c r="AD884">
        <v>3</v>
      </c>
      <c r="AE884">
        <v>7</v>
      </c>
      <c r="AF884">
        <v>7</v>
      </c>
      <c r="AG884">
        <v>7</v>
      </c>
      <c r="AH884">
        <v>7</v>
      </c>
      <c r="AI884" t="str">
        <f t="shared" si="52"/>
        <v>6-10 Years</v>
      </c>
      <c r="AJ884" t="str">
        <f t="shared" si="53"/>
        <v>6+</v>
      </c>
    </row>
    <row r="885" spans="1:36" x14ac:dyDescent="0.35">
      <c r="A885">
        <v>884</v>
      </c>
      <c r="B885">
        <v>33</v>
      </c>
      <c r="C885" t="str">
        <f t="shared" si="54"/>
        <v>26-35</v>
      </c>
      <c r="D885" t="s">
        <v>38</v>
      </c>
      <c r="E885" t="s">
        <v>32</v>
      </c>
      <c r="F885" s="3">
        <v>1389</v>
      </c>
      <c r="G885" t="s">
        <v>40</v>
      </c>
      <c r="H885" s="1">
        <v>9</v>
      </c>
      <c r="I885" t="s">
        <v>61</v>
      </c>
      <c r="J885" t="s">
        <v>46</v>
      </c>
      <c r="K885" t="s">
        <v>59</v>
      </c>
      <c r="L885" t="s">
        <v>41</v>
      </c>
      <c r="M885" s="3">
        <v>60</v>
      </c>
      <c r="N885" t="s">
        <v>60</v>
      </c>
      <c r="O885" t="s">
        <v>59</v>
      </c>
      <c r="P885" t="s">
        <v>42</v>
      </c>
      <c r="Q885" t="s">
        <v>62</v>
      </c>
      <c r="R885" t="s">
        <v>43</v>
      </c>
      <c r="S885" s="3">
        <v>2781</v>
      </c>
      <c r="T885" s="3">
        <v>6311</v>
      </c>
      <c r="U885" s="3" t="str">
        <f t="shared" si="55"/>
        <v>Low</v>
      </c>
      <c r="V885">
        <v>0</v>
      </c>
      <c r="W885" t="s">
        <v>38</v>
      </c>
      <c r="X885" s="2">
        <v>13</v>
      </c>
      <c r="Y885" t="s">
        <v>60</v>
      </c>
      <c r="Z885" t="s">
        <v>61</v>
      </c>
      <c r="AA885">
        <v>1</v>
      </c>
      <c r="AB885">
        <v>15</v>
      </c>
      <c r="AC885">
        <v>5</v>
      </c>
      <c r="AD885">
        <v>3</v>
      </c>
      <c r="AE885">
        <v>14</v>
      </c>
      <c r="AF885">
        <v>10</v>
      </c>
      <c r="AG885">
        <v>4</v>
      </c>
      <c r="AH885">
        <v>10</v>
      </c>
      <c r="AI885" t="str">
        <f t="shared" si="52"/>
        <v>10+ Years</v>
      </c>
      <c r="AJ885" t="str">
        <f t="shared" si="53"/>
        <v>3-5</v>
      </c>
    </row>
    <row r="886" spans="1:36" x14ac:dyDescent="0.35">
      <c r="A886">
        <v>885</v>
      </c>
      <c r="B886">
        <v>40</v>
      </c>
      <c r="C886" t="str">
        <f t="shared" si="54"/>
        <v>36-45</v>
      </c>
      <c r="D886" t="s">
        <v>38</v>
      </c>
      <c r="E886" t="s">
        <v>32</v>
      </c>
      <c r="F886" s="3">
        <v>1389</v>
      </c>
      <c r="G886" t="s">
        <v>33</v>
      </c>
      <c r="H886" s="1">
        <v>10</v>
      </c>
      <c r="I886" t="s">
        <v>61</v>
      </c>
      <c r="J886" t="s">
        <v>55</v>
      </c>
      <c r="K886" t="s">
        <v>61</v>
      </c>
      <c r="L886" t="s">
        <v>35</v>
      </c>
      <c r="M886" s="3">
        <v>84</v>
      </c>
      <c r="N886" t="s">
        <v>61</v>
      </c>
      <c r="O886" t="s">
        <v>61</v>
      </c>
      <c r="P886" t="s">
        <v>36</v>
      </c>
      <c r="Q886" t="s">
        <v>61</v>
      </c>
      <c r="R886" t="s">
        <v>47</v>
      </c>
      <c r="S886" s="3">
        <v>6852</v>
      </c>
      <c r="T886" s="3">
        <v>11591</v>
      </c>
      <c r="U886" s="3" t="str">
        <f t="shared" si="55"/>
        <v>Medium</v>
      </c>
      <c r="V886">
        <v>7</v>
      </c>
      <c r="W886" t="s">
        <v>38</v>
      </c>
      <c r="X886" s="2">
        <v>12</v>
      </c>
      <c r="Y886" t="s">
        <v>60</v>
      </c>
      <c r="Z886" t="s">
        <v>61</v>
      </c>
      <c r="AA886">
        <v>1</v>
      </c>
      <c r="AB886">
        <v>7</v>
      </c>
      <c r="AC886">
        <v>2</v>
      </c>
      <c r="AD886">
        <v>4</v>
      </c>
      <c r="AE886">
        <v>5</v>
      </c>
      <c r="AF886">
        <v>1</v>
      </c>
      <c r="AG886">
        <v>1</v>
      </c>
      <c r="AH886">
        <v>3</v>
      </c>
      <c r="AI886" t="str">
        <f t="shared" si="52"/>
        <v>3-5 Years</v>
      </c>
      <c r="AJ886" t="str">
        <f t="shared" si="53"/>
        <v>0-2</v>
      </c>
    </row>
    <row r="887" spans="1:36" x14ac:dyDescent="0.35">
      <c r="A887">
        <v>886</v>
      </c>
      <c r="B887">
        <v>25</v>
      </c>
      <c r="C887" t="str">
        <f t="shared" si="54"/>
        <v>18-25</v>
      </c>
      <c r="D887" t="s">
        <v>38</v>
      </c>
      <c r="E887" t="s">
        <v>32</v>
      </c>
      <c r="F887" s="3">
        <v>1389</v>
      </c>
      <c r="G887" t="s">
        <v>33</v>
      </c>
      <c r="H887" s="1">
        <v>10</v>
      </c>
      <c r="I887" t="s">
        <v>60</v>
      </c>
      <c r="J887" t="s">
        <v>34</v>
      </c>
      <c r="K887" t="s">
        <v>60</v>
      </c>
      <c r="L887" t="s">
        <v>41</v>
      </c>
      <c r="M887" s="3">
        <v>57</v>
      </c>
      <c r="N887" t="s">
        <v>60</v>
      </c>
      <c r="O887" t="s">
        <v>61</v>
      </c>
      <c r="P887" t="s">
        <v>36</v>
      </c>
      <c r="Q887" t="s">
        <v>62</v>
      </c>
      <c r="R887" t="s">
        <v>37</v>
      </c>
      <c r="S887" s="3">
        <v>4950</v>
      </c>
      <c r="T887" s="3">
        <v>20623</v>
      </c>
      <c r="U887" s="3" t="str">
        <f t="shared" si="55"/>
        <v>Low</v>
      </c>
      <c r="V887">
        <v>0</v>
      </c>
      <c r="W887" t="s">
        <v>38</v>
      </c>
      <c r="X887" s="2">
        <v>14</v>
      </c>
      <c r="Y887" t="s">
        <v>60</v>
      </c>
      <c r="Z887" t="s">
        <v>61</v>
      </c>
      <c r="AA887">
        <v>0</v>
      </c>
      <c r="AB887">
        <v>5</v>
      </c>
      <c r="AC887">
        <v>4</v>
      </c>
      <c r="AD887">
        <v>3</v>
      </c>
      <c r="AE887">
        <v>4</v>
      </c>
      <c r="AF887">
        <v>3</v>
      </c>
      <c r="AG887">
        <v>1</v>
      </c>
      <c r="AH887">
        <v>1</v>
      </c>
      <c r="AI887" t="str">
        <f t="shared" si="52"/>
        <v>3-5 Years</v>
      </c>
      <c r="AJ887" t="str">
        <f t="shared" si="53"/>
        <v>0-2</v>
      </c>
    </row>
    <row r="888" spans="1:36" x14ac:dyDescent="0.35">
      <c r="A888">
        <v>887</v>
      </c>
      <c r="B888">
        <v>30</v>
      </c>
      <c r="C888" t="str">
        <f t="shared" si="54"/>
        <v>26-35</v>
      </c>
      <c r="D888" t="s">
        <v>38</v>
      </c>
      <c r="E888" t="s">
        <v>32</v>
      </c>
      <c r="F888" s="3">
        <v>1389</v>
      </c>
      <c r="G888" t="s">
        <v>40</v>
      </c>
      <c r="H888" s="1">
        <v>1</v>
      </c>
      <c r="I888" t="s">
        <v>61</v>
      </c>
      <c r="J888" t="s">
        <v>46</v>
      </c>
      <c r="K888" t="s">
        <v>62</v>
      </c>
      <c r="L888" t="s">
        <v>41</v>
      </c>
      <c r="M888" s="3">
        <v>63</v>
      </c>
      <c r="N888" t="s">
        <v>60</v>
      </c>
      <c r="O888" t="s">
        <v>59</v>
      </c>
      <c r="P888" t="s">
        <v>42</v>
      </c>
      <c r="Q888" t="s">
        <v>61</v>
      </c>
      <c r="R888" t="s">
        <v>43</v>
      </c>
      <c r="S888" s="3">
        <v>3579</v>
      </c>
      <c r="T888" s="3">
        <v>9369</v>
      </c>
      <c r="U888" s="3" t="str">
        <f t="shared" si="55"/>
        <v>Low</v>
      </c>
      <c r="V888">
        <v>0</v>
      </c>
      <c r="W888" t="s">
        <v>31</v>
      </c>
      <c r="X888" s="2">
        <v>21</v>
      </c>
      <c r="Y888" t="s">
        <v>62</v>
      </c>
      <c r="Z888" t="s">
        <v>59</v>
      </c>
      <c r="AA888">
        <v>1</v>
      </c>
      <c r="AB888">
        <v>12</v>
      </c>
      <c r="AC888">
        <v>2</v>
      </c>
      <c r="AD888">
        <v>3</v>
      </c>
      <c r="AE888">
        <v>11</v>
      </c>
      <c r="AF888">
        <v>9</v>
      </c>
      <c r="AG888">
        <v>5</v>
      </c>
      <c r="AH888">
        <v>7</v>
      </c>
      <c r="AI888" t="str">
        <f t="shared" si="52"/>
        <v>10+ Years</v>
      </c>
      <c r="AJ888" t="str">
        <f t="shared" si="53"/>
        <v>3-5</v>
      </c>
    </row>
    <row r="889" spans="1:36" x14ac:dyDescent="0.35">
      <c r="A889">
        <v>888</v>
      </c>
      <c r="B889">
        <v>42</v>
      </c>
      <c r="C889" t="str">
        <f t="shared" si="54"/>
        <v>36-45</v>
      </c>
      <c r="D889" t="s">
        <v>38</v>
      </c>
      <c r="E889" t="s">
        <v>39</v>
      </c>
      <c r="F889" s="3">
        <v>1389</v>
      </c>
      <c r="G889" t="s">
        <v>40</v>
      </c>
      <c r="H889" s="1">
        <v>26</v>
      </c>
      <c r="I889" t="s">
        <v>62</v>
      </c>
      <c r="J889" t="s">
        <v>46</v>
      </c>
      <c r="K889" t="s">
        <v>59</v>
      </c>
      <c r="L889" t="s">
        <v>35</v>
      </c>
      <c r="M889" s="3">
        <v>60</v>
      </c>
      <c r="N889" t="s">
        <v>60</v>
      </c>
      <c r="O889" t="s">
        <v>60</v>
      </c>
      <c r="P889" t="s">
        <v>53</v>
      </c>
      <c r="Q889" t="s">
        <v>59</v>
      </c>
      <c r="R889" t="s">
        <v>43</v>
      </c>
      <c r="S889" s="3">
        <v>13191</v>
      </c>
      <c r="T889" s="3">
        <v>23281</v>
      </c>
      <c r="U889" s="3" t="str">
        <f t="shared" si="55"/>
        <v>High</v>
      </c>
      <c r="V889">
        <v>3</v>
      </c>
      <c r="W889" t="s">
        <v>31</v>
      </c>
      <c r="X889" s="2">
        <v>17</v>
      </c>
      <c r="Y889" t="s">
        <v>60</v>
      </c>
      <c r="Z889" t="s">
        <v>60</v>
      </c>
      <c r="AA889">
        <v>0</v>
      </c>
      <c r="AB889">
        <v>20</v>
      </c>
      <c r="AC889">
        <v>6</v>
      </c>
      <c r="AD889">
        <v>3</v>
      </c>
      <c r="AE889">
        <v>1</v>
      </c>
      <c r="AF889">
        <v>0</v>
      </c>
      <c r="AG889">
        <v>0</v>
      </c>
      <c r="AH889">
        <v>0</v>
      </c>
      <c r="AI889" t="str">
        <f t="shared" si="52"/>
        <v>0-2 Years</v>
      </c>
      <c r="AJ889" t="str">
        <f t="shared" si="53"/>
        <v>0-2</v>
      </c>
    </row>
    <row r="890" spans="1:36" x14ac:dyDescent="0.35">
      <c r="A890">
        <v>889</v>
      </c>
      <c r="B890">
        <v>35</v>
      </c>
      <c r="C890" t="str">
        <f t="shared" si="54"/>
        <v>26-35</v>
      </c>
      <c r="D890" t="s">
        <v>38</v>
      </c>
      <c r="E890" t="s">
        <v>50</v>
      </c>
      <c r="F890" s="3">
        <v>1389</v>
      </c>
      <c r="G890" t="s">
        <v>33</v>
      </c>
      <c r="H890" s="1">
        <v>8</v>
      </c>
      <c r="I890" t="s">
        <v>58</v>
      </c>
      <c r="J890" t="s">
        <v>54</v>
      </c>
      <c r="K890" t="s">
        <v>60</v>
      </c>
      <c r="L890" t="s">
        <v>35</v>
      </c>
      <c r="M890" s="3">
        <v>78</v>
      </c>
      <c r="N890" t="s">
        <v>61</v>
      </c>
      <c r="O890" t="s">
        <v>60</v>
      </c>
      <c r="P890" t="s">
        <v>36</v>
      </c>
      <c r="Q890" t="s">
        <v>62</v>
      </c>
      <c r="R890" t="s">
        <v>43</v>
      </c>
      <c r="S890" s="3">
        <v>10377</v>
      </c>
      <c r="T890" s="3">
        <v>13755</v>
      </c>
      <c r="U890" s="3" t="str">
        <f t="shared" si="55"/>
        <v>High</v>
      </c>
      <c r="V890">
        <v>4</v>
      </c>
      <c r="W890" t="s">
        <v>31</v>
      </c>
      <c r="X890" s="2">
        <v>11</v>
      </c>
      <c r="Y890" t="s">
        <v>60</v>
      </c>
      <c r="Z890" t="s">
        <v>61</v>
      </c>
      <c r="AA890">
        <v>1</v>
      </c>
      <c r="AB890">
        <v>16</v>
      </c>
      <c r="AC890">
        <v>6</v>
      </c>
      <c r="AD890">
        <v>2</v>
      </c>
      <c r="AE890">
        <v>13</v>
      </c>
      <c r="AF890">
        <v>2</v>
      </c>
      <c r="AG890">
        <v>4</v>
      </c>
      <c r="AH890">
        <v>12</v>
      </c>
      <c r="AI890" t="str">
        <f t="shared" si="52"/>
        <v>10+ Years</v>
      </c>
      <c r="AJ890" t="str">
        <f t="shared" si="53"/>
        <v>3-5</v>
      </c>
    </row>
    <row r="891" spans="1:36" x14ac:dyDescent="0.35">
      <c r="A891">
        <v>890</v>
      </c>
      <c r="B891">
        <v>27</v>
      </c>
      <c r="C891" t="str">
        <f t="shared" si="54"/>
        <v>26-35</v>
      </c>
      <c r="D891" t="s">
        <v>38</v>
      </c>
      <c r="E891" t="s">
        <v>32</v>
      </c>
      <c r="F891" s="3">
        <v>1389</v>
      </c>
      <c r="G891" t="s">
        <v>40</v>
      </c>
      <c r="H891" s="1">
        <v>14</v>
      </c>
      <c r="I891" t="s">
        <v>61</v>
      </c>
      <c r="J891" t="s">
        <v>34</v>
      </c>
      <c r="K891" t="s">
        <v>59</v>
      </c>
      <c r="L891" t="s">
        <v>41</v>
      </c>
      <c r="M891" s="3">
        <v>42</v>
      </c>
      <c r="N891" t="s">
        <v>60</v>
      </c>
      <c r="O891" t="s">
        <v>59</v>
      </c>
      <c r="P891" t="s">
        <v>42</v>
      </c>
      <c r="Q891" t="s">
        <v>59</v>
      </c>
      <c r="R891" t="s">
        <v>43</v>
      </c>
      <c r="S891" s="3">
        <v>2235</v>
      </c>
      <c r="T891" s="3">
        <v>14377</v>
      </c>
      <c r="U891" s="3" t="str">
        <f t="shared" si="55"/>
        <v>Low</v>
      </c>
      <c r="V891">
        <v>1</v>
      </c>
      <c r="W891" t="s">
        <v>31</v>
      </c>
      <c r="X891" s="2">
        <v>14</v>
      </c>
      <c r="Y891" t="s">
        <v>60</v>
      </c>
      <c r="Z891" t="s">
        <v>62</v>
      </c>
      <c r="AA891">
        <v>2</v>
      </c>
      <c r="AB891">
        <v>9</v>
      </c>
      <c r="AC891">
        <v>3</v>
      </c>
      <c r="AD891">
        <v>2</v>
      </c>
      <c r="AE891">
        <v>9</v>
      </c>
      <c r="AF891">
        <v>7</v>
      </c>
      <c r="AG891">
        <v>6</v>
      </c>
      <c r="AH891">
        <v>8</v>
      </c>
      <c r="AI891" t="str">
        <f t="shared" si="52"/>
        <v>6-10 Years</v>
      </c>
      <c r="AJ891" t="str">
        <f t="shared" si="53"/>
        <v>6+</v>
      </c>
    </row>
    <row r="892" spans="1:36" x14ac:dyDescent="0.35">
      <c r="A892">
        <v>891</v>
      </c>
      <c r="B892">
        <v>54</v>
      </c>
      <c r="C892" t="str">
        <f t="shared" si="54"/>
        <v>46-55</v>
      </c>
      <c r="D892" t="s">
        <v>38</v>
      </c>
      <c r="E892" t="s">
        <v>39</v>
      </c>
      <c r="F892" s="3">
        <v>1389</v>
      </c>
      <c r="G892" t="s">
        <v>40</v>
      </c>
      <c r="H892" s="1">
        <v>1</v>
      </c>
      <c r="I892" t="s">
        <v>60</v>
      </c>
      <c r="J892" t="s">
        <v>34</v>
      </c>
      <c r="K892" t="s">
        <v>62</v>
      </c>
      <c r="L892" t="s">
        <v>35</v>
      </c>
      <c r="M892" s="3">
        <v>53</v>
      </c>
      <c r="N892" t="s">
        <v>60</v>
      </c>
      <c r="O892" t="s">
        <v>60</v>
      </c>
      <c r="P892" t="s">
        <v>48</v>
      </c>
      <c r="Q892" t="s">
        <v>60</v>
      </c>
      <c r="R892" t="s">
        <v>47</v>
      </c>
      <c r="S892" s="3">
        <v>10502</v>
      </c>
      <c r="T892" s="3">
        <v>9659</v>
      </c>
      <c r="U892" s="3" t="str">
        <f t="shared" si="55"/>
        <v>High</v>
      </c>
      <c r="V892">
        <v>7</v>
      </c>
      <c r="W892" t="s">
        <v>38</v>
      </c>
      <c r="X892" s="2">
        <v>17</v>
      </c>
      <c r="Y892" t="s">
        <v>60</v>
      </c>
      <c r="Z892" t="s">
        <v>59</v>
      </c>
      <c r="AA892">
        <v>1</v>
      </c>
      <c r="AB892">
        <v>33</v>
      </c>
      <c r="AC892">
        <v>2</v>
      </c>
      <c r="AD892">
        <v>1</v>
      </c>
      <c r="AE892">
        <v>5</v>
      </c>
      <c r="AF892">
        <v>4</v>
      </c>
      <c r="AG892">
        <v>1</v>
      </c>
      <c r="AH892">
        <v>4</v>
      </c>
      <c r="AI892" t="str">
        <f t="shared" si="52"/>
        <v>3-5 Years</v>
      </c>
      <c r="AJ892" t="str">
        <f t="shared" si="53"/>
        <v>0-2</v>
      </c>
    </row>
    <row r="893" spans="1:36" x14ac:dyDescent="0.35">
      <c r="A893">
        <v>892</v>
      </c>
      <c r="B893">
        <v>44</v>
      </c>
      <c r="C893" t="str">
        <f t="shared" si="54"/>
        <v>36-45</v>
      </c>
      <c r="D893" t="s">
        <v>38</v>
      </c>
      <c r="E893" t="s">
        <v>32</v>
      </c>
      <c r="F893" s="3">
        <v>1389</v>
      </c>
      <c r="G893" t="s">
        <v>40</v>
      </c>
      <c r="H893" s="1">
        <v>2</v>
      </c>
      <c r="I893" t="s">
        <v>59</v>
      </c>
      <c r="J893" t="s">
        <v>34</v>
      </c>
      <c r="K893" t="s">
        <v>59</v>
      </c>
      <c r="L893" t="s">
        <v>35</v>
      </c>
      <c r="M893" s="3">
        <v>72</v>
      </c>
      <c r="N893" t="s">
        <v>62</v>
      </c>
      <c r="O893" t="s">
        <v>59</v>
      </c>
      <c r="P893" t="s">
        <v>42</v>
      </c>
      <c r="Q893" t="s">
        <v>62</v>
      </c>
      <c r="R893" t="s">
        <v>43</v>
      </c>
      <c r="S893" s="3">
        <v>2011</v>
      </c>
      <c r="T893" s="3">
        <v>19982</v>
      </c>
      <c r="U893" s="3" t="str">
        <f t="shared" si="55"/>
        <v>Low</v>
      </c>
      <c r="V893">
        <v>1</v>
      </c>
      <c r="W893" t="s">
        <v>38</v>
      </c>
      <c r="X893" s="2">
        <v>13</v>
      </c>
      <c r="Y893" t="s">
        <v>60</v>
      </c>
      <c r="Z893" t="s">
        <v>62</v>
      </c>
      <c r="AA893">
        <v>1</v>
      </c>
      <c r="AB893">
        <v>10</v>
      </c>
      <c r="AC893">
        <v>5</v>
      </c>
      <c r="AD893">
        <v>3</v>
      </c>
      <c r="AE893">
        <v>10</v>
      </c>
      <c r="AF893">
        <v>5</v>
      </c>
      <c r="AG893">
        <v>7</v>
      </c>
      <c r="AH893">
        <v>7</v>
      </c>
      <c r="AI893" t="str">
        <f t="shared" si="52"/>
        <v>6-10 Years</v>
      </c>
      <c r="AJ893" t="str">
        <f t="shared" si="53"/>
        <v>6+</v>
      </c>
    </row>
    <row r="894" spans="1:36" x14ac:dyDescent="0.35">
      <c r="A894">
        <v>893</v>
      </c>
      <c r="B894">
        <v>19</v>
      </c>
      <c r="C894" t="str">
        <f t="shared" si="54"/>
        <v>18-25</v>
      </c>
      <c r="D894" t="s">
        <v>31</v>
      </c>
      <c r="E894" t="s">
        <v>50</v>
      </c>
      <c r="F894" s="3">
        <v>1389</v>
      </c>
      <c r="G894" t="s">
        <v>40</v>
      </c>
      <c r="H894" s="1">
        <v>10</v>
      </c>
      <c r="I894" t="s">
        <v>61</v>
      </c>
      <c r="J894" t="s">
        <v>46</v>
      </c>
      <c r="K894" t="s">
        <v>59</v>
      </c>
      <c r="L894" t="s">
        <v>35</v>
      </c>
      <c r="M894" s="3">
        <v>96</v>
      </c>
      <c r="N894" t="s">
        <v>61</v>
      </c>
      <c r="O894" t="s">
        <v>59</v>
      </c>
      <c r="P894" t="s">
        <v>42</v>
      </c>
      <c r="Q894" t="s">
        <v>61</v>
      </c>
      <c r="R894" t="s">
        <v>37</v>
      </c>
      <c r="S894" s="3">
        <v>1859</v>
      </c>
      <c r="T894" s="3">
        <v>6148</v>
      </c>
      <c r="U894" s="3" t="str">
        <f t="shared" si="55"/>
        <v>Low</v>
      </c>
      <c r="V894">
        <v>1</v>
      </c>
      <c r="W894" t="s">
        <v>31</v>
      </c>
      <c r="X894" s="2">
        <v>25</v>
      </c>
      <c r="Y894" t="s">
        <v>62</v>
      </c>
      <c r="Z894" t="s">
        <v>61</v>
      </c>
      <c r="AA894">
        <v>0</v>
      </c>
      <c r="AB894">
        <v>1</v>
      </c>
      <c r="AC894">
        <v>2</v>
      </c>
      <c r="AD894">
        <v>4</v>
      </c>
      <c r="AE894">
        <v>1</v>
      </c>
      <c r="AF894">
        <v>1</v>
      </c>
      <c r="AG894">
        <v>0</v>
      </c>
      <c r="AH894">
        <v>0</v>
      </c>
      <c r="AI894" t="str">
        <f t="shared" si="52"/>
        <v>0-2 Years</v>
      </c>
      <c r="AJ894" t="str">
        <f t="shared" si="53"/>
        <v>0-2</v>
      </c>
    </row>
    <row r="895" spans="1:36" x14ac:dyDescent="0.35">
      <c r="A895">
        <v>894</v>
      </c>
      <c r="B895">
        <v>29</v>
      </c>
      <c r="C895" t="str">
        <f t="shared" si="54"/>
        <v>26-35</v>
      </c>
      <c r="D895" t="s">
        <v>38</v>
      </c>
      <c r="E895" t="s">
        <v>32</v>
      </c>
      <c r="F895" s="3">
        <v>1389</v>
      </c>
      <c r="G895" t="s">
        <v>40</v>
      </c>
      <c r="H895" s="1">
        <v>1</v>
      </c>
      <c r="I895" t="s">
        <v>61</v>
      </c>
      <c r="J895" t="s">
        <v>34</v>
      </c>
      <c r="K895" t="s">
        <v>59</v>
      </c>
      <c r="L895" t="s">
        <v>35</v>
      </c>
      <c r="M895" s="3">
        <v>97</v>
      </c>
      <c r="N895" t="s">
        <v>60</v>
      </c>
      <c r="O895" t="s">
        <v>59</v>
      </c>
      <c r="P895" t="s">
        <v>42</v>
      </c>
      <c r="Q895" t="s">
        <v>62</v>
      </c>
      <c r="R895" t="s">
        <v>47</v>
      </c>
      <c r="S895" s="3">
        <v>3760</v>
      </c>
      <c r="T895" s="3">
        <v>5598</v>
      </c>
      <c r="U895" s="3" t="str">
        <f t="shared" si="55"/>
        <v>Low</v>
      </c>
      <c r="V895">
        <v>1</v>
      </c>
      <c r="W895" t="s">
        <v>38</v>
      </c>
      <c r="X895" s="2">
        <v>15</v>
      </c>
      <c r="Y895" t="s">
        <v>60</v>
      </c>
      <c r="Z895" t="s">
        <v>59</v>
      </c>
      <c r="AA895">
        <v>3</v>
      </c>
      <c r="AB895">
        <v>3</v>
      </c>
      <c r="AC895">
        <v>5</v>
      </c>
      <c r="AD895">
        <v>3</v>
      </c>
      <c r="AE895">
        <v>3</v>
      </c>
      <c r="AF895">
        <v>2</v>
      </c>
      <c r="AG895">
        <v>1</v>
      </c>
      <c r="AH895">
        <v>2</v>
      </c>
      <c r="AI895" t="str">
        <f t="shared" si="52"/>
        <v>3-5 Years</v>
      </c>
      <c r="AJ895" t="str">
        <f t="shared" si="53"/>
        <v>0-2</v>
      </c>
    </row>
    <row r="896" spans="1:36" x14ac:dyDescent="0.35">
      <c r="A896">
        <v>895</v>
      </c>
      <c r="B896">
        <v>54</v>
      </c>
      <c r="C896" t="str">
        <f t="shared" si="54"/>
        <v>46-55</v>
      </c>
      <c r="D896" t="s">
        <v>38</v>
      </c>
      <c r="E896" t="s">
        <v>32</v>
      </c>
      <c r="F896" s="3">
        <v>1389</v>
      </c>
      <c r="G896" t="s">
        <v>40</v>
      </c>
      <c r="H896" s="1">
        <v>3</v>
      </c>
      <c r="I896" t="s">
        <v>61</v>
      </c>
      <c r="J896" t="s">
        <v>34</v>
      </c>
      <c r="K896" t="s">
        <v>62</v>
      </c>
      <c r="L896" t="s">
        <v>41</v>
      </c>
      <c r="M896" s="3">
        <v>85</v>
      </c>
      <c r="N896" t="s">
        <v>60</v>
      </c>
      <c r="O896" t="s">
        <v>62</v>
      </c>
      <c r="P896" t="s">
        <v>53</v>
      </c>
      <c r="Q896" t="s">
        <v>62</v>
      </c>
      <c r="R896" t="s">
        <v>43</v>
      </c>
      <c r="S896" s="3">
        <v>17779</v>
      </c>
      <c r="T896" s="3">
        <v>23474</v>
      </c>
      <c r="U896" s="3" t="str">
        <f t="shared" si="55"/>
        <v>High</v>
      </c>
      <c r="V896">
        <v>3</v>
      </c>
      <c r="W896" t="s">
        <v>38</v>
      </c>
      <c r="X896" s="2">
        <v>14</v>
      </c>
      <c r="Y896" t="s">
        <v>60</v>
      </c>
      <c r="Z896" t="s">
        <v>59</v>
      </c>
      <c r="AA896">
        <v>0</v>
      </c>
      <c r="AB896">
        <v>36</v>
      </c>
      <c r="AC896">
        <v>2</v>
      </c>
      <c r="AD896">
        <v>3</v>
      </c>
      <c r="AE896">
        <v>10</v>
      </c>
      <c r="AF896">
        <v>9</v>
      </c>
      <c r="AG896">
        <v>0</v>
      </c>
      <c r="AH896">
        <v>9</v>
      </c>
      <c r="AI896" t="str">
        <f t="shared" si="52"/>
        <v>6-10 Years</v>
      </c>
      <c r="AJ896" t="str">
        <f t="shared" si="53"/>
        <v>0-2</v>
      </c>
    </row>
    <row r="897" spans="1:36" x14ac:dyDescent="0.35">
      <c r="A897">
        <v>896</v>
      </c>
      <c r="B897">
        <v>31</v>
      </c>
      <c r="C897" t="str">
        <f t="shared" si="54"/>
        <v>26-35</v>
      </c>
      <c r="D897" t="s">
        <v>38</v>
      </c>
      <c r="E897" t="s">
        <v>32</v>
      </c>
      <c r="F897" s="3">
        <v>1389</v>
      </c>
      <c r="G897" t="s">
        <v>40</v>
      </c>
      <c r="H897" s="1">
        <v>11</v>
      </c>
      <c r="I897" t="s">
        <v>58</v>
      </c>
      <c r="J897" t="s">
        <v>46</v>
      </c>
      <c r="K897" t="s">
        <v>60</v>
      </c>
      <c r="L897" t="s">
        <v>41</v>
      </c>
      <c r="M897" s="3">
        <v>80</v>
      </c>
      <c r="N897" t="s">
        <v>60</v>
      </c>
      <c r="O897" t="s">
        <v>61</v>
      </c>
      <c r="P897" t="s">
        <v>49</v>
      </c>
      <c r="Q897" t="s">
        <v>59</v>
      </c>
      <c r="R897" t="s">
        <v>43</v>
      </c>
      <c r="S897" s="3">
        <v>6833</v>
      </c>
      <c r="T897" s="3">
        <v>17089</v>
      </c>
      <c r="U897" s="3" t="str">
        <f t="shared" si="55"/>
        <v>Medium</v>
      </c>
      <c r="V897">
        <v>1</v>
      </c>
      <c r="W897" t="s">
        <v>31</v>
      </c>
      <c r="X897" s="2">
        <v>12</v>
      </c>
      <c r="Y897" t="s">
        <v>60</v>
      </c>
      <c r="Z897" t="s">
        <v>62</v>
      </c>
      <c r="AA897">
        <v>0</v>
      </c>
      <c r="AB897">
        <v>6</v>
      </c>
      <c r="AC897">
        <v>2</v>
      </c>
      <c r="AD897">
        <v>2</v>
      </c>
      <c r="AE897">
        <v>6</v>
      </c>
      <c r="AF897">
        <v>5</v>
      </c>
      <c r="AG897">
        <v>0</v>
      </c>
      <c r="AH897">
        <v>1</v>
      </c>
      <c r="AI897" t="str">
        <f t="shared" si="52"/>
        <v>6-10 Years</v>
      </c>
      <c r="AJ897" t="str">
        <f t="shared" si="53"/>
        <v>0-2</v>
      </c>
    </row>
    <row r="898" spans="1:36" x14ac:dyDescent="0.35">
      <c r="A898">
        <v>897</v>
      </c>
      <c r="B898">
        <v>31</v>
      </c>
      <c r="C898" t="str">
        <f t="shared" si="54"/>
        <v>26-35</v>
      </c>
      <c r="D898" t="s">
        <v>38</v>
      </c>
      <c r="E898" t="s">
        <v>32</v>
      </c>
      <c r="F898" s="3">
        <v>1389</v>
      </c>
      <c r="G898" t="s">
        <v>40</v>
      </c>
      <c r="H898" s="1">
        <v>24</v>
      </c>
      <c r="I898" t="s">
        <v>61</v>
      </c>
      <c r="J898" t="s">
        <v>46</v>
      </c>
      <c r="K898" t="s">
        <v>60</v>
      </c>
      <c r="L898" t="s">
        <v>35</v>
      </c>
      <c r="M898" s="3">
        <v>96</v>
      </c>
      <c r="N898" t="s">
        <v>61</v>
      </c>
      <c r="O898" t="s">
        <v>61</v>
      </c>
      <c r="P898" t="s">
        <v>49</v>
      </c>
      <c r="Q898" t="s">
        <v>59</v>
      </c>
      <c r="R898" t="s">
        <v>37</v>
      </c>
      <c r="S898" s="3">
        <v>6812</v>
      </c>
      <c r="T898" s="3">
        <v>17198</v>
      </c>
      <c r="U898" s="3" t="str">
        <f t="shared" si="55"/>
        <v>Medium</v>
      </c>
      <c r="V898">
        <v>1</v>
      </c>
      <c r="W898" t="s">
        <v>38</v>
      </c>
      <c r="X898" s="2">
        <v>19</v>
      </c>
      <c r="Y898" t="s">
        <v>60</v>
      </c>
      <c r="Z898" t="s">
        <v>61</v>
      </c>
      <c r="AA898">
        <v>0</v>
      </c>
      <c r="AB898">
        <v>10</v>
      </c>
      <c r="AC898">
        <v>2</v>
      </c>
      <c r="AD898">
        <v>3</v>
      </c>
      <c r="AE898">
        <v>10</v>
      </c>
      <c r="AF898">
        <v>9</v>
      </c>
      <c r="AG898">
        <v>1</v>
      </c>
      <c r="AH898">
        <v>8</v>
      </c>
      <c r="AI898" t="str">
        <f t="shared" ref="AI898:AI961" si="56">IF(AE898&lt;=2,"0-2 Years",
IF(AE898&lt;=5,"3-5 Years",
IF(AE898&lt;=10,"6-10 Years","10+ Years")))</f>
        <v>6-10 Years</v>
      </c>
      <c r="AJ898" t="str">
        <f t="shared" ref="AJ898:AJ961" si="57">IF(AG898&lt;=2,"0-2",
IF(AG898&lt;=5,"3-5","6+"))</f>
        <v>0-2</v>
      </c>
    </row>
    <row r="899" spans="1:36" x14ac:dyDescent="0.35">
      <c r="A899">
        <v>898</v>
      </c>
      <c r="B899">
        <v>59</v>
      </c>
      <c r="C899" t="str">
        <f t="shared" ref="C899:C962" si="58">IF(B899&lt;=25,"18-25",
IF(B899&lt;=35,"26-35",
IF(B899&lt;=45,"36-45",
IF(B899&lt;=55,"46-55","55+"))))</f>
        <v>55+</v>
      </c>
      <c r="D899" t="s">
        <v>38</v>
      </c>
      <c r="E899" t="s">
        <v>32</v>
      </c>
      <c r="F899" s="3">
        <v>1389</v>
      </c>
      <c r="G899" t="s">
        <v>33</v>
      </c>
      <c r="H899" s="1">
        <v>3</v>
      </c>
      <c r="I899" t="s">
        <v>61</v>
      </c>
      <c r="J899" t="s">
        <v>34</v>
      </c>
      <c r="K899" t="s">
        <v>60</v>
      </c>
      <c r="L899" t="s">
        <v>35</v>
      </c>
      <c r="M899" s="3">
        <v>48</v>
      </c>
      <c r="N899" t="s">
        <v>61</v>
      </c>
      <c r="O899" t="s">
        <v>61</v>
      </c>
      <c r="P899" t="s">
        <v>36</v>
      </c>
      <c r="Q899" t="s">
        <v>62</v>
      </c>
      <c r="R899" t="s">
        <v>37</v>
      </c>
      <c r="S899" s="3">
        <v>5171</v>
      </c>
      <c r="T899" s="3">
        <v>16490</v>
      </c>
      <c r="U899" s="3" t="str">
        <f t="shared" ref="U899:U962" si="59">_xlfn.IFS(S899&lt;5000,"Low",S899&lt;10000,"Medium",S899&gt;10000,"High")</f>
        <v>Medium</v>
      </c>
      <c r="V899">
        <v>5</v>
      </c>
      <c r="W899" t="s">
        <v>38</v>
      </c>
      <c r="X899" s="2">
        <v>17</v>
      </c>
      <c r="Y899" t="s">
        <v>60</v>
      </c>
      <c r="Z899" t="s">
        <v>62</v>
      </c>
      <c r="AA899">
        <v>0</v>
      </c>
      <c r="AB899">
        <v>13</v>
      </c>
      <c r="AC899">
        <v>2</v>
      </c>
      <c r="AD899">
        <v>3</v>
      </c>
      <c r="AE899">
        <v>6</v>
      </c>
      <c r="AF899">
        <v>1</v>
      </c>
      <c r="AG899">
        <v>0</v>
      </c>
      <c r="AH899">
        <v>5</v>
      </c>
      <c r="AI899" t="str">
        <f t="shared" si="56"/>
        <v>6-10 Years</v>
      </c>
      <c r="AJ899" t="str">
        <f t="shared" si="57"/>
        <v>0-2</v>
      </c>
    </row>
    <row r="900" spans="1:36" x14ac:dyDescent="0.35">
      <c r="A900">
        <v>899</v>
      </c>
      <c r="B900">
        <v>43</v>
      </c>
      <c r="C900" t="str">
        <f t="shared" si="58"/>
        <v>36-45</v>
      </c>
      <c r="D900" t="s">
        <v>38</v>
      </c>
      <c r="E900" t="s">
        <v>32</v>
      </c>
      <c r="F900" s="3">
        <v>1389</v>
      </c>
      <c r="G900" t="s">
        <v>40</v>
      </c>
      <c r="H900" s="1">
        <v>3</v>
      </c>
      <c r="I900" t="s">
        <v>61</v>
      </c>
      <c r="J900" t="s">
        <v>34</v>
      </c>
      <c r="K900" t="s">
        <v>60</v>
      </c>
      <c r="L900" t="s">
        <v>41</v>
      </c>
      <c r="M900" s="3">
        <v>96</v>
      </c>
      <c r="N900" t="s">
        <v>59</v>
      </c>
      <c r="O900" t="e">
        <v>#N/A</v>
      </c>
      <c r="P900" t="s">
        <v>53</v>
      </c>
      <c r="Q900" t="s">
        <v>62</v>
      </c>
      <c r="R900" t="s">
        <v>43</v>
      </c>
      <c r="S900" s="3">
        <v>19740</v>
      </c>
      <c r="T900" s="3">
        <v>18625</v>
      </c>
      <c r="U900" s="3" t="str">
        <f t="shared" si="59"/>
        <v>High</v>
      </c>
      <c r="V900">
        <v>3</v>
      </c>
      <c r="W900" t="s">
        <v>38</v>
      </c>
      <c r="X900" s="2">
        <v>14</v>
      </c>
      <c r="Y900" t="s">
        <v>60</v>
      </c>
      <c r="Z900" t="s">
        <v>61</v>
      </c>
      <c r="AA900">
        <v>1</v>
      </c>
      <c r="AB900">
        <v>25</v>
      </c>
      <c r="AC900">
        <v>2</v>
      </c>
      <c r="AD900">
        <v>3</v>
      </c>
      <c r="AE900">
        <v>8</v>
      </c>
      <c r="AF900">
        <v>7</v>
      </c>
      <c r="AG900">
        <v>0</v>
      </c>
      <c r="AH900">
        <v>7</v>
      </c>
      <c r="AI900" t="str">
        <f t="shared" si="56"/>
        <v>6-10 Years</v>
      </c>
      <c r="AJ900" t="str">
        <f t="shared" si="57"/>
        <v>0-2</v>
      </c>
    </row>
    <row r="901" spans="1:36" x14ac:dyDescent="0.35">
      <c r="A901">
        <v>900</v>
      </c>
      <c r="B901">
        <v>49</v>
      </c>
      <c r="C901" t="str">
        <f t="shared" si="58"/>
        <v>46-55</v>
      </c>
      <c r="D901" t="s">
        <v>38</v>
      </c>
      <c r="E901" t="s">
        <v>32</v>
      </c>
      <c r="F901" s="3">
        <v>1389</v>
      </c>
      <c r="G901" t="s">
        <v>40</v>
      </c>
      <c r="H901" s="1">
        <v>4</v>
      </c>
      <c r="I901" t="s">
        <v>58</v>
      </c>
      <c r="J901" t="s">
        <v>46</v>
      </c>
      <c r="K901" t="s">
        <v>59</v>
      </c>
      <c r="L901" t="s">
        <v>41</v>
      </c>
      <c r="M901" s="3">
        <v>85</v>
      </c>
      <c r="N901" t="s">
        <v>61</v>
      </c>
      <c r="O901" t="e">
        <v>#N/A</v>
      </c>
      <c r="P901" t="s">
        <v>51</v>
      </c>
      <c r="Q901" t="s">
        <v>60</v>
      </c>
      <c r="R901" t="s">
        <v>43</v>
      </c>
      <c r="S901" s="3">
        <v>18711</v>
      </c>
      <c r="T901" s="3">
        <v>12124</v>
      </c>
      <c r="U901" s="3" t="str">
        <f t="shared" si="59"/>
        <v>High</v>
      </c>
      <c r="V901">
        <v>2</v>
      </c>
      <c r="W901" t="s">
        <v>38</v>
      </c>
      <c r="X901" s="2">
        <v>13</v>
      </c>
      <c r="Y901" t="s">
        <v>60</v>
      </c>
      <c r="Z901" t="s">
        <v>60</v>
      </c>
      <c r="AA901">
        <v>1</v>
      </c>
      <c r="AB901">
        <v>23</v>
      </c>
      <c r="AC901">
        <v>2</v>
      </c>
      <c r="AD901">
        <v>4</v>
      </c>
      <c r="AE901">
        <v>1</v>
      </c>
      <c r="AF901">
        <v>0</v>
      </c>
      <c r="AG901">
        <v>0</v>
      </c>
      <c r="AH901">
        <v>0</v>
      </c>
      <c r="AI901" t="str">
        <f t="shared" si="56"/>
        <v>0-2 Years</v>
      </c>
      <c r="AJ901" t="str">
        <f t="shared" si="57"/>
        <v>0-2</v>
      </c>
    </row>
    <row r="902" spans="1:36" x14ac:dyDescent="0.35">
      <c r="A902">
        <v>901</v>
      </c>
      <c r="B902">
        <v>36</v>
      </c>
      <c r="C902" t="str">
        <f t="shared" si="58"/>
        <v>36-45</v>
      </c>
      <c r="D902" t="s">
        <v>38</v>
      </c>
      <c r="E902" t="s">
        <v>39</v>
      </c>
      <c r="F902" s="3">
        <v>1389</v>
      </c>
      <c r="G902" t="s">
        <v>40</v>
      </c>
      <c r="H902" s="1">
        <v>3</v>
      </c>
      <c r="I902" t="s">
        <v>61</v>
      </c>
      <c r="J902" t="s">
        <v>55</v>
      </c>
      <c r="K902" t="s">
        <v>60</v>
      </c>
      <c r="L902" t="s">
        <v>41</v>
      </c>
      <c r="M902" s="3">
        <v>46</v>
      </c>
      <c r="N902" t="s">
        <v>60</v>
      </c>
      <c r="O902" t="s">
        <v>59</v>
      </c>
      <c r="P902" t="s">
        <v>42</v>
      </c>
      <c r="Q902" t="s">
        <v>61</v>
      </c>
      <c r="R902" t="s">
        <v>43</v>
      </c>
      <c r="S902" s="3">
        <v>3692</v>
      </c>
      <c r="T902" s="3">
        <v>9256</v>
      </c>
      <c r="U902" s="3" t="str">
        <f t="shared" si="59"/>
        <v>Low</v>
      </c>
      <c r="V902">
        <v>1</v>
      </c>
      <c r="W902" t="s">
        <v>38</v>
      </c>
      <c r="X902" s="2">
        <v>12</v>
      </c>
      <c r="Y902" t="s">
        <v>60</v>
      </c>
      <c r="Z902" t="s">
        <v>60</v>
      </c>
      <c r="AA902">
        <v>0</v>
      </c>
      <c r="AB902">
        <v>12</v>
      </c>
      <c r="AC902">
        <v>2</v>
      </c>
      <c r="AD902">
        <v>2</v>
      </c>
      <c r="AE902">
        <v>11</v>
      </c>
      <c r="AF902">
        <v>10</v>
      </c>
      <c r="AG902">
        <v>0</v>
      </c>
      <c r="AH902">
        <v>7</v>
      </c>
      <c r="AI902" t="str">
        <f t="shared" si="56"/>
        <v>10+ Years</v>
      </c>
      <c r="AJ902" t="str">
        <f t="shared" si="57"/>
        <v>0-2</v>
      </c>
    </row>
    <row r="903" spans="1:36" x14ac:dyDescent="0.35">
      <c r="A903">
        <v>902</v>
      </c>
      <c r="B903">
        <v>48</v>
      </c>
      <c r="C903" t="str">
        <f t="shared" si="58"/>
        <v>46-55</v>
      </c>
      <c r="D903" t="s">
        <v>38</v>
      </c>
      <c r="E903" t="s">
        <v>32</v>
      </c>
      <c r="F903" s="3">
        <v>1389</v>
      </c>
      <c r="G903" t="s">
        <v>40</v>
      </c>
      <c r="H903" s="1">
        <v>2</v>
      </c>
      <c r="I903" t="s">
        <v>58</v>
      </c>
      <c r="J903" t="s">
        <v>55</v>
      </c>
      <c r="K903" t="s">
        <v>62</v>
      </c>
      <c r="L903" t="s">
        <v>41</v>
      </c>
      <c r="M903" s="3">
        <v>76</v>
      </c>
      <c r="N903" t="s">
        <v>62</v>
      </c>
      <c r="O903" t="s">
        <v>59</v>
      </c>
      <c r="P903" t="s">
        <v>45</v>
      </c>
      <c r="Q903" t="s">
        <v>61</v>
      </c>
      <c r="R903" t="s">
        <v>37</v>
      </c>
      <c r="S903" s="3">
        <v>2559</v>
      </c>
      <c r="T903" s="3">
        <v>16620</v>
      </c>
      <c r="U903" s="3" t="str">
        <f t="shared" si="59"/>
        <v>Low</v>
      </c>
      <c r="V903">
        <v>5</v>
      </c>
      <c r="W903" t="s">
        <v>38</v>
      </c>
      <c r="X903" s="2">
        <v>11</v>
      </c>
      <c r="Y903" t="s">
        <v>60</v>
      </c>
      <c r="Z903" t="s">
        <v>60</v>
      </c>
      <c r="AA903">
        <v>0</v>
      </c>
      <c r="AB903">
        <v>7</v>
      </c>
      <c r="AC903">
        <v>4</v>
      </c>
      <c r="AD903">
        <v>2</v>
      </c>
      <c r="AE903">
        <v>1</v>
      </c>
      <c r="AF903">
        <v>0</v>
      </c>
      <c r="AG903">
        <v>0</v>
      </c>
      <c r="AH903">
        <v>0</v>
      </c>
      <c r="AI903" t="str">
        <f t="shared" si="56"/>
        <v>0-2 Years</v>
      </c>
      <c r="AJ903" t="str">
        <f t="shared" si="57"/>
        <v>0-2</v>
      </c>
    </row>
    <row r="904" spans="1:36" x14ac:dyDescent="0.35">
      <c r="A904">
        <v>903</v>
      </c>
      <c r="B904">
        <v>27</v>
      </c>
      <c r="C904" t="str">
        <f t="shared" si="58"/>
        <v>26-35</v>
      </c>
      <c r="D904" t="s">
        <v>38</v>
      </c>
      <c r="E904" t="s">
        <v>32</v>
      </c>
      <c r="F904" s="3">
        <v>1389</v>
      </c>
      <c r="G904" t="s">
        <v>40</v>
      </c>
      <c r="H904" s="1">
        <v>4</v>
      </c>
      <c r="I904" t="s">
        <v>58</v>
      </c>
      <c r="J904" t="s">
        <v>34</v>
      </c>
      <c r="K904" t="s">
        <v>59</v>
      </c>
      <c r="L904" t="s">
        <v>41</v>
      </c>
      <c r="M904" s="3">
        <v>76</v>
      </c>
      <c r="N904" t="s">
        <v>60</v>
      </c>
      <c r="O904" t="s">
        <v>59</v>
      </c>
      <c r="P904" t="s">
        <v>42</v>
      </c>
      <c r="Q904" t="s">
        <v>60</v>
      </c>
      <c r="R904" t="s">
        <v>47</v>
      </c>
      <c r="S904" s="3">
        <v>2517</v>
      </c>
      <c r="T904" s="3">
        <v>3208</v>
      </c>
      <c r="U904" s="3" t="str">
        <f t="shared" si="59"/>
        <v>Low</v>
      </c>
      <c r="V904">
        <v>1</v>
      </c>
      <c r="W904" t="s">
        <v>38</v>
      </c>
      <c r="X904" s="2">
        <v>11</v>
      </c>
      <c r="Y904" t="s">
        <v>60</v>
      </c>
      <c r="Z904" t="s">
        <v>61</v>
      </c>
      <c r="AA904">
        <v>3</v>
      </c>
      <c r="AB904">
        <v>5</v>
      </c>
      <c r="AC904">
        <v>2</v>
      </c>
      <c r="AD904">
        <v>3</v>
      </c>
      <c r="AE904">
        <v>5</v>
      </c>
      <c r="AF904">
        <v>3</v>
      </c>
      <c r="AG904">
        <v>0</v>
      </c>
      <c r="AH904">
        <v>3</v>
      </c>
      <c r="AI904" t="str">
        <f t="shared" si="56"/>
        <v>3-5 Years</v>
      </c>
      <c r="AJ904" t="str">
        <f t="shared" si="57"/>
        <v>0-2</v>
      </c>
    </row>
    <row r="905" spans="1:36" x14ac:dyDescent="0.35">
      <c r="A905">
        <v>904</v>
      </c>
      <c r="B905">
        <v>29</v>
      </c>
      <c r="C905" t="str">
        <f t="shared" si="58"/>
        <v>26-35</v>
      </c>
      <c r="D905" t="s">
        <v>38</v>
      </c>
      <c r="E905" t="s">
        <v>32</v>
      </c>
      <c r="F905" s="3">
        <v>1389</v>
      </c>
      <c r="G905" t="s">
        <v>40</v>
      </c>
      <c r="H905" s="1">
        <v>7</v>
      </c>
      <c r="I905" t="s">
        <v>61</v>
      </c>
      <c r="J905" t="s">
        <v>34</v>
      </c>
      <c r="K905" t="s">
        <v>60</v>
      </c>
      <c r="L905" t="s">
        <v>41</v>
      </c>
      <c r="M905" s="3">
        <v>82</v>
      </c>
      <c r="N905" t="s">
        <v>60</v>
      </c>
      <c r="O905" t="s">
        <v>61</v>
      </c>
      <c r="P905" t="s">
        <v>49</v>
      </c>
      <c r="Q905" t="s">
        <v>62</v>
      </c>
      <c r="R905" t="s">
        <v>47</v>
      </c>
      <c r="S905" s="3">
        <v>6623</v>
      </c>
      <c r="T905" s="3">
        <v>4204</v>
      </c>
      <c r="U905" s="3" t="str">
        <f t="shared" si="59"/>
        <v>Medium</v>
      </c>
      <c r="V905">
        <v>1</v>
      </c>
      <c r="W905" t="s">
        <v>31</v>
      </c>
      <c r="X905" s="2">
        <v>11</v>
      </c>
      <c r="Y905" t="s">
        <v>60</v>
      </c>
      <c r="Z905" t="s">
        <v>61</v>
      </c>
      <c r="AA905">
        <v>2</v>
      </c>
      <c r="AB905">
        <v>6</v>
      </c>
      <c r="AC905">
        <v>2</v>
      </c>
      <c r="AD905">
        <v>3</v>
      </c>
      <c r="AE905">
        <v>6</v>
      </c>
      <c r="AF905">
        <v>0</v>
      </c>
      <c r="AG905">
        <v>1</v>
      </c>
      <c r="AH905">
        <v>0</v>
      </c>
      <c r="AI905" t="str">
        <f t="shared" si="56"/>
        <v>6-10 Years</v>
      </c>
      <c r="AJ905" t="str">
        <f t="shared" si="57"/>
        <v>0-2</v>
      </c>
    </row>
    <row r="906" spans="1:36" x14ac:dyDescent="0.35">
      <c r="A906">
        <v>905</v>
      </c>
      <c r="B906">
        <v>48</v>
      </c>
      <c r="C906" t="str">
        <f t="shared" si="58"/>
        <v>46-55</v>
      </c>
      <c r="D906" t="s">
        <v>38</v>
      </c>
      <c r="E906" t="s">
        <v>32</v>
      </c>
      <c r="F906" s="3">
        <v>1389</v>
      </c>
      <c r="G906" t="s">
        <v>40</v>
      </c>
      <c r="H906" s="1">
        <v>1</v>
      </c>
      <c r="I906" t="s">
        <v>61</v>
      </c>
      <c r="J906" t="s">
        <v>34</v>
      </c>
      <c r="K906" t="s">
        <v>62</v>
      </c>
      <c r="L906" t="s">
        <v>41</v>
      </c>
      <c r="M906" s="3">
        <v>76</v>
      </c>
      <c r="N906" t="s">
        <v>61</v>
      </c>
      <c r="O906" t="e">
        <v>#N/A</v>
      </c>
      <c r="P906" t="s">
        <v>53</v>
      </c>
      <c r="Q906" t="s">
        <v>62</v>
      </c>
      <c r="R906" t="s">
        <v>37</v>
      </c>
      <c r="S906" s="3">
        <v>18265</v>
      </c>
      <c r="T906" s="3">
        <v>8733</v>
      </c>
      <c r="U906" s="3" t="str">
        <f t="shared" si="59"/>
        <v>High</v>
      </c>
      <c r="V906">
        <v>6</v>
      </c>
      <c r="W906" t="s">
        <v>38</v>
      </c>
      <c r="X906" s="2">
        <v>12</v>
      </c>
      <c r="Y906" t="s">
        <v>60</v>
      </c>
      <c r="Z906" t="s">
        <v>60</v>
      </c>
      <c r="AA906">
        <v>0</v>
      </c>
      <c r="AB906">
        <v>25</v>
      </c>
      <c r="AC906">
        <v>3</v>
      </c>
      <c r="AD906">
        <v>4</v>
      </c>
      <c r="AE906">
        <v>1</v>
      </c>
      <c r="AF906">
        <v>0</v>
      </c>
      <c r="AG906">
        <v>0</v>
      </c>
      <c r="AH906">
        <v>0</v>
      </c>
      <c r="AI906" t="str">
        <f t="shared" si="56"/>
        <v>0-2 Years</v>
      </c>
      <c r="AJ906" t="str">
        <f t="shared" si="57"/>
        <v>0-2</v>
      </c>
    </row>
    <row r="907" spans="1:36" x14ac:dyDescent="0.35">
      <c r="A907">
        <v>906</v>
      </c>
      <c r="B907">
        <v>29</v>
      </c>
      <c r="C907" t="str">
        <f t="shared" si="58"/>
        <v>26-35</v>
      </c>
      <c r="D907" t="s">
        <v>38</v>
      </c>
      <c r="E907" t="s">
        <v>32</v>
      </c>
      <c r="F907" s="3">
        <v>1389</v>
      </c>
      <c r="G907" t="s">
        <v>40</v>
      </c>
      <c r="H907" s="1">
        <v>1</v>
      </c>
      <c r="I907" t="s">
        <v>61</v>
      </c>
      <c r="J907" t="s">
        <v>34</v>
      </c>
      <c r="K907" t="s">
        <v>62</v>
      </c>
      <c r="L907" t="s">
        <v>35</v>
      </c>
      <c r="M907" s="3">
        <v>87</v>
      </c>
      <c r="N907" t="s">
        <v>61</v>
      </c>
      <c r="O907" t="s">
        <v>62</v>
      </c>
      <c r="P907" t="s">
        <v>53</v>
      </c>
      <c r="Q907" t="s">
        <v>62</v>
      </c>
      <c r="R907" t="s">
        <v>47</v>
      </c>
      <c r="S907" s="3">
        <v>16124</v>
      </c>
      <c r="T907" s="3">
        <v>3423</v>
      </c>
      <c r="U907" s="3" t="str">
        <f t="shared" si="59"/>
        <v>High</v>
      </c>
      <c r="V907">
        <v>3</v>
      </c>
      <c r="W907" t="s">
        <v>38</v>
      </c>
      <c r="X907" s="2">
        <v>14</v>
      </c>
      <c r="Y907" t="s">
        <v>60</v>
      </c>
      <c r="Z907" t="s">
        <v>61</v>
      </c>
      <c r="AA907">
        <v>2</v>
      </c>
      <c r="AB907">
        <v>9</v>
      </c>
      <c r="AC907">
        <v>2</v>
      </c>
      <c r="AD907">
        <v>2</v>
      </c>
      <c r="AE907">
        <v>7</v>
      </c>
      <c r="AF907">
        <v>7</v>
      </c>
      <c r="AG907">
        <v>1</v>
      </c>
      <c r="AH907">
        <v>7</v>
      </c>
      <c r="AI907" t="str">
        <f t="shared" si="56"/>
        <v>6-10 Years</v>
      </c>
      <c r="AJ907" t="str">
        <f t="shared" si="57"/>
        <v>0-2</v>
      </c>
    </row>
    <row r="908" spans="1:36" x14ac:dyDescent="0.35">
      <c r="A908">
        <v>907</v>
      </c>
      <c r="B908">
        <v>34</v>
      </c>
      <c r="C908" t="str">
        <f t="shared" si="58"/>
        <v>26-35</v>
      </c>
      <c r="D908" t="s">
        <v>38</v>
      </c>
      <c r="E908" t="s">
        <v>32</v>
      </c>
      <c r="F908" s="3">
        <v>1389</v>
      </c>
      <c r="G908" t="s">
        <v>40</v>
      </c>
      <c r="H908" s="1">
        <v>20</v>
      </c>
      <c r="I908" t="s">
        <v>61</v>
      </c>
      <c r="J908" t="s">
        <v>55</v>
      </c>
      <c r="K908" t="s">
        <v>60</v>
      </c>
      <c r="L908" t="s">
        <v>35</v>
      </c>
      <c r="M908" s="3">
        <v>89</v>
      </c>
      <c r="N908" t="s">
        <v>62</v>
      </c>
      <c r="O908" t="s">
        <v>59</v>
      </c>
      <c r="P908" t="s">
        <v>42</v>
      </c>
      <c r="Q908" t="s">
        <v>60</v>
      </c>
      <c r="R908" t="s">
        <v>43</v>
      </c>
      <c r="S908" s="3">
        <v>2585</v>
      </c>
      <c r="T908" s="3">
        <v>21643</v>
      </c>
      <c r="U908" s="3" t="str">
        <f t="shared" si="59"/>
        <v>Low</v>
      </c>
      <c r="V908">
        <v>0</v>
      </c>
      <c r="W908" t="s">
        <v>38</v>
      </c>
      <c r="X908" s="2">
        <v>17</v>
      </c>
      <c r="Y908" t="s">
        <v>60</v>
      </c>
      <c r="Z908" t="s">
        <v>62</v>
      </c>
      <c r="AA908">
        <v>0</v>
      </c>
      <c r="AB908">
        <v>2</v>
      </c>
      <c r="AC908">
        <v>5</v>
      </c>
      <c r="AD908">
        <v>2</v>
      </c>
      <c r="AE908">
        <v>1</v>
      </c>
      <c r="AF908">
        <v>0</v>
      </c>
      <c r="AG908">
        <v>0</v>
      </c>
      <c r="AH908">
        <v>0</v>
      </c>
      <c r="AI908" t="str">
        <f t="shared" si="56"/>
        <v>0-2 Years</v>
      </c>
      <c r="AJ908" t="str">
        <f t="shared" si="57"/>
        <v>0-2</v>
      </c>
    </row>
    <row r="909" spans="1:36" x14ac:dyDescent="0.35">
      <c r="A909">
        <v>908</v>
      </c>
      <c r="B909">
        <v>44</v>
      </c>
      <c r="C909" t="str">
        <f t="shared" si="58"/>
        <v>36-45</v>
      </c>
      <c r="D909" t="s">
        <v>38</v>
      </c>
      <c r="E909" t="s">
        <v>32</v>
      </c>
      <c r="F909" s="3">
        <v>1389</v>
      </c>
      <c r="G909" t="s">
        <v>33</v>
      </c>
      <c r="H909" s="1">
        <v>5</v>
      </c>
      <c r="I909" t="s">
        <v>61</v>
      </c>
      <c r="J909" t="s">
        <v>54</v>
      </c>
      <c r="K909" t="s">
        <v>61</v>
      </c>
      <c r="L909" t="s">
        <v>41</v>
      </c>
      <c r="M909" s="3">
        <v>88</v>
      </c>
      <c r="N909" t="s">
        <v>60</v>
      </c>
      <c r="O909" t="e">
        <v>#N/A</v>
      </c>
      <c r="P909" t="s">
        <v>51</v>
      </c>
      <c r="Q909" t="s">
        <v>61</v>
      </c>
      <c r="R909" t="s">
        <v>43</v>
      </c>
      <c r="S909" s="3">
        <v>18213</v>
      </c>
      <c r="T909" s="3">
        <v>8751</v>
      </c>
      <c r="U909" s="3" t="str">
        <f t="shared" si="59"/>
        <v>High</v>
      </c>
      <c r="V909">
        <v>7</v>
      </c>
      <c r="W909" t="s">
        <v>38</v>
      </c>
      <c r="X909" s="2">
        <v>11</v>
      </c>
      <c r="Y909" t="s">
        <v>60</v>
      </c>
      <c r="Z909" t="s">
        <v>60</v>
      </c>
      <c r="AA909">
        <v>1</v>
      </c>
      <c r="AB909">
        <v>26</v>
      </c>
      <c r="AC909">
        <v>5</v>
      </c>
      <c r="AD909">
        <v>3</v>
      </c>
      <c r="AE909">
        <v>22</v>
      </c>
      <c r="AF909">
        <v>9</v>
      </c>
      <c r="AG909">
        <v>3</v>
      </c>
      <c r="AH909">
        <v>10</v>
      </c>
      <c r="AI909" t="str">
        <f t="shared" si="56"/>
        <v>10+ Years</v>
      </c>
      <c r="AJ909" t="str">
        <f t="shared" si="57"/>
        <v>3-5</v>
      </c>
    </row>
    <row r="910" spans="1:36" x14ac:dyDescent="0.35">
      <c r="A910">
        <v>909</v>
      </c>
      <c r="B910">
        <v>33</v>
      </c>
      <c r="C910" t="str">
        <f t="shared" si="58"/>
        <v>26-35</v>
      </c>
      <c r="D910" t="s">
        <v>38</v>
      </c>
      <c r="E910" t="s">
        <v>32</v>
      </c>
      <c r="F910" s="3">
        <v>1389</v>
      </c>
      <c r="G910" t="s">
        <v>33</v>
      </c>
      <c r="H910" s="1">
        <v>10</v>
      </c>
      <c r="I910" t="s">
        <v>62</v>
      </c>
      <c r="J910" t="s">
        <v>54</v>
      </c>
      <c r="K910" t="s">
        <v>62</v>
      </c>
      <c r="L910" t="s">
        <v>41</v>
      </c>
      <c r="M910" s="3">
        <v>82</v>
      </c>
      <c r="N910" t="s">
        <v>62</v>
      </c>
      <c r="O910" t="s">
        <v>60</v>
      </c>
      <c r="P910" t="s">
        <v>36</v>
      </c>
      <c r="Q910" t="s">
        <v>60</v>
      </c>
      <c r="R910" t="s">
        <v>47</v>
      </c>
      <c r="S910" s="3">
        <v>8380</v>
      </c>
      <c r="T910" s="3">
        <v>21708</v>
      </c>
      <c r="U910" s="3" t="str">
        <f t="shared" si="59"/>
        <v>Medium</v>
      </c>
      <c r="V910">
        <v>0</v>
      </c>
      <c r="W910" t="s">
        <v>31</v>
      </c>
      <c r="X910" s="2">
        <v>14</v>
      </c>
      <c r="Y910" t="s">
        <v>60</v>
      </c>
      <c r="Z910" t="s">
        <v>62</v>
      </c>
      <c r="AA910">
        <v>2</v>
      </c>
      <c r="AB910">
        <v>10</v>
      </c>
      <c r="AC910">
        <v>3</v>
      </c>
      <c r="AD910">
        <v>3</v>
      </c>
      <c r="AE910">
        <v>9</v>
      </c>
      <c r="AF910">
        <v>8</v>
      </c>
      <c r="AG910">
        <v>0</v>
      </c>
      <c r="AH910">
        <v>8</v>
      </c>
      <c r="AI910" t="str">
        <f t="shared" si="56"/>
        <v>6-10 Years</v>
      </c>
      <c r="AJ910" t="str">
        <f t="shared" si="57"/>
        <v>0-2</v>
      </c>
    </row>
    <row r="911" spans="1:36" x14ac:dyDescent="0.35">
      <c r="A911">
        <v>910</v>
      </c>
      <c r="B911">
        <v>19</v>
      </c>
      <c r="C911" t="str">
        <f t="shared" si="58"/>
        <v>18-25</v>
      </c>
      <c r="D911" t="s">
        <v>38</v>
      </c>
      <c r="E911" t="s">
        <v>32</v>
      </c>
      <c r="F911" s="3">
        <v>1389</v>
      </c>
      <c r="G911" t="s">
        <v>40</v>
      </c>
      <c r="H911" s="1">
        <v>25</v>
      </c>
      <c r="I911" t="s">
        <v>61</v>
      </c>
      <c r="J911" t="s">
        <v>34</v>
      </c>
      <c r="K911" t="s">
        <v>61</v>
      </c>
      <c r="L911" t="s">
        <v>35</v>
      </c>
      <c r="M911" s="3">
        <v>57</v>
      </c>
      <c r="N911" t="s">
        <v>62</v>
      </c>
      <c r="O911" t="s">
        <v>59</v>
      </c>
      <c r="P911" t="s">
        <v>42</v>
      </c>
      <c r="Q911" t="s">
        <v>62</v>
      </c>
      <c r="R911" t="s">
        <v>37</v>
      </c>
      <c r="S911" s="3">
        <v>2994</v>
      </c>
      <c r="T911" s="3">
        <v>21221</v>
      </c>
      <c r="U911" s="3" t="str">
        <f t="shared" si="59"/>
        <v>Low</v>
      </c>
      <c r="V911">
        <v>1</v>
      </c>
      <c r="W911" t="s">
        <v>31</v>
      </c>
      <c r="X911" s="2">
        <v>12</v>
      </c>
      <c r="Y911" t="s">
        <v>60</v>
      </c>
      <c r="Z911" t="s">
        <v>62</v>
      </c>
      <c r="AA911">
        <v>0</v>
      </c>
      <c r="AB911">
        <v>1</v>
      </c>
      <c r="AC911">
        <v>2</v>
      </c>
      <c r="AD911">
        <v>3</v>
      </c>
      <c r="AE911">
        <v>1</v>
      </c>
      <c r="AF911">
        <v>0</v>
      </c>
      <c r="AG911">
        <v>0</v>
      </c>
      <c r="AH911">
        <v>1</v>
      </c>
      <c r="AI911" t="str">
        <f t="shared" si="56"/>
        <v>0-2 Years</v>
      </c>
      <c r="AJ911" t="str">
        <f t="shared" si="57"/>
        <v>0-2</v>
      </c>
    </row>
    <row r="912" spans="1:36" x14ac:dyDescent="0.35">
      <c r="A912">
        <v>911</v>
      </c>
      <c r="B912">
        <v>23</v>
      </c>
      <c r="C912" t="str">
        <f t="shared" si="58"/>
        <v>18-25</v>
      </c>
      <c r="D912" t="s">
        <v>38</v>
      </c>
      <c r="E912" t="s">
        <v>32</v>
      </c>
      <c r="F912" s="3">
        <v>1389</v>
      </c>
      <c r="G912" t="s">
        <v>40</v>
      </c>
      <c r="H912" s="1">
        <v>1</v>
      </c>
      <c r="I912" t="s">
        <v>58</v>
      </c>
      <c r="J912" t="s">
        <v>34</v>
      </c>
      <c r="K912" t="s">
        <v>62</v>
      </c>
      <c r="L912" t="s">
        <v>41</v>
      </c>
      <c r="M912" s="3">
        <v>47</v>
      </c>
      <c r="N912" t="s">
        <v>60</v>
      </c>
      <c r="O912" t="s">
        <v>59</v>
      </c>
      <c r="P912" t="s">
        <v>42</v>
      </c>
      <c r="Q912" t="s">
        <v>60</v>
      </c>
      <c r="R912" t="s">
        <v>43</v>
      </c>
      <c r="S912" s="3">
        <v>1223</v>
      </c>
      <c r="T912" s="3">
        <v>16901</v>
      </c>
      <c r="U912" s="3" t="str">
        <f t="shared" si="59"/>
        <v>Low</v>
      </c>
      <c r="V912">
        <v>1</v>
      </c>
      <c r="W912" t="s">
        <v>38</v>
      </c>
      <c r="X912" s="2">
        <v>22</v>
      </c>
      <c r="Y912" t="s">
        <v>62</v>
      </c>
      <c r="Z912" t="s">
        <v>62</v>
      </c>
      <c r="AA912">
        <v>1</v>
      </c>
      <c r="AB912">
        <v>1</v>
      </c>
      <c r="AC912">
        <v>2</v>
      </c>
      <c r="AD912">
        <v>3</v>
      </c>
      <c r="AE912">
        <v>1</v>
      </c>
      <c r="AF912">
        <v>0</v>
      </c>
      <c r="AG912">
        <v>0</v>
      </c>
      <c r="AH912">
        <v>1</v>
      </c>
      <c r="AI912" t="str">
        <f t="shared" si="56"/>
        <v>0-2 Years</v>
      </c>
      <c r="AJ912" t="str">
        <f t="shared" si="57"/>
        <v>0-2</v>
      </c>
    </row>
    <row r="913" spans="1:36" x14ac:dyDescent="0.35">
      <c r="A913">
        <v>912</v>
      </c>
      <c r="B913">
        <v>25</v>
      </c>
      <c r="C913" t="str">
        <f t="shared" si="58"/>
        <v>18-25</v>
      </c>
      <c r="D913" t="s">
        <v>31</v>
      </c>
      <c r="E913" t="s">
        <v>39</v>
      </c>
      <c r="F913" s="3">
        <v>1389</v>
      </c>
      <c r="G913" t="s">
        <v>33</v>
      </c>
      <c r="H913" s="1">
        <v>24</v>
      </c>
      <c r="I913" t="s">
        <v>59</v>
      </c>
      <c r="J913" t="s">
        <v>34</v>
      </c>
      <c r="K913" t="s">
        <v>60</v>
      </c>
      <c r="L913" t="s">
        <v>41</v>
      </c>
      <c r="M913" s="3">
        <v>73</v>
      </c>
      <c r="N913" t="s">
        <v>59</v>
      </c>
      <c r="O913" t="s">
        <v>59</v>
      </c>
      <c r="P913" t="s">
        <v>52</v>
      </c>
      <c r="Q913" t="s">
        <v>62</v>
      </c>
      <c r="R913" t="s">
        <v>37</v>
      </c>
      <c r="S913" s="3">
        <v>1118</v>
      </c>
      <c r="T913" s="3">
        <v>8040</v>
      </c>
      <c r="U913" s="3" t="str">
        <f t="shared" si="59"/>
        <v>Low</v>
      </c>
      <c r="V913">
        <v>1</v>
      </c>
      <c r="W913" t="s">
        <v>31</v>
      </c>
      <c r="X913" s="2">
        <v>14</v>
      </c>
      <c r="Y913" t="s">
        <v>60</v>
      </c>
      <c r="Z913" t="s">
        <v>62</v>
      </c>
      <c r="AA913">
        <v>0</v>
      </c>
      <c r="AB913">
        <v>1</v>
      </c>
      <c r="AC913">
        <v>4</v>
      </c>
      <c r="AD913">
        <v>3</v>
      </c>
      <c r="AE913">
        <v>1</v>
      </c>
      <c r="AF913">
        <v>0</v>
      </c>
      <c r="AG913">
        <v>1</v>
      </c>
      <c r="AH913">
        <v>0</v>
      </c>
      <c r="AI913" t="str">
        <f t="shared" si="56"/>
        <v>0-2 Years</v>
      </c>
      <c r="AJ913" t="str">
        <f t="shared" si="57"/>
        <v>0-2</v>
      </c>
    </row>
    <row r="914" spans="1:36" x14ac:dyDescent="0.35">
      <c r="A914">
        <v>913</v>
      </c>
      <c r="B914">
        <v>26</v>
      </c>
      <c r="C914" t="str">
        <f t="shared" si="58"/>
        <v>26-35</v>
      </c>
      <c r="D914" t="s">
        <v>38</v>
      </c>
      <c r="E914" t="s">
        <v>32</v>
      </c>
      <c r="F914" s="3">
        <v>1389</v>
      </c>
      <c r="G914" t="s">
        <v>40</v>
      </c>
      <c r="H914" s="1">
        <v>4</v>
      </c>
      <c r="I914" t="s">
        <v>58</v>
      </c>
      <c r="J914" t="s">
        <v>34</v>
      </c>
      <c r="K914" t="s">
        <v>60</v>
      </c>
      <c r="L914" t="s">
        <v>41</v>
      </c>
      <c r="M914" s="3">
        <v>53</v>
      </c>
      <c r="N914" t="s">
        <v>60</v>
      </c>
      <c r="O914" t="s">
        <v>59</v>
      </c>
      <c r="P914" t="s">
        <v>42</v>
      </c>
      <c r="Q914" t="s">
        <v>62</v>
      </c>
      <c r="R914" t="s">
        <v>37</v>
      </c>
      <c r="S914" s="3">
        <v>2875</v>
      </c>
      <c r="T914" s="3">
        <v>9973</v>
      </c>
      <c r="U914" s="3" t="str">
        <f t="shared" si="59"/>
        <v>Low</v>
      </c>
      <c r="V914">
        <v>1</v>
      </c>
      <c r="W914" t="s">
        <v>31</v>
      </c>
      <c r="X914" s="2">
        <v>20</v>
      </c>
      <c r="Y914" t="s">
        <v>62</v>
      </c>
      <c r="Z914" t="s">
        <v>61</v>
      </c>
      <c r="AA914">
        <v>0</v>
      </c>
      <c r="AB914">
        <v>8</v>
      </c>
      <c r="AC914">
        <v>2</v>
      </c>
      <c r="AD914">
        <v>2</v>
      </c>
      <c r="AE914">
        <v>8</v>
      </c>
      <c r="AF914">
        <v>5</v>
      </c>
      <c r="AG914">
        <v>2</v>
      </c>
      <c r="AH914">
        <v>2</v>
      </c>
      <c r="AI914" t="str">
        <f t="shared" si="56"/>
        <v>6-10 Years</v>
      </c>
      <c r="AJ914" t="str">
        <f t="shared" si="57"/>
        <v>0-2</v>
      </c>
    </row>
    <row r="915" spans="1:36" x14ac:dyDescent="0.35">
      <c r="A915">
        <v>914</v>
      </c>
      <c r="B915">
        <v>45</v>
      </c>
      <c r="C915" t="str">
        <f t="shared" si="58"/>
        <v>36-45</v>
      </c>
      <c r="D915" t="s">
        <v>31</v>
      </c>
      <c r="E915" t="s">
        <v>32</v>
      </c>
      <c r="F915" s="3">
        <v>1389</v>
      </c>
      <c r="G915" t="s">
        <v>33</v>
      </c>
      <c r="H915" s="1">
        <v>2</v>
      </c>
      <c r="I915" t="s">
        <v>61</v>
      </c>
      <c r="J915" t="s">
        <v>54</v>
      </c>
      <c r="K915" t="s">
        <v>59</v>
      </c>
      <c r="L915" t="s">
        <v>35</v>
      </c>
      <c r="M915" s="3">
        <v>94</v>
      </c>
      <c r="N915" t="s">
        <v>59</v>
      </c>
      <c r="O915" t="e">
        <v>#N/A</v>
      </c>
      <c r="P915" t="s">
        <v>51</v>
      </c>
      <c r="Q915" t="s">
        <v>61</v>
      </c>
      <c r="R915" t="s">
        <v>37</v>
      </c>
      <c r="S915" s="3">
        <v>18824</v>
      </c>
      <c r="T915" s="3">
        <v>2493</v>
      </c>
      <c r="U915" s="3" t="str">
        <f t="shared" si="59"/>
        <v>High</v>
      </c>
      <c r="V915">
        <v>2</v>
      </c>
      <c r="W915" t="s">
        <v>31</v>
      </c>
      <c r="X915" s="2">
        <v>16</v>
      </c>
      <c r="Y915" t="s">
        <v>60</v>
      </c>
      <c r="Z915" t="s">
        <v>59</v>
      </c>
      <c r="AA915">
        <v>0</v>
      </c>
      <c r="AB915">
        <v>26</v>
      </c>
      <c r="AC915">
        <v>2</v>
      </c>
      <c r="AD915">
        <v>3</v>
      </c>
      <c r="AE915">
        <v>24</v>
      </c>
      <c r="AF915">
        <v>10</v>
      </c>
      <c r="AG915">
        <v>1</v>
      </c>
      <c r="AH915">
        <v>11</v>
      </c>
      <c r="AI915" t="str">
        <f t="shared" si="56"/>
        <v>10+ Years</v>
      </c>
      <c r="AJ915" t="str">
        <f t="shared" si="57"/>
        <v>0-2</v>
      </c>
    </row>
    <row r="916" spans="1:36" x14ac:dyDescent="0.35">
      <c r="A916">
        <v>915</v>
      </c>
      <c r="B916">
        <v>55</v>
      </c>
      <c r="C916" t="str">
        <f t="shared" si="58"/>
        <v>46-55</v>
      </c>
      <c r="D916" t="s">
        <v>38</v>
      </c>
      <c r="E916" t="s">
        <v>50</v>
      </c>
      <c r="F916" s="3">
        <v>1389</v>
      </c>
      <c r="G916" t="s">
        <v>40</v>
      </c>
      <c r="H916" s="1">
        <v>8</v>
      </c>
      <c r="I916" t="s">
        <v>59</v>
      </c>
      <c r="J916" t="s">
        <v>46</v>
      </c>
      <c r="K916" t="s">
        <v>62</v>
      </c>
      <c r="L916" t="s">
        <v>41</v>
      </c>
      <c r="M916" s="3">
        <v>37</v>
      </c>
      <c r="N916" t="s">
        <v>61</v>
      </c>
      <c r="O916" t="s">
        <v>62</v>
      </c>
      <c r="P916" t="s">
        <v>49</v>
      </c>
      <c r="Q916" t="s">
        <v>61</v>
      </c>
      <c r="R916" t="s">
        <v>47</v>
      </c>
      <c r="S916" s="3">
        <v>13577</v>
      </c>
      <c r="T916" s="3">
        <v>25592</v>
      </c>
      <c r="U916" s="3" t="str">
        <f t="shared" si="59"/>
        <v>High</v>
      </c>
      <c r="V916">
        <v>1</v>
      </c>
      <c r="W916" t="s">
        <v>31</v>
      </c>
      <c r="X916" s="2">
        <v>15</v>
      </c>
      <c r="Y916" t="s">
        <v>60</v>
      </c>
      <c r="Z916" t="s">
        <v>62</v>
      </c>
      <c r="AA916">
        <v>1</v>
      </c>
      <c r="AB916">
        <v>34</v>
      </c>
      <c r="AC916">
        <v>3</v>
      </c>
      <c r="AD916">
        <v>3</v>
      </c>
      <c r="AE916">
        <v>33</v>
      </c>
      <c r="AF916">
        <v>9</v>
      </c>
      <c r="AG916">
        <v>15</v>
      </c>
      <c r="AH916">
        <v>0</v>
      </c>
      <c r="AI916" t="str">
        <f t="shared" si="56"/>
        <v>10+ Years</v>
      </c>
      <c r="AJ916" t="str">
        <f t="shared" si="57"/>
        <v>6+</v>
      </c>
    </row>
    <row r="917" spans="1:36" x14ac:dyDescent="0.35">
      <c r="A917">
        <v>916</v>
      </c>
      <c r="B917">
        <v>21</v>
      </c>
      <c r="C917" t="str">
        <f t="shared" si="58"/>
        <v>18-25</v>
      </c>
      <c r="D917" t="s">
        <v>31</v>
      </c>
      <c r="E917" t="s">
        <v>39</v>
      </c>
      <c r="F917" s="3">
        <v>1389</v>
      </c>
      <c r="G917" t="s">
        <v>40</v>
      </c>
      <c r="H917" s="1">
        <v>10</v>
      </c>
      <c r="I917" t="s">
        <v>58</v>
      </c>
      <c r="J917" t="s">
        <v>34</v>
      </c>
      <c r="K917" t="s">
        <v>59</v>
      </c>
      <c r="L917" t="s">
        <v>35</v>
      </c>
      <c r="M917" s="3">
        <v>45</v>
      </c>
      <c r="N917" t="s">
        <v>61</v>
      </c>
      <c r="O917" t="s">
        <v>59</v>
      </c>
      <c r="P917" t="s">
        <v>45</v>
      </c>
      <c r="Q917" t="s">
        <v>60</v>
      </c>
      <c r="R917" t="s">
        <v>37</v>
      </c>
      <c r="S917" s="3">
        <v>2625</v>
      </c>
      <c r="T917" s="3">
        <v>25308</v>
      </c>
      <c r="U917" s="3" t="str">
        <f t="shared" si="59"/>
        <v>Low</v>
      </c>
      <c r="V917">
        <v>1</v>
      </c>
      <c r="W917" t="s">
        <v>38</v>
      </c>
      <c r="X917" s="2">
        <v>20</v>
      </c>
      <c r="Y917" t="s">
        <v>62</v>
      </c>
      <c r="Z917" t="s">
        <v>60</v>
      </c>
      <c r="AA917">
        <v>0</v>
      </c>
      <c r="AB917">
        <v>2</v>
      </c>
      <c r="AC917">
        <v>2</v>
      </c>
      <c r="AD917">
        <v>1</v>
      </c>
      <c r="AE917">
        <v>2</v>
      </c>
      <c r="AF917">
        <v>2</v>
      </c>
      <c r="AG917">
        <v>2</v>
      </c>
      <c r="AH917">
        <v>2</v>
      </c>
      <c r="AI917" t="str">
        <f t="shared" si="56"/>
        <v>0-2 Years</v>
      </c>
      <c r="AJ917" t="str">
        <f t="shared" si="57"/>
        <v>0-2</v>
      </c>
    </row>
    <row r="918" spans="1:36" x14ac:dyDescent="0.35">
      <c r="A918">
        <v>917</v>
      </c>
      <c r="B918">
        <v>46</v>
      </c>
      <c r="C918" t="str">
        <f t="shared" si="58"/>
        <v>46-55</v>
      </c>
      <c r="D918" t="s">
        <v>38</v>
      </c>
      <c r="E918" t="s">
        <v>32</v>
      </c>
      <c r="F918" s="3">
        <v>1389</v>
      </c>
      <c r="G918" t="s">
        <v>33</v>
      </c>
      <c r="H918" s="1">
        <v>4</v>
      </c>
      <c r="I918" t="s">
        <v>58</v>
      </c>
      <c r="J918" t="s">
        <v>54</v>
      </c>
      <c r="K918" t="s">
        <v>62</v>
      </c>
      <c r="L918" t="s">
        <v>35</v>
      </c>
      <c r="M918" s="3">
        <v>33</v>
      </c>
      <c r="N918" t="s">
        <v>61</v>
      </c>
      <c r="O918" t="e">
        <v>#N/A</v>
      </c>
      <c r="P918" t="s">
        <v>51</v>
      </c>
      <c r="Q918" t="s">
        <v>61</v>
      </c>
      <c r="R918" t="s">
        <v>43</v>
      </c>
      <c r="S918" s="3">
        <v>18789</v>
      </c>
      <c r="T918" s="3">
        <v>9946</v>
      </c>
      <c r="U918" s="3" t="str">
        <f t="shared" si="59"/>
        <v>High</v>
      </c>
      <c r="V918">
        <v>2</v>
      </c>
      <c r="W918" t="s">
        <v>38</v>
      </c>
      <c r="X918" s="2">
        <v>14</v>
      </c>
      <c r="Y918" t="s">
        <v>60</v>
      </c>
      <c r="Z918" t="s">
        <v>60</v>
      </c>
      <c r="AA918">
        <v>1</v>
      </c>
      <c r="AB918">
        <v>26</v>
      </c>
      <c r="AC918">
        <v>2</v>
      </c>
      <c r="AD918">
        <v>3</v>
      </c>
      <c r="AE918">
        <v>11</v>
      </c>
      <c r="AF918">
        <v>4</v>
      </c>
      <c r="AG918">
        <v>0</v>
      </c>
      <c r="AH918">
        <v>8</v>
      </c>
      <c r="AI918" t="str">
        <f t="shared" si="56"/>
        <v>10+ Years</v>
      </c>
      <c r="AJ918" t="str">
        <f t="shared" si="57"/>
        <v>0-2</v>
      </c>
    </row>
    <row r="919" spans="1:36" x14ac:dyDescent="0.35">
      <c r="A919">
        <v>918</v>
      </c>
      <c r="B919">
        <v>34</v>
      </c>
      <c r="C919" t="str">
        <f t="shared" si="58"/>
        <v>26-35</v>
      </c>
      <c r="D919" t="s">
        <v>38</v>
      </c>
      <c r="E919" t="s">
        <v>32</v>
      </c>
      <c r="F919" s="3">
        <v>1389</v>
      </c>
      <c r="G919" t="s">
        <v>33</v>
      </c>
      <c r="H919" s="1">
        <v>2</v>
      </c>
      <c r="I919" t="s">
        <v>61</v>
      </c>
      <c r="J919" t="s">
        <v>54</v>
      </c>
      <c r="K919" t="s">
        <v>60</v>
      </c>
      <c r="L919" t="s">
        <v>35</v>
      </c>
      <c r="M919" s="3">
        <v>86</v>
      </c>
      <c r="N919" t="s">
        <v>60</v>
      </c>
      <c r="O919" t="s">
        <v>61</v>
      </c>
      <c r="P919" t="s">
        <v>36</v>
      </c>
      <c r="Q919" t="s">
        <v>59</v>
      </c>
      <c r="R919" t="s">
        <v>37</v>
      </c>
      <c r="S919" s="3">
        <v>4538</v>
      </c>
      <c r="T919" s="3">
        <v>6039</v>
      </c>
      <c r="U919" s="3" t="str">
        <f t="shared" si="59"/>
        <v>Low</v>
      </c>
      <c r="V919">
        <v>0</v>
      </c>
      <c r="W919" t="s">
        <v>31</v>
      </c>
      <c r="X919" s="2">
        <v>12</v>
      </c>
      <c r="Y919" t="s">
        <v>60</v>
      </c>
      <c r="Z919" t="s">
        <v>62</v>
      </c>
      <c r="AA919">
        <v>0</v>
      </c>
      <c r="AB919">
        <v>4</v>
      </c>
      <c r="AC919">
        <v>3</v>
      </c>
      <c r="AD919">
        <v>3</v>
      </c>
      <c r="AE919">
        <v>3</v>
      </c>
      <c r="AF919">
        <v>2</v>
      </c>
      <c r="AG919">
        <v>0</v>
      </c>
      <c r="AH919">
        <v>2</v>
      </c>
      <c r="AI919" t="str">
        <f t="shared" si="56"/>
        <v>3-5 Years</v>
      </c>
      <c r="AJ919" t="str">
        <f t="shared" si="57"/>
        <v>0-2</v>
      </c>
    </row>
    <row r="920" spans="1:36" x14ac:dyDescent="0.35">
      <c r="A920">
        <v>919</v>
      </c>
      <c r="B920">
        <v>51</v>
      </c>
      <c r="C920" t="str">
        <f t="shared" si="58"/>
        <v>46-55</v>
      </c>
      <c r="D920" t="s">
        <v>38</v>
      </c>
      <c r="E920" t="s">
        <v>39</v>
      </c>
      <c r="F920" s="3">
        <v>1389</v>
      </c>
      <c r="G920" t="s">
        <v>33</v>
      </c>
      <c r="H920" s="1">
        <v>9</v>
      </c>
      <c r="I920" t="s">
        <v>61</v>
      </c>
      <c r="J920" t="s">
        <v>34</v>
      </c>
      <c r="K920" t="s">
        <v>62</v>
      </c>
      <c r="L920" t="s">
        <v>41</v>
      </c>
      <c r="M920" s="3">
        <v>83</v>
      </c>
      <c r="N920" t="s">
        <v>60</v>
      </c>
      <c r="O920" t="e">
        <v>#N/A</v>
      </c>
      <c r="P920" t="s">
        <v>51</v>
      </c>
      <c r="Q920" t="s">
        <v>61</v>
      </c>
      <c r="R920" t="s">
        <v>47</v>
      </c>
      <c r="S920" s="3">
        <v>19847</v>
      </c>
      <c r="T920" s="3">
        <v>19196</v>
      </c>
      <c r="U920" s="3" t="str">
        <f t="shared" si="59"/>
        <v>High</v>
      </c>
      <c r="V920">
        <v>4</v>
      </c>
      <c r="W920" t="s">
        <v>31</v>
      </c>
      <c r="X920" s="2">
        <v>24</v>
      </c>
      <c r="Y920" t="s">
        <v>62</v>
      </c>
      <c r="Z920" t="s">
        <v>59</v>
      </c>
      <c r="AA920">
        <v>1</v>
      </c>
      <c r="AB920">
        <v>31</v>
      </c>
      <c r="AC920">
        <v>5</v>
      </c>
      <c r="AD920">
        <v>2</v>
      </c>
      <c r="AE920">
        <v>29</v>
      </c>
      <c r="AF920">
        <v>10</v>
      </c>
      <c r="AG920">
        <v>11</v>
      </c>
      <c r="AH920">
        <v>10</v>
      </c>
      <c r="AI920" t="str">
        <f t="shared" si="56"/>
        <v>10+ Years</v>
      </c>
      <c r="AJ920" t="str">
        <f t="shared" si="57"/>
        <v>6+</v>
      </c>
    </row>
    <row r="921" spans="1:36" x14ac:dyDescent="0.35">
      <c r="A921">
        <v>920</v>
      </c>
      <c r="B921">
        <v>59</v>
      </c>
      <c r="C921" t="str">
        <f t="shared" si="58"/>
        <v>55+</v>
      </c>
      <c r="D921" t="s">
        <v>38</v>
      </c>
      <c r="E921" t="s">
        <v>32</v>
      </c>
      <c r="F921" s="3">
        <v>1389</v>
      </c>
      <c r="G921" t="s">
        <v>40</v>
      </c>
      <c r="H921" s="1">
        <v>18</v>
      </c>
      <c r="I921" t="s">
        <v>60</v>
      </c>
      <c r="J921" t="s">
        <v>46</v>
      </c>
      <c r="K921" t="s">
        <v>62</v>
      </c>
      <c r="L921" t="s">
        <v>41</v>
      </c>
      <c r="M921" s="3">
        <v>67</v>
      </c>
      <c r="N921" t="s">
        <v>60</v>
      </c>
      <c r="O921" t="s">
        <v>60</v>
      </c>
      <c r="P921" t="s">
        <v>48</v>
      </c>
      <c r="Q921" t="s">
        <v>62</v>
      </c>
      <c r="R921" t="s">
        <v>37</v>
      </c>
      <c r="S921" s="3">
        <v>10512</v>
      </c>
      <c r="T921" s="3">
        <v>20002</v>
      </c>
      <c r="U921" s="3" t="str">
        <f t="shared" si="59"/>
        <v>High</v>
      </c>
      <c r="V921">
        <v>6</v>
      </c>
      <c r="W921" t="s">
        <v>38</v>
      </c>
      <c r="X921" s="2">
        <v>12</v>
      </c>
      <c r="Y921" t="s">
        <v>60</v>
      </c>
      <c r="Z921" t="s">
        <v>62</v>
      </c>
      <c r="AA921">
        <v>0</v>
      </c>
      <c r="AB921">
        <v>25</v>
      </c>
      <c r="AC921">
        <v>6</v>
      </c>
      <c r="AD921">
        <v>2</v>
      </c>
      <c r="AE921">
        <v>9</v>
      </c>
      <c r="AF921">
        <v>7</v>
      </c>
      <c r="AG921">
        <v>5</v>
      </c>
      <c r="AH921">
        <v>4</v>
      </c>
      <c r="AI921" t="str">
        <f t="shared" si="56"/>
        <v>6-10 Years</v>
      </c>
      <c r="AJ921" t="str">
        <f t="shared" si="57"/>
        <v>3-5</v>
      </c>
    </row>
    <row r="922" spans="1:36" x14ac:dyDescent="0.35">
      <c r="A922">
        <v>921</v>
      </c>
      <c r="B922">
        <v>34</v>
      </c>
      <c r="C922" t="str">
        <f t="shared" si="58"/>
        <v>26-35</v>
      </c>
      <c r="D922" t="s">
        <v>38</v>
      </c>
      <c r="E922" t="s">
        <v>39</v>
      </c>
      <c r="F922" s="3">
        <v>1389</v>
      </c>
      <c r="G922" t="s">
        <v>40</v>
      </c>
      <c r="H922" s="1">
        <v>19</v>
      </c>
      <c r="I922" t="s">
        <v>61</v>
      </c>
      <c r="J922" t="s">
        <v>46</v>
      </c>
      <c r="K922" t="s">
        <v>60</v>
      </c>
      <c r="L922" t="s">
        <v>35</v>
      </c>
      <c r="M922" s="3">
        <v>46</v>
      </c>
      <c r="N922" t="s">
        <v>60</v>
      </c>
      <c r="O922" t="s">
        <v>61</v>
      </c>
      <c r="P922" t="s">
        <v>45</v>
      </c>
      <c r="Q922" t="s">
        <v>61</v>
      </c>
      <c r="R922" t="s">
        <v>47</v>
      </c>
      <c r="S922" s="3">
        <v>4444</v>
      </c>
      <c r="T922" s="3">
        <v>22534</v>
      </c>
      <c r="U922" s="3" t="str">
        <f t="shared" si="59"/>
        <v>Low</v>
      </c>
      <c r="V922">
        <v>4</v>
      </c>
      <c r="W922" t="s">
        <v>38</v>
      </c>
      <c r="X922" s="2">
        <v>13</v>
      </c>
      <c r="Y922" t="s">
        <v>60</v>
      </c>
      <c r="Z922" t="s">
        <v>60</v>
      </c>
      <c r="AA922">
        <v>2</v>
      </c>
      <c r="AB922">
        <v>15</v>
      </c>
      <c r="AC922">
        <v>2</v>
      </c>
      <c r="AD922">
        <v>4</v>
      </c>
      <c r="AE922">
        <v>11</v>
      </c>
      <c r="AF922">
        <v>8</v>
      </c>
      <c r="AG922">
        <v>5</v>
      </c>
      <c r="AH922">
        <v>10</v>
      </c>
      <c r="AI922" t="str">
        <f t="shared" si="56"/>
        <v>10+ Years</v>
      </c>
      <c r="AJ922" t="str">
        <f t="shared" si="57"/>
        <v>3-5</v>
      </c>
    </row>
    <row r="923" spans="1:36" x14ac:dyDescent="0.35">
      <c r="A923">
        <v>922</v>
      </c>
      <c r="B923">
        <v>28</v>
      </c>
      <c r="C923" t="str">
        <f t="shared" si="58"/>
        <v>26-35</v>
      </c>
      <c r="D923" t="s">
        <v>38</v>
      </c>
      <c r="E923" t="s">
        <v>39</v>
      </c>
      <c r="F923" s="3">
        <v>1389</v>
      </c>
      <c r="G923" t="s">
        <v>40</v>
      </c>
      <c r="H923" s="1">
        <v>1</v>
      </c>
      <c r="I923" t="s">
        <v>60</v>
      </c>
      <c r="J923" t="s">
        <v>46</v>
      </c>
      <c r="K923" t="s">
        <v>62</v>
      </c>
      <c r="L923" t="s">
        <v>41</v>
      </c>
      <c r="M923" s="3">
        <v>44</v>
      </c>
      <c r="N923" t="s">
        <v>60</v>
      </c>
      <c r="O923" t="s">
        <v>59</v>
      </c>
      <c r="P923" t="s">
        <v>45</v>
      </c>
      <c r="Q923" t="s">
        <v>60</v>
      </c>
      <c r="R923" t="s">
        <v>37</v>
      </c>
      <c r="S923" s="3">
        <v>2154</v>
      </c>
      <c r="T923" s="3">
        <v>6842</v>
      </c>
      <c r="U923" s="3" t="str">
        <f t="shared" si="59"/>
        <v>Low</v>
      </c>
      <c r="V923">
        <v>0</v>
      </c>
      <c r="W923" t="s">
        <v>31</v>
      </c>
      <c r="X923" s="2">
        <v>11</v>
      </c>
      <c r="Y923" t="s">
        <v>60</v>
      </c>
      <c r="Z923" t="s">
        <v>60</v>
      </c>
      <c r="AA923">
        <v>0</v>
      </c>
      <c r="AB923">
        <v>5</v>
      </c>
      <c r="AC923">
        <v>2</v>
      </c>
      <c r="AD923">
        <v>2</v>
      </c>
      <c r="AE923">
        <v>4</v>
      </c>
      <c r="AF923">
        <v>2</v>
      </c>
      <c r="AG923">
        <v>0</v>
      </c>
      <c r="AH923">
        <v>2</v>
      </c>
      <c r="AI923" t="str">
        <f t="shared" si="56"/>
        <v>3-5 Years</v>
      </c>
      <c r="AJ923" t="str">
        <f t="shared" si="57"/>
        <v>0-2</v>
      </c>
    </row>
    <row r="924" spans="1:36" x14ac:dyDescent="0.35">
      <c r="A924">
        <v>923</v>
      </c>
      <c r="B924">
        <v>44</v>
      </c>
      <c r="C924" t="str">
        <f t="shared" si="58"/>
        <v>36-45</v>
      </c>
      <c r="D924" t="s">
        <v>38</v>
      </c>
      <c r="E924" t="s">
        <v>32</v>
      </c>
      <c r="F924" s="3">
        <v>1389</v>
      </c>
      <c r="G924" t="s">
        <v>40</v>
      </c>
      <c r="H924" s="1">
        <v>4</v>
      </c>
      <c r="I924" t="s">
        <v>58</v>
      </c>
      <c r="J924" t="s">
        <v>34</v>
      </c>
      <c r="K924" t="s">
        <v>60</v>
      </c>
      <c r="L924" t="s">
        <v>41</v>
      </c>
      <c r="M924" s="3">
        <v>92</v>
      </c>
      <c r="N924" t="s">
        <v>62</v>
      </c>
      <c r="O924" t="e">
        <v>#N/A</v>
      </c>
      <c r="P924" t="s">
        <v>51</v>
      </c>
      <c r="Q924" t="s">
        <v>59</v>
      </c>
      <c r="R924" t="s">
        <v>47</v>
      </c>
      <c r="S924" s="3">
        <v>19190</v>
      </c>
      <c r="T924" s="3">
        <v>17477</v>
      </c>
      <c r="U924" s="3" t="str">
        <f t="shared" si="59"/>
        <v>High</v>
      </c>
      <c r="V924">
        <v>1</v>
      </c>
      <c r="W924" t="s">
        <v>38</v>
      </c>
      <c r="X924" s="2">
        <v>14</v>
      </c>
      <c r="Y924" t="s">
        <v>60</v>
      </c>
      <c r="Z924" t="s">
        <v>62</v>
      </c>
      <c r="AA924">
        <v>2</v>
      </c>
      <c r="AB924">
        <v>26</v>
      </c>
      <c r="AC924">
        <v>4</v>
      </c>
      <c r="AD924">
        <v>2</v>
      </c>
      <c r="AE924">
        <v>25</v>
      </c>
      <c r="AF924">
        <v>9</v>
      </c>
      <c r="AG924">
        <v>14</v>
      </c>
      <c r="AH924">
        <v>13</v>
      </c>
      <c r="AI924" t="str">
        <f t="shared" si="56"/>
        <v>10+ Years</v>
      </c>
      <c r="AJ924" t="str">
        <f t="shared" si="57"/>
        <v>6+</v>
      </c>
    </row>
    <row r="925" spans="1:36" x14ac:dyDescent="0.35">
      <c r="A925">
        <v>924</v>
      </c>
      <c r="B925">
        <v>34</v>
      </c>
      <c r="C925" t="str">
        <f t="shared" si="58"/>
        <v>26-35</v>
      </c>
      <c r="D925" t="s">
        <v>38</v>
      </c>
      <c r="E925" t="s">
        <v>39</v>
      </c>
      <c r="F925" s="3">
        <v>1389</v>
      </c>
      <c r="G925" t="s">
        <v>56</v>
      </c>
      <c r="H925" s="1">
        <v>11</v>
      </c>
      <c r="I925" t="s">
        <v>61</v>
      </c>
      <c r="J925" t="s">
        <v>34</v>
      </c>
      <c r="K925" t="s">
        <v>60</v>
      </c>
      <c r="L925" t="s">
        <v>41</v>
      </c>
      <c r="M925" s="3">
        <v>56</v>
      </c>
      <c r="N925" t="s">
        <v>61</v>
      </c>
      <c r="O925" t="s">
        <v>61</v>
      </c>
      <c r="P925" t="s">
        <v>56</v>
      </c>
      <c r="Q925" t="s">
        <v>61</v>
      </c>
      <c r="R925" t="s">
        <v>43</v>
      </c>
      <c r="S925" s="3">
        <v>4490</v>
      </c>
      <c r="T925" s="3">
        <v>21833</v>
      </c>
      <c r="U925" s="3" t="str">
        <f t="shared" si="59"/>
        <v>Low</v>
      </c>
      <c r="V925">
        <v>4</v>
      </c>
      <c r="W925" t="s">
        <v>38</v>
      </c>
      <c r="X925" s="2">
        <v>11</v>
      </c>
      <c r="Y925" t="s">
        <v>60</v>
      </c>
      <c r="Z925" t="s">
        <v>62</v>
      </c>
      <c r="AA925">
        <v>2</v>
      </c>
      <c r="AB925">
        <v>14</v>
      </c>
      <c r="AC925">
        <v>5</v>
      </c>
      <c r="AD925">
        <v>4</v>
      </c>
      <c r="AE925">
        <v>10</v>
      </c>
      <c r="AF925">
        <v>9</v>
      </c>
      <c r="AG925">
        <v>1</v>
      </c>
      <c r="AH925">
        <v>8</v>
      </c>
      <c r="AI925" t="str">
        <f t="shared" si="56"/>
        <v>6-10 Years</v>
      </c>
      <c r="AJ925" t="str">
        <f t="shared" si="57"/>
        <v>0-2</v>
      </c>
    </row>
    <row r="926" spans="1:36" x14ac:dyDescent="0.35">
      <c r="A926">
        <v>925</v>
      </c>
      <c r="B926">
        <v>35</v>
      </c>
      <c r="C926" t="str">
        <f t="shared" si="58"/>
        <v>26-35</v>
      </c>
      <c r="D926" t="s">
        <v>38</v>
      </c>
      <c r="E926" t="s">
        <v>32</v>
      </c>
      <c r="F926" s="3">
        <v>1389</v>
      </c>
      <c r="G926" t="s">
        <v>40</v>
      </c>
      <c r="H926" s="1">
        <v>6</v>
      </c>
      <c r="I926" t="s">
        <v>59</v>
      </c>
      <c r="J926" t="s">
        <v>34</v>
      </c>
      <c r="K926" t="s">
        <v>60</v>
      </c>
      <c r="L926" t="s">
        <v>41</v>
      </c>
      <c r="M926" s="3">
        <v>66</v>
      </c>
      <c r="N926" t="s">
        <v>60</v>
      </c>
      <c r="O926" t="s">
        <v>59</v>
      </c>
      <c r="P926" t="s">
        <v>42</v>
      </c>
      <c r="Q926" t="s">
        <v>60</v>
      </c>
      <c r="R926" t="s">
        <v>43</v>
      </c>
      <c r="S926" s="3">
        <v>3506</v>
      </c>
      <c r="T926" s="3">
        <v>6020</v>
      </c>
      <c r="U926" s="3" t="str">
        <f t="shared" si="59"/>
        <v>Low</v>
      </c>
      <c r="V926">
        <v>0</v>
      </c>
      <c r="W926" t="s">
        <v>31</v>
      </c>
      <c r="X926" s="2">
        <v>14</v>
      </c>
      <c r="Y926" t="s">
        <v>60</v>
      </c>
      <c r="Z926" t="s">
        <v>62</v>
      </c>
      <c r="AA926">
        <v>0</v>
      </c>
      <c r="AB926">
        <v>4</v>
      </c>
      <c r="AC926">
        <v>3</v>
      </c>
      <c r="AD926">
        <v>3</v>
      </c>
      <c r="AE926">
        <v>3</v>
      </c>
      <c r="AF926">
        <v>2</v>
      </c>
      <c r="AG926">
        <v>2</v>
      </c>
      <c r="AH926">
        <v>2</v>
      </c>
      <c r="AI926" t="str">
        <f t="shared" si="56"/>
        <v>3-5 Years</v>
      </c>
      <c r="AJ926" t="str">
        <f t="shared" si="57"/>
        <v>0-2</v>
      </c>
    </row>
    <row r="927" spans="1:36" x14ac:dyDescent="0.35">
      <c r="A927">
        <v>926</v>
      </c>
      <c r="B927">
        <v>42</v>
      </c>
      <c r="C927" t="str">
        <f t="shared" si="58"/>
        <v>36-45</v>
      </c>
      <c r="D927" t="s">
        <v>38</v>
      </c>
      <c r="E927" t="s">
        <v>32</v>
      </c>
      <c r="F927" s="3">
        <v>1389</v>
      </c>
      <c r="G927" t="s">
        <v>40</v>
      </c>
      <c r="H927" s="1">
        <v>7</v>
      </c>
      <c r="I927" t="s">
        <v>60</v>
      </c>
      <c r="J927" t="s">
        <v>46</v>
      </c>
      <c r="K927" t="s">
        <v>61</v>
      </c>
      <c r="L927" t="s">
        <v>35</v>
      </c>
      <c r="M927" s="3">
        <v>78</v>
      </c>
      <c r="N927" t="s">
        <v>62</v>
      </c>
      <c r="O927" t="s">
        <v>61</v>
      </c>
      <c r="P927" t="s">
        <v>42</v>
      </c>
      <c r="Q927" t="s">
        <v>61</v>
      </c>
      <c r="R927" t="s">
        <v>43</v>
      </c>
      <c r="S927" s="3">
        <v>2372</v>
      </c>
      <c r="T927" s="3">
        <v>5628</v>
      </c>
      <c r="U927" s="3" t="str">
        <f t="shared" si="59"/>
        <v>Low</v>
      </c>
      <c r="V927">
        <v>6</v>
      </c>
      <c r="W927" t="s">
        <v>31</v>
      </c>
      <c r="X927" s="2">
        <v>16</v>
      </c>
      <c r="Y927" t="s">
        <v>60</v>
      </c>
      <c r="Z927" t="s">
        <v>62</v>
      </c>
      <c r="AA927">
        <v>0</v>
      </c>
      <c r="AB927">
        <v>18</v>
      </c>
      <c r="AC927">
        <v>2</v>
      </c>
      <c r="AD927">
        <v>3</v>
      </c>
      <c r="AE927">
        <v>1</v>
      </c>
      <c r="AF927">
        <v>0</v>
      </c>
      <c r="AG927">
        <v>0</v>
      </c>
      <c r="AH927">
        <v>0</v>
      </c>
      <c r="AI927" t="str">
        <f t="shared" si="56"/>
        <v>0-2 Years</v>
      </c>
      <c r="AJ927" t="str">
        <f t="shared" si="57"/>
        <v>0-2</v>
      </c>
    </row>
    <row r="928" spans="1:36" x14ac:dyDescent="0.35">
      <c r="A928">
        <v>927</v>
      </c>
      <c r="B928">
        <v>43</v>
      </c>
      <c r="C928" t="str">
        <f t="shared" si="58"/>
        <v>36-45</v>
      </c>
      <c r="D928" t="s">
        <v>38</v>
      </c>
      <c r="E928" t="s">
        <v>32</v>
      </c>
      <c r="F928" s="3">
        <v>1389</v>
      </c>
      <c r="G928" t="s">
        <v>33</v>
      </c>
      <c r="H928" s="1">
        <v>4</v>
      </c>
      <c r="I928" t="s">
        <v>60</v>
      </c>
      <c r="J928" t="s">
        <v>54</v>
      </c>
      <c r="K928" t="s">
        <v>62</v>
      </c>
      <c r="L928" t="s">
        <v>35</v>
      </c>
      <c r="M928" s="3">
        <v>56</v>
      </c>
      <c r="N928" t="s">
        <v>61</v>
      </c>
      <c r="O928" t="s">
        <v>60</v>
      </c>
      <c r="P928" t="s">
        <v>36</v>
      </c>
      <c r="Q928" t="s">
        <v>62</v>
      </c>
      <c r="R928" t="s">
        <v>37</v>
      </c>
      <c r="S928" s="3">
        <v>10231</v>
      </c>
      <c r="T928" s="3">
        <v>20364</v>
      </c>
      <c r="U928" s="3" t="str">
        <f t="shared" si="59"/>
        <v>High</v>
      </c>
      <c r="V928">
        <v>3</v>
      </c>
      <c r="W928" t="s">
        <v>38</v>
      </c>
      <c r="X928" s="2">
        <v>14</v>
      </c>
      <c r="Y928" t="s">
        <v>60</v>
      </c>
      <c r="Z928" t="s">
        <v>62</v>
      </c>
      <c r="AA928">
        <v>0</v>
      </c>
      <c r="AB928">
        <v>23</v>
      </c>
      <c r="AC928">
        <v>3</v>
      </c>
      <c r="AD928">
        <v>4</v>
      </c>
      <c r="AE928">
        <v>21</v>
      </c>
      <c r="AF928">
        <v>7</v>
      </c>
      <c r="AG928">
        <v>15</v>
      </c>
      <c r="AH928">
        <v>17</v>
      </c>
      <c r="AI928" t="str">
        <f t="shared" si="56"/>
        <v>10+ Years</v>
      </c>
      <c r="AJ928" t="str">
        <f t="shared" si="57"/>
        <v>6+</v>
      </c>
    </row>
    <row r="929" spans="1:36" x14ac:dyDescent="0.35">
      <c r="A929">
        <v>928</v>
      </c>
      <c r="B929">
        <v>36</v>
      </c>
      <c r="C929" t="str">
        <f t="shared" si="58"/>
        <v>36-45</v>
      </c>
      <c r="D929" t="s">
        <v>38</v>
      </c>
      <c r="E929" t="s">
        <v>32</v>
      </c>
      <c r="F929" s="3">
        <v>1389</v>
      </c>
      <c r="G929" t="s">
        <v>40</v>
      </c>
      <c r="H929" s="1">
        <v>2</v>
      </c>
      <c r="I929" t="s">
        <v>60</v>
      </c>
      <c r="J929" t="s">
        <v>34</v>
      </c>
      <c r="K929" t="s">
        <v>60</v>
      </c>
      <c r="L929" t="s">
        <v>35</v>
      </c>
      <c r="M929" s="3">
        <v>53</v>
      </c>
      <c r="N929" t="s">
        <v>60</v>
      </c>
      <c r="O929" t="s">
        <v>61</v>
      </c>
      <c r="P929" t="s">
        <v>48</v>
      </c>
      <c r="Q929" t="s">
        <v>61</v>
      </c>
      <c r="R929" t="s">
        <v>37</v>
      </c>
      <c r="S929" s="3">
        <v>5410</v>
      </c>
      <c r="T929" s="3">
        <v>2323</v>
      </c>
      <c r="U929" s="3" t="str">
        <f t="shared" si="59"/>
        <v>Medium</v>
      </c>
      <c r="V929">
        <v>9</v>
      </c>
      <c r="W929" t="s">
        <v>31</v>
      </c>
      <c r="X929" s="2">
        <v>11</v>
      </c>
      <c r="Y929" t="s">
        <v>60</v>
      </c>
      <c r="Z929" t="s">
        <v>62</v>
      </c>
      <c r="AA929">
        <v>0</v>
      </c>
      <c r="AB929">
        <v>18</v>
      </c>
      <c r="AC929">
        <v>2</v>
      </c>
      <c r="AD929">
        <v>3</v>
      </c>
      <c r="AE929">
        <v>16</v>
      </c>
      <c r="AF929">
        <v>14</v>
      </c>
      <c r="AG929">
        <v>5</v>
      </c>
      <c r="AH929">
        <v>12</v>
      </c>
      <c r="AI929" t="str">
        <f t="shared" si="56"/>
        <v>10+ Years</v>
      </c>
      <c r="AJ929" t="str">
        <f t="shared" si="57"/>
        <v>3-5</v>
      </c>
    </row>
    <row r="930" spans="1:36" x14ac:dyDescent="0.35">
      <c r="A930">
        <v>929</v>
      </c>
      <c r="B930">
        <v>44</v>
      </c>
      <c r="C930" t="str">
        <f t="shared" si="58"/>
        <v>36-45</v>
      </c>
      <c r="D930" t="s">
        <v>31</v>
      </c>
      <c r="E930" t="s">
        <v>32</v>
      </c>
      <c r="F930" s="3">
        <v>1389</v>
      </c>
      <c r="G930" t="s">
        <v>40</v>
      </c>
      <c r="H930" s="1">
        <v>15</v>
      </c>
      <c r="I930" t="s">
        <v>61</v>
      </c>
      <c r="J930" t="s">
        <v>46</v>
      </c>
      <c r="K930" t="s">
        <v>59</v>
      </c>
      <c r="L930" t="s">
        <v>35</v>
      </c>
      <c r="M930" s="3">
        <v>73</v>
      </c>
      <c r="N930" t="s">
        <v>60</v>
      </c>
      <c r="O930" t="s">
        <v>60</v>
      </c>
      <c r="P930" t="s">
        <v>49</v>
      </c>
      <c r="Q930" t="s">
        <v>62</v>
      </c>
      <c r="R930" t="s">
        <v>43</v>
      </c>
      <c r="S930" s="3">
        <v>7978</v>
      </c>
      <c r="T930" s="3">
        <v>14075</v>
      </c>
      <c r="U930" s="3" t="str">
        <f t="shared" si="59"/>
        <v>Medium</v>
      </c>
      <c r="V930">
        <v>1</v>
      </c>
      <c r="W930" t="s">
        <v>38</v>
      </c>
      <c r="X930" s="2">
        <v>11</v>
      </c>
      <c r="Y930" t="s">
        <v>60</v>
      </c>
      <c r="Z930" t="s">
        <v>62</v>
      </c>
      <c r="AA930">
        <v>1</v>
      </c>
      <c r="AB930">
        <v>10</v>
      </c>
      <c r="AC930">
        <v>2</v>
      </c>
      <c r="AD930">
        <v>3</v>
      </c>
      <c r="AE930">
        <v>10</v>
      </c>
      <c r="AF930">
        <v>7</v>
      </c>
      <c r="AG930">
        <v>0</v>
      </c>
      <c r="AH930">
        <v>5</v>
      </c>
      <c r="AI930" t="str">
        <f t="shared" si="56"/>
        <v>6-10 Years</v>
      </c>
      <c r="AJ930" t="str">
        <f t="shared" si="57"/>
        <v>0-2</v>
      </c>
    </row>
    <row r="931" spans="1:36" x14ac:dyDescent="0.35">
      <c r="A931">
        <v>930</v>
      </c>
      <c r="B931">
        <v>28</v>
      </c>
      <c r="C931" t="str">
        <f t="shared" si="58"/>
        <v>26-35</v>
      </c>
      <c r="D931" t="s">
        <v>38</v>
      </c>
      <c r="E931" t="s">
        <v>39</v>
      </c>
      <c r="F931" s="3">
        <v>1389</v>
      </c>
      <c r="G931" t="s">
        <v>40</v>
      </c>
      <c r="H931" s="1">
        <v>2</v>
      </c>
      <c r="I931" t="s">
        <v>61</v>
      </c>
      <c r="J931" t="s">
        <v>34</v>
      </c>
      <c r="K931" t="s">
        <v>62</v>
      </c>
      <c r="L931" t="s">
        <v>41</v>
      </c>
      <c r="M931" s="3">
        <v>52</v>
      </c>
      <c r="N931" t="s">
        <v>61</v>
      </c>
      <c r="O931" t="s">
        <v>59</v>
      </c>
      <c r="P931" t="s">
        <v>45</v>
      </c>
      <c r="Q931" t="s">
        <v>62</v>
      </c>
      <c r="R931" t="s">
        <v>43</v>
      </c>
      <c r="S931" s="3">
        <v>3867</v>
      </c>
      <c r="T931" s="3">
        <v>14222</v>
      </c>
      <c r="U931" s="3" t="str">
        <f t="shared" si="59"/>
        <v>Low</v>
      </c>
      <c r="V931">
        <v>1</v>
      </c>
      <c r="W931" t="s">
        <v>31</v>
      </c>
      <c r="X931" s="2">
        <v>12</v>
      </c>
      <c r="Y931" t="s">
        <v>60</v>
      </c>
      <c r="Z931" t="s">
        <v>61</v>
      </c>
      <c r="AA931">
        <v>1</v>
      </c>
      <c r="AB931">
        <v>2</v>
      </c>
      <c r="AC931">
        <v>2</v>
      </c>
      <c r="AD931">
        <v>3</v>
      </c>
      <c r="AE931">
        <v>2</v>
      </c>
      <c r="AF931">
        <v>2</v>
      </c>
      <c r="AG931">
        <v>2</v>
      </c>
      <c r="AH931">
        <v>2</v>
      </c>
      <c r="AI931" t="str">
        <f t="shared" si="56"/>
        <v>0-2 Years</v>
      </c>
      <c r="AJ931" t="str">
        <f t="shared" si="57"/>
        <v>0-2</v>
      </c>
    </row>
    <row r="932" spans="1:36" x14ac:dyDescent="0.35">
      <c r="A932">
        <v>931</v>
      </c>
      <c r="B932">
        <v>51</v>
      </c>
      <c r="C932" t="str">
        <f t="shared" si="58"/>
        <v>46-55</v>
      </c>
      <c r="D932" t="s">
        <v>38</v>
      </c>
      <c r="E932" t="s">
        <v>39</v>
      </c>
      <c r="F932" s="3">
        <v>1389</v>
      </c>
      <c r="G932" t="s">
        <v>40</v>
      </c>
      <c r="H932" s="1">
        <v>6</v>
      </c>
      <c r="I932" t="s">
        <v>58</v>
      </c>
      <c r="J932" t="s">
        <v>46</v>
      </c>
      <c r="K932" t="s">
        <v>61</v>
      </c>
      <c r="L932" t="s">
        <v>35</v>
      </c>
      <c r="M932" s="3">
        <v>40</v>
      </c>
      <c r="N932" t="s">
        <v>61</v>
      </c>
      <c r="O932" t="s">
        <v>59</v>
      </c>
      <c r="P932" t="s">
        <v>45</v>
      </c>
      <c r="Q932" t="s">
        <v>60</v>
      </c>
      <c r="R932" t="s">
        <v>37</v>
      </c>
      <c r="S932" s="3">
        <v>2838</v>
      </c>
      <c r="T932" s="3">
        <v>4257</v>
      </c>
      <c r="U932" s="3" t="str">
        <f t="shared" si="59"/>
        <v>Low</v>
      </c>
      <c r="V932">
        <v>0</v>
      </c>
      <c r="W932" t="s">
        <v>38</v>
      </c>
      <c r="X932" s="2">
        <v>14</v>
      </c>
      <c r="Y932" t="s">
        <v>60</v>
      </c>
      <c r="Z932" t="s">
        <v>61</v>
      </c>
      <c r="AA932">
        <v>0</v>
      </c>
      <c r="AB932">
        <v>8</v>
      </c>
      <c r="AC932">
        <v>6</v>
      </c>
      <c r="AD932">
        <v>2</v>
      </c>
      <c r="AE932">
        <v>7</v>
      </c>
      <c r="AF932">
        <v>0</v>
      </c>
      <c r="AG932">
        <v>7</v>
      </c>
      <c r="AH932">
        <v>7</v>
      </c>
      <c r="AI932" t="str">
        <f t="shared" si="56"/>
        <v>6-10 Years</v>
      </c>
      <c r="AJ932" t="str">
        <f t="shared" si="57"/>
        <v>6+</v>
      </c>
    </row>
    <row r="933" spans="1:36" x14ac:dyDescent="0.35">
      <c r="A933">
        <v>932</v>
      </c>
      <c r="B933">
        <v>30</v>
      </c>
      <c r="C933" t="str">
        <f t="shared" si="58"/>
        <v>26-35</v>
      </c>
      <c r="D933" t="s">
        <v>38</v>
      </c>
      <c r="E933" t="s">
        <v>50</v>
      </c>
      <c r="F933" s="3">
        <v>1389</v>
      </c>
      <c r="G933" t="s">
        <v>40</v>
      </c>
      <c r="H933" s="1">
        <v>9</v>
      </c>
      <c r="I933" t="s">
        <v>58</v>
      </c>
      <c r="J933" t="s">
        <v>46</v>
      </c>
      <c r="K933" t="s">
        <v>60</v>
      </c>
      <c r="L933" t="s">
        <v>35</v>
      </c>
      <c r="M933" s="3">
        <v>72</v>
      </c>
      <c r="N933" t="s">
        <v>60</v>
      </c>
      <c r="O933" t="s">
        <v>61</v>
      </c>
      <c r="P933" t="s">
        <v>48</v>
      </c>
      <c r="Q933" t="s">
        <v>60</v>
      </c>
      <c r="R933" t="s">
        <v>37</v>
      </c>
      <c r="S933" s="3">
        <v>4695</v>
      </c>
      <c r="T933" s="3">
        <v>12858</v>
      </c>
      <c r="U933" s="3" t="str">
        <f t="shared" si="59"/>
        <v>Low</v>
      </c>
      <c r="V933">
        <v>7</v>
      </c>
      <c r="W933" t="s">
        <v>31</v>
      </c>
      <c r="X933" s="2">
        <v>18</v>
      </c>
      <c r="Y933" t="s">
        <v>60</v>
      </c>
      <c r="Z933" t="s">
        <v>60</v>
      </c>
      <c r="AA933">
        <v>0</v>
      </c>
      <c r="AB933">
        <v>10</v>
      </c>
      <c r="AC933">
        <v>3</v>
      </c>
      <c r="AD933">
        <v>3</v>
      </c>
      <c r="AE933">
        <v>8</v>
      </c>
      <c r="AF933">
        <v>4</v>
      </c>
      <c r="AG933">
        <v>1</v>
      </c>
      <c r="AH933">
        <v>7</v>
      </c>
      <c r="AI933" t="str">
        <f t="shared" si="56"/>
        <v>6-10 Years</v>
      </c>
      <c r="AJ933" t="str">
        <f t="shared" si="57"/>
        <v>0-2</v>
      </c>
    </row>
    <row r="934" spans="1:36" x14ac:dyDescent="0.35">
      <c r="A934">
        <v>933</v>
      </c>
      <c r="B934">
        <v>29</v>
      </c>
      <c r="C934" t="str">
        <f t="shared" si="58"/>
        <v>26-35</v>
      </c>
      <c r="D934" t="s">
        <v>31</v>
      </c>
      <c r="E934" t="s">
        <v>32</v>
      </c>
      <c r="F934" s="3">
        <v>1389</v>
      </c>
      <c r="G934" t="s">
        <v>40</v>
      </c>
      <c r="H934" s="1">
        <v>7</v>
      </c>
      <c r="I934" t="s">
        <v>61</v>
      </c>
      <c r="J934" t="s">
        <v>55</v>
      </c>
      <c r="K934" t="s">
        <v>61</v>
      </c>
      <c r="L934" t="s">
        <v>35</v>
      </c>
      <c r="M934" s="3">
        <v>39</v>
      </c>
      <c r="N934" t="s">
        <v>60</v>
      </c>
      <c r="O934" t="s">
        <v>59</v>
      </c>
      <c r="P934" t="s">
        <v>45</v>
      </c>
      <c r="Q934" t="s">
        <v>60</v>
      </c>
      <c r="R934" t="s">
        <v>47</v>
      </c>
      <c r="S934" s="3">
        <v>3339</v>
      </c>
      <c r="T934" s="3">
        <v>17285</v>
      </c>
      <c r="U934" s="3" t="str">
        <f t="shared" si="59"/>
        <v>Low</v>
      </c>
      <c r="V934">
        <v>3</v>
      </c>
      <c r="W934" t="s">
        <v>31</v>
      </c>
      <c r="X934" s="2">
        <v>13</v>
      </c>
      <c r="Y934" t="s">
        <v>60</v>
      </c>
      <c r="Z934" t="s">
        <v>59</v>
      </c>
      <c r="AA934">
        <v>2</v>
      </c>
      <c r="AB934">
        <v>10</v>
      </c>
      <c r="AC934">
        <v>2</v>
      </c>
      <c r="AD934">
        <v>3</v>
      </c>
      <c r="AE934">
        <v>7</v>
      </c>
      <c r="AF934">
        <v>7</v>
      </c>
      <c r="AG934">
        <v>7</v>
      </c>
      <c r="AH934">
        <v>7</v>
      </c>
      <c r="AI934" t="str">
        <f t="shared" si="56"/>
        <v>6-10 Years</v>
      </c>
      <c r="AJ934" t="str">
        <f t="shared" si="57"/>
        <v>6+</v>
      </c>
    </row>
    <row r="935" spans="1:36" x14ac:dyDescent="0.35">
      <c r="A935">
        <v>934</v>
      </c>
      <c r="B935">
        <v>28</v>
      </c>
      <c r="C935" t="str">
        <f t="shared" si="58"/>
        <v>26-35</v>
      </c>
      <c r="D935" t="s">
        <v>38</v>
      </c>
      <c r="E935" t="s">
        <v>32</v>
      </c>
      <c r="F935" s="3">
        <v>1389</v>
      </c>
      <c r="G935" t="s">
        <v>40</v>
      </c>
      <c r="H935" s="1">
        <v>1</v>
      </c>
      <c r="I935" t="s">
        <v>61</v>
      </c>
      <c r="J935" t="s">
        <v>55</v>
      </c>
      <c r="K935" t="s">
        <v>62</v>
      </c>
      <c r="L935" t="s">
        <v>41</v>
      </c>
      <c r="M935" s="3">
        <v>84</v>
      </c>
      <c r="N935" t="s">
        <v>60</v>
      </c>
      <c r="O935" t="s">
        <v>59</v>
      </c>
      <c r="P935" t="s">
        <v>42</v>
      </c>
      <c r="Q935" t="s">
        <v>59</v>
      </c>
      <c r="R935" t="s">
        <v>37</v>
      </c>
      <c r="S935" s="3">
        <v>2080</v>
      </c>
      <c r="T935" s="3">
        <v>4732</v>
      </c>
      <c r="U935" s="3" t="str">
        <f t="shared" si="59"/>
        <v>Low</v>
      </c>
      <c r="V935">
        <v>2</v>
      </c>
      <c r="W935" t="s">
        <v>38</v>
      </c>
      <c r="X935" s="2">
        <v>11</v>
      </c>
      <c r="Y935" t="s">
        <v>60</v>
      </c>
      <c r="Z935" t="s">
        <v>61</v>
      </c>
      <c r="AA935">
        <v>0</v>
      </c>
      <c r="AB935">
        <v>5</v>
      </c>
      <c r="AC935">
        <v>2</v>
      </c>
      <c r="AD935">
        <v>2</v>
      </c>
      <c r="AE935">
        <v>3</v>
      </c>
      <c r="AF935">
        <v>2</v>
      </c>
      <c r="AG935">
        <v>1</v>
      </c>
      <c r="AH935">
        <v>2</v>
      </c>
      <c r="AI935" t="str">
        <f t="shared" si="56"/>
        <v>3-5 Years</v>
      </c>
      <c r="AJ935" t="str">
        <f t="shared" si="57"/>
        <v>0-2</v>
      </c>
    </row>
    <row r="936" spans="1:36" x14ac:dyDescent="0.35">
      <c r="A936">
        <v>935</v>
      </c>
      <c r="B936">
        <v>25</v>
      </c>
      <c r="C936" t="str">
        <f t="shared" si="58"/>
        <v>18-25</v>
      </c>
      <c r="D936" t="s">
        <v>38</v>
      </c>
      <c r="E936" t="s">
        <v>32</v>
      </c>
      <c r="F936" s="3">
        <v>1389</v>
      </c>
      <c r="G936" t="s">
        <v>40</v>
      </c>
      <c r="H936" s="1">
        <v>1</v>
      </c>
      <c r="I936" t="s">
        <v>61</v>
      </c>
      <c r="J936" t="s">
        <v>46</v>
      </c>
      <c r="K936" t="s">
        <v>62</v>
      </c>
      <c r="L936" t="s">
        <v>35</v>
      </c>
      <c r="M936" s="3">
        <v>40</v>
      </c>
      <c r="N936" t="s">
        <v>60</v>
      </c>
      <c r="O936" t="s">
        <v>59</v>
      </c>
      <c r="P936" t="s">
        <v>42</v>
      </c>
      <c r="Q936" t="s">
        <v>61</v>
      </c>
      <c r="R936" t="s">
        <v>37</v>
      </c>
      <c r="S936" s="3">
        <v>2096</v>
      </c>
      <c r="T936" s="3">
        <v>18830</v>
      </c>
      <c r="U936" s="3" t="str">
        <f t="shared" si="59"/>
        <v>Low</v>
      </c>
      <c r="V936">
        <v>1</v>
      </c>
      <c r="W936" t="s">
        <v>38</v>
      </c>
      <c r="X936" s="2">
        <v>18</v>
      </c>
      <c r="Y936" t="s">
        <v>60</v>
      </c>
      <c r="Z936" t="s">
        <v>62</v>
      </c>
      <c r="AA936">
        <v>0</v>
      </c>
      <c r="AB936">
        <v>2</v>
      </c>
      <c r="AC936">
        <v>3</v>
      </c>
      <c r="AD936">
        <v>2</v>
      </c>
      <c r="AE936">
        <v>2</v>
      </c>
      <c r="AF936">
        <v>2</v>
      </c>
      <c r="AG936">
        <v>2</v>
      </c>
      <c r="AH936">
        <v>1</v>
      </c>
      <c r="AI936" t="str">
        <f t="shared" si="56"/>
        <v>0-2 Years</v>
      </c>
      <c r="AJ936" t="str">
        <f t="shared" si="57"/>
        <v>0-2</v>
      </c>
    </row>
    <row r="937" spans="1:36" x14ac:dyDescent="0.35">
      <c r="A937">
        <v>936</v>
      </c>
      <c r="B937">
        <v>32</v>
      </c>
      <c r="C937" t="str">
        <f t="shared" si="58"/>
        <v>26-35</v>
      </c>
      <c r="D937" t="s">
        <v>38</v>
      </c>
      <c r="E937" t="s">
        <v>32</v>
      </c>
      <c r="F937" s="3">
        <v>1389</v>
      </c>
      <c r="G937" t="s">
        <v>33</v>
      </c>
      <c r="H937" s="1">
        <v>8</v>
      </c>
      <c r="I937" t="s">
        <v>61</v>
      </c>
      <c r="J937" t="s">
        <v>46</v>
      </c>
      <c r="K937" t="s">
        <v>60</v>
      </c>
      <c r="L937" t="s">
        <v>41</v>
      </c>
      <c r="M937" s="3">
        <v>56</v>
      </c>
      <c r="N937" t="s">
        <v>62</v>
      </c>
      <c r="O937" t="s">
        <v>61</v>
      </c>
      <c r="P937" t="s">
        <v>36</v>
      </c>
      <c r="Q937" t="s">
        <v>62</v>
      </c>
      <c r="R937" t="s">
        <v>43</v>
      </c>
      <c r="S937" s="3">
        <v>6209</v>
      </c>
      <c r="T937" s="3">
        <v>11693</v>
      </c>
      <c r="U937" s="3" t="str">
        <f t="shared" si="59"/>
        <v>Medium</v>
      </c>
      <c r="V937">
        <v>1</v>
      </c>
      <c r="W937" t="s">
        <v>38</v>
      </c>
      <c r="X937" s="2">
        <v>15</v>
      </c>
      <c r="Y937" t="s">
        <v>60</v>
      </c>
      <c r="Z937" t="s">
        <v>60</v>
      </c>
      <c r="AA937">
        <v>2</v>
      </c>
      <c r="AB937">
        <v>10</v>
      </c>
      <c r="AC937">
        <v>4</v>
      </c>
      <c r="AD937">
        <v>4</v>
      </c>
      <c r="AE937">
        <v>10</v>
      </c>
      <c r="AF937">
        <v>7</v>
      </c>
      <c r="AG937">
        <v>0</v>
      </c>
      <c r="AH937">
        <v>8</v>
      </c>
      <c r="AI937" t="str">
        <f t="shared" si="56"/>
        <v>6-10 Years</v>
      </c>
      <c r="AJ937" t="str">
        <f t="shared" si="57"/>
        <v>0-2</v>
      </c>
    </row>
    <row r="938" spans="1:36" x14ac:dyDescent="0.35">
      <c r="A938">
        <v>937</v>
      </c>
      <c r="B938">
        <v>45</v>
      </c>
      <c r="C938" t="str">
        <f t="shared" si="58"/>
        <v>36-45</v>
      </c>
      <c r="D938" t="s">
        <v>38</v>
      </c>
      <c r="E938" t="s">
        <v>39</v>
      </c>
      <c r="F938" s="3">
        <v>1389</v>
      </c>
      <c r="G938" t="s">
        <v>40</v>
      </c>
      <c r="H938" s="1">
        <v>25</v>
      </c>
      <c r="I938" t="s">
        <v>61</v>
      </c>
      <c r="J938" t="s">
        <v>46</v>
      </c>
      <c r="K938" t="s">
        <v>61</v>
      </c>
      <c r="L938" t="s">
        <v>35</v>
      </c>
      <c r="M938" s="3">
        <v>83</v>
      </c>
      <c r="N938" t="s">
        <v>60</v>
      </c>
      <c r="O938" t="e">
        <v>#N/A</v>
      </c>
      <c r="P938" t="s">
        <v>51</v>
      </c>
      <c r="Q938" t="s">
        <v>61</v>
      </c>
      <c r="R938" t="s">
        <v>37</v>
      </c>
      <c r="S938" s="3">
        <v>18061</v>
      </c>
      <c r="T938" s="3">
        <v>13035</v>
      </c>
      <c r="U938" s="3" t="str">
        <f t="shared" si="59"/>
        <v>High</v>
      </c>
      <c r="V938">
        <v>3</v>
      </c>
      <c r="W938" t="s">
        <v>38</v>
      </c>
      <c r="X938" s="2">
        <v>22</v>
      </c>
      <c r="Y938" t="s">
        <v>62</v>
      </c>
      <c r="Z938" t="s">
        <v>60</v>
      </c>
      <c r="AA938">
        <v>0</v>
      </c>
      <c r="AB938">
        <v>22</v>
      </c>
      <c r="AC938">
        <v>4</v>
      </c>
      <c r="AD938">
        <v>3</v>
      </c>
      <c r="AE938">
        <v>0</v>
      </c>
      <c r="AF938">
        <v>0</v>
      </c>
      <c r="AG938">
        <v>0</v>
      </c>
      <c r="AH938">
        <v>0</v>
      </c>
      <c r="AI938" t="str">
        <f t="shared" si="56"/>
        <v>0-2 Years</v>
      </c>
      <c r="AJ938" t="str">
        <f t="shared" si="57"/>
        <v>0-2</v>
      </c>
    </row>
    <row r="939" spans="1:36" x14ac:dyDescent="0.35">
      <c r="A939">
        <v>938</v>
      </c>
      <c r="B939">
        <v>39</v>
      </c>
      <c r="C939" t="str">
        <f t="shared" si="58"/>
        <v>36-45</v>
      </c>
      <c r="D939" t="s">
        <v>38</v>
      </c>
      <c r="E939" t="s">
        <v>32</v>
      </c>
      <c r="F939" s="3">
        <v>1389</v>
      </c>
      <c r="G939" t="s">
        <v>40</v>
      </c>
      <c r="H939" s="1">
        <v>13</v>
      </c>
      <c r="I939" t="s">
        <v>60</v>
      </c>
      <c r="J939" t="s">
        <v>46</v>
      </c>
      <c r="K939" t="s">
        <v>60</v>
      </c>
      <c r="L939" t="s">
        <v>35</v>
      </c>
      <c r="M939" s="3">
        <v>94</v>
      </c>
      <c r="N939" t="s">
        <v>61</v>
      </c>
      <c r="O939" t="s">
        <v>62</v>
      </c>
      <c r="P939" t="s">
        <v>51</v>
      </c>
      <c r="Q939" t="s">
        <v>61</v>
      </c>
      <c r="R939" t="s">
        <v>47</v>
      </c>
      <c r="S939" s="3">
        <v>17123</v>
      </c>
      <c r="T939" s="3">
        <v>17334</v>
      </c>
      <c r="U939" s="3" t="str">
        <f t="shared" si="59"/>
        <v>High</v>
      </c>
      <c r="V939">
        <v>6</v>
      </c>
      <c r="W939" t="s">
        <v>31</v>
      </c>
      <c r="X939" s="2">
        <v>13</v>
      </c>
      <c r="Y939" t="s">
        <v>60</v>
      </c>
      <c r="Z939" t="s">
        <v>62</v>
      </c>
      <c r="AA939">
        <v>2</v>
      </c>
      <c r="AB939">
        <v>21</v>
      </c>
      <c r="AC939">
        <v>4</v>
      </c>
      <c r="AD939">
        <v>3</v>
      </c>
      <c r="AE939">
        <v>19</v>
      </c>
      <c r="AF939">
        <v>9</v>
      </c>
      <c r="AG939">
        <v>15</v>
      </c>
      <c r="AH939">
        <v>2</v>
      </c>
      <c r="AI939" t="str">
        <f t="shared" si="56"/>
        <v>10+ Years</v>
      </c>
      <c r="AJ939" t="str">
        <f t="shared" si="57"/>
        <v>6+</v>
      </c>
    </row>
    <row r="940" spans="1:36" x14ac:dyDescent="0.35">
      <c r="A940">
        <v>939</v>
      </c>
      <c r="B940">
        <v>58</v>
      </c>
      <c r="C940" t="str">
        <f t="shared" si="58"/>
        <v>55+</v>
      </c>
      <c r="D940" t="s">
        <v>38</v>
      </c>
      <c r="E940" t="s">
        <v>32</v>
      </c>
      <c r="F940" s="3">
        <v>1389</v>
      </c>
      <c r="G940" t="s">
        <v>40</v>
      </c>
      <c r="H940" s="1">
        <v>23</v>
      </c>
      <c r="I940" t="s">
        <v>60</v>
      </c>
      <c r="J940" t="s">
        <v>34</v>
      </c>
      <c r="K940" t="s">
        <v>59</v>
      </c>
      <c r="L940" t="s">
        <v>41</v>
      </c>
      <c r="M940" s="3">
        <v>88</v>
      </c>
      <c r="N940" t="s">
        <v>60</v>
      </c>
      <c r="O940" t="s">
        <v>59</v>
      </c>
      <c r="P940" t="s">
        <v>42</v>
      </c>
      <c r="Q940" t="s">
        <v>60</v>
      </c>
      <c r="R940" t="s">
        <v>47</v>
      </c>
      <c r="S940" s="3">
        <v>2372</v>
      </c>
      <c r="T940" s="3">
        <v>26076</v>
      </c>
      <c r="U940" s="3" t="str">
        <f t="shared" si="59"/>
        <v>Low</v>
      </c>
      <c r="V940">
        <v>1</v>
      </c>
      <c r="W940" t="s">
        <v>38</v>
      </c>
      <c r="X940" s="2">
        <v>12</v>
      </c>
      <c r="Y940" t="s">
        <v>60</v>
      </c>
      <c r="Z940" t="s">
        <v>62</v>
      </c>
      <c r="AA940">
        <v>2</v>
      </c>
      <c r="AB940">
        <v>2</v>
      </c>
      <c r="AC940">
        <v>3</v>
      </c>
      <c r="AD940">
        <v>3</v>
      </c>
      <c r="AE940">
        <v>2</v>
      </c>
      <c r="AF940">
        <v>2</v>
      </c>
      <c r="AG940">
        <v>2</v>
      </c>
      <c r="AH940">
        <v>2</v>
      </c>
      <c r="AI940" t="str">
        <f t="shared" si="56"/>
        <v>0-2 Years</v>
      </c>
      <c r="AJ940" t="str">
        <f t="shared" si="57"/>
        <v>0-2</v>
      </c>
    </row>
    <row r="941" spans="1:36" x14ac:dyDescent="0.35">
      <c r="A941">
        <v>940</v>
      </c>
      <c r="B941">
        <v>32</v>
      </c>
      <c r="C941" t="str">
        <f t="shared" si="58"/>
        <v>26-35</v>
      </c>
      <c r="D941" t="s">
        <v>31</v>
      </c>
      <c r="E941" t="s">
        <v>32</v>
      </c>
      <c r="F941" s="3">
        <v>1389</v>
      </c>
      <c r="G941" t="s">
        <v>40</v>
      </c>
      <c r="H941" s="1">
        <v>7</v>
      </c>
      <c r="I941" t="s">
        <v>58</v>
      </c>
      <c r="J941" t="s">
        <v>34</v>
      </c>
      <c r="K941" t="s">
        <v>62</v>
      </c>
      <c r="L941" t="s">
        <v>41</v>
      </c>
      <c r="M941" s="3">
        <v>79</v>
      </c>
      <c r="N941" t="s">
        <v>60</v>
      </c>
      <c r="O941" t="s">
        <v>61</v>
      </c>
      <c r="P941" t="s">
        <v>45</v>
      </c>
      <c r="Q941" t="s">
        <v>60</v>
      </c>
      <c r="R941" t="s">
        <v>43</v>
      </c>
      <c r="S941" s="3">
        <v>4883</v>
      </c>
      <c r="T941" s="3">
        <v>22845</v>
      </c>
      <c r="U941" s="3" t="str">
        <f t="shared" si="59"/>
        <v>Low</v>
      </c>
      <c r="V941">
        <v>1</v>
      </c>
      <c r="W941" t="s">
        <v>38</v>
      </c>
      <c r="X941" s="2">
        <v>18</v>
      </c>
      <c r="Y941" t="s">
        <v>60</v>
      </c>
      <c r="Z941" t="s">
        <v>59</v>
      </c>
      <c r="AA941">
        <v>1</v>
      </c>
      <c r="AB941">
        <v>10</v>
      </c>
      <c r="AC941">
        <v>3</v>
      </c>
      <c r="AD941">
        <v>3</v>
      </c>
      <c r="AE941">
        <v>10</v>
      </c>
      <c r="AF941">
        <v>4</v>
      </c>
      <c r="AG941">
        <v>1</v>
      </c>
      <c r="AH941">
        <v>1</v>
      </c>
      <c r="AI941" t="str">
        <f t="shared" si="56"/>
        <v>6-10 Years</v>
      </c>
      <c r="AJ941" t="str">
        <f t="shared" si="57"/>
        <v>0-2</v>
      </c>
    </row>
    <row r="942" spans="1:36" x14ac:dyDescent="0.35">
      <c r="A942">
        <v>941</v>
      </c>
      <c r="B942">
        <v>39</v>
      </c>
      <c r="C942" t="str">
        <f t="shared" si="58"/>
        <v>36-45</v>
      </c>
      <c r="D942" t="s">
        <v>31</v>
      </c>
      <c r="E942" t="s">
        <v>32</v>
      </c>
      <c r="F942" s="3">
        <v>1389</v>
      </c>
      <c r="G942" t="s">
        <v>40</v>
      </c>
      <c r="H942" s="1">
        <v>23</v>
      </c>
      <c r="I942" t="s">
        <v>61</v>
      </c>
      <c r="J942" t="s">
        <v>46</v>
      </c>
      <c r="K942" t="s">
        <v>60</v>
      </c>
      <c r="L942" t="s">
        <v>41</v>
      </c>
      <c r="M942" s="3">
        <v>93</v>
      </c>
      <c r="N942" t="s">
        <v>60</v>
      </c>
      <c r="O942" t="s">
        <v>59</v>
      </c>
      <c r="P942" t="s">
        <v>42</v>
      </c>
      <c r="Q942" t="s">
        <v>59</v>
      </c>
      <c r="R942" t="s">
        <v>37</v>
      </c>
      <c r="S942" s="3">
        <v>3904</v>
      </c>
      <c r="T942" s="3">
        <v>22154</v>
      </c>
      <c r="U942" s="3" t="str">
        <f t="shared" si="59"/>
        <v>Low</v>
      </c>
      <c r="V942">
        <v>0</v>
      </c>
      <c r="W942" t="s">
        <v>38</v>
      </c>
      <c r="X942" s="2">
        <v>13</v>
      </c>
      <c r="Y942" t="s">
        <v>60</v>
      </c>
      <c r="Z942" t="s">
        <v>59</v>
      </c>
      <c r="AA942">
        <v>0</v>
      </c>
      <c r="AB942">
        <v>6</v>
      </c>
      <c r="AC942">
        <v>2</v>
      </c>
      <c r="AD942">
        <v>3</v>
      </c>
      <c r="AE942">
        <v>5</v>
      </c>
      <c r="AF942">
        <v>2</v>
      </c>
      <c r="AG942">
        <v>0</v>
      </c>
      <c r="AH942">
        <v>3</v>
      </c>
      <c r="AI942" t="str">
        <f t="shared" si="56"/>
        <v>3-5 Years</v>
      </c>
      <c r="AJ942" t="str">
        <f t="shared" si="57"/>
        <v>0-2</v>
      </c>
    </row>
    <row r="943" spans="1:36" x14ac:dyDescent="0.35">
      <c r="A943">
        <v>942</v>
      </c>
      <c r="B943">
        <v>30</v>
      </c>
      <c r="C943" t="str">
        <f t="shared" si="58"/>
        <v>26-35</v>
      </c>
      <c r="D943" t="s">
        <v>38</v>
      </c>
      <c r="E943" t="s">
        <v>32</v>
      </c>
      <c r="F943" s="3">
        <v>1389</v>
      </c>
      <c r="G943" t="s">
        <v>40</v>
      </c>
      <c r="H943" s="1">
        <v>6</v>
      </c>
      <c r="I943" t="s">
        <v>61</v>
      </c>
      <c r="J943" t="s">
        <v>55</v>
      </c>
      <c r="K943" t="s">
        <v>59</v>
      </c>
      <c r="L943" t="s">
        <v>35</v>
      </c>
      <c r="M943" s="3">
        <v>48</v>
      </c>
      <c r="N943" t="s">
        <v>61</v>
      </c>
      <c r="O943" t="s">
        <v>61</v>
      </c>
      <c r="P943" t="s">
        <v>45</v>
      </c>
      <c r="Q943" t="s">
        <v>62</v>
      </c>
      <c r="R943" t="s">
        <v>43</v>
      </c>
      <c r="S943" s="3">
        <v>4627</v>
      </c>
      <c r="T943" s="3">
        <v>23631</v>
      </c>
      <c r="U943" s="3" t="str">
        <f t="shared" si="59"/>
        <v>Low</v>
      </c>
      <c r="V943">
        <v>0</v>
      </c>
      <c r="W943" t="s">
        <v>38</v>
      </c>
      <c r="X943" s="2">
        <v>12</v>
      </c>
      <c r="Y943" t="s">
        <v>60</v>
      </c>
      <c r="Z943" t="s">
        <v>59</v>
      </c>
      <c r="AA943">
        <v>1</v>
      </c>
      <c r="AB943">
        <v>10</v>
      </c>
      <c r="AC943">
        <v>6</v>
      </c>
      <c r="AD943">
        <v>3</v>
      </c>
      <c r="AE943">
        <v>9</v>
      </c>
      <c r="AF943">
        <v>2</v>
      </c>
      <c r="AG943">
        <v>6</v>
      </c>
      <c r="AH943">
        <v>7</v>
      </c>
      <c r="AI943" t="str">
        <f t="shared" si="56"/>
        <v>6-10 Years</v>
      </c>
      <c r="AJ943" t="str">
        <f t="shared" si="57"/>
        <v>6+</v>
      </c>
    </row>
    <row r="944" spans="1:36" x14ac:dyDescent="0.35">
      <c r="A944">
        <v>943</v>
      </c>
      <c r="B944">
        <v>36</v>
      </c>
      <c r="C944" t="str">
        <f t="shared" si="58"/>
        <v>36-45</v>
      </c>
      <c r="D944" t="s">
        <v>38</v>
      </c>
      <c r="E944" t="s">
        <v>32</v>
      </c>
      <c r="F944" s="3">
        <v>1389</v>
      </c>
      <c r="G944" t="s">
        <v>40</v>
      </c>
      <c r="H944" s="1">
        <v>10</v>
      </c>
      <c r="I944" t="s">
        <v>60</v>
      </c>
      <c r="J944" t="s">
        <v>55</v>
      </c>
      <c r="K944" t="s">
        <v>62</v>
      </c>
      <c r="L944" t="s">
        <v>35</v>
      </c>
      <c r="M944" s="3">
        <v>63</v>
      </c>
      <c r="N944" t="s">
        <v>60</v>
      </c>
      <c r="O944" t="s">
        <v>60</v>
      </c>
      <c r="P944" t="s">
        <v>49</v>
      </c>
      <c r="Q944" t="s">
        <v>60</v>
      </c>
      <c r="R944" t="s">
        <v>43</v>
      </c>
      <c r="S944" s="3">
        <v>7094</v>
      </c>
      <c r="T944" s="3">
        <v>5747</v>
      </c>
      <c r="U944" s="3" t="str">
        <f t="shared" si="59"/>
        <v>Medium</v>
      </c>
      <c r="V944">
        <v>3</v>
      </c>
      <c r="W944" t="s">
        <v>38</v>
      </c>
      <c r="X944" s="2">
        <v>12</v>
      </c>
      <c r="Y944" t="s">
        <v>60</v>
      </c>
      <c r="Z944" t="s">
        <v>59</v>
      </c>
      <c r="AA944">
        <v>0</v>
      </c>
      <c r="AB944">
        <v>10</v>
      </c>
      <c r="AC944">
        <v>0</v>
      </c>
      <c r="AD944">
        <v>3</v>
      </c>
      <c r="AE944">
        <v>7</v>
      </c>
      <c r="AF944">
        <v>7</v>
      </c>
      <c r="AG944">
        <v>1</v>
      </c>
      <c r="AH944">
        <v>7</v>
      </c>
      <c r="AI944" t="str">
        <f t="shared" si="56"/>
        <v>6-10 Years</v>
      </c>
      <c r="AJ944" t="str">
        <f t="shared" si="57"/>
        <v>0-2</v>
      </c>
    </row>
    <row r="945" spans="1:36" x14ac:dyDescent="0.35">
      <c r="A945">
        <v>944</v>
      </c>
      <c r="B945">
        <v>46</v>
      </c>
      <c r="C945" t="str">
        <f t="shared" si="58"/>
        <v>46-55</v>
      </c>
      <c r="D945" t="s">
        <v>38</v>
      </c>
      <c r="E945" t="s">
        <v>32</v>
      </c>
      <c r="F945" s="3">
        <v>1389</v>
      </c>
      <c r="G945" t="s">
        <v>56</v>
      </c>
      <c r="H945" s="1">
        <v>1</v>
      </c>
      <c r="I945" t="s">
        <v>58</v>
      </c>
      <c r="J945" t="s">
        <v>34</v>
      </c>
      <c r="K945" t="s">
        <v>62</v>
      </c>
      <c r="L945" t="s">
        <v>35</v>
      </c>
      <c r="M945" s="3">
        <v>44</v>
      </c>
      <c r="N945" t="s">
        <v>60</v>
      </c>
      <c r="O945" t="s">
        <v>59</v>
      </c>
      <c r="P945" t="s">
        <v>56</v>
      </c>
      <c r="Q945" t="s">
        <v>59</v>
      </c>
      <c r="R945" t="s">
        <v>37</v>
      </c>
      <c r="S945" s="3">
        <v>3423</v>
      </c>
      <c r="T945" s="3">
        <v>22957</v>
      </c>
      <c r="U945" s="3" t="str">
        <f t="shared" si="59"/>
        <v>Low</v>
      </c>
      <c r="V945">
        <v>6</v>
      </c>
      <c r="W945" t="s">
        <v>38</v>
      </c>
      <c r="X945" s="2">
        <v>12</v>
      </c>
      <c r="Y945" t="s">
        <v>60</v>
      </c>
      <c r="Z945" t="s">
        <v>60</v>
      </c>
      <c r="AA945">
        <v>0</v>
      </c>
      <c r="AB945">
        <v>10</v>
      </c>
      <c r="AC945">
        <v>3</v>
      </c>
      <c r="AD945">
        <v>4</v>
      </c>
      <c r="AE945">
        <v>7</v>
      </c>
      <c r="AF945">
        <v>6</v>
      </c>
      <c r="AG945">
        <v>5</v>
      </c>
      <c r="AH945">
        <v>7</v>
      </c>
      <c r="AI945" t="str">
        <f t="shared" si="56"/>
        <v>6-10 Years</v>
      </c>
      <c r="AJ945" t="str">
        <f t="shared" si="57"/>
        <v>3-5</v>
      </c>
    </row>
    <row r="946" spans="1:36" x14ac:dyDescent="0.35">
      <c r="A946">
        <v>945</v>
      </c>
      <c r="B946">
        <v>28</v>
      </c>
      <c r="C946" t="str">
        <f t="shared" si="58"/>
        <v>26-35</v>
      </c>
      <c r="D946" t="s">
        <v>38</v>
      </c>
      <c r="E946" t="s">
        <v>50</v>
      </c>
      <c r="F946" s="3">
        <v>1389</v>
      </c>
      <c r="G946" t="s">
        <v>40</v>
      </c>
      <c r="H946" s="1">
        <v>1</v>
      </c>
      <c r="I946" t="s">
        <v>61</v>
      </c>
      <c r="J946" t="s">
        <v>34</v>
      </c>
      <c r="K946" t="s">
        <v>60</v>
      </c>
      <c r="L946" t="s">
        <v>35</v>
      </c>
      <c r="M946" s="3">
        <v>55</v>
      </c>
      <c r="N946" t="s">
        <v>59</v>
      </c>
      <c r="O946" t="s">
        <v>61</v>
      </c>
      <c r="P946" t="s">
        <v>45</v>
      </c>
      <c r="Q946" t="s">
        <v>62</v>
      </c>
      <c r="R946" t="s">
        <v>43</v>
      </c>
      <c r="S946" s="3">
        <v>6674</v>
      </c>
      <c r="T946" s="3">
        <v>16392</v>
      </c>
      <c r="U946" s="3" t="str">
        <f t="shared" si="59"/>
        <v>Medium</v>
      </c>
      <c r="V946">
        <v>0</v>
      </c>
      <c r="W946" t="s">
        <v>38</v>
      </c>
      <c r="X946" s="2">
        <v>11</v>
      </c>
      <c r="Y946" t="s">
        <v>60</v>
      </c>
      <c r="Z946" t="s">
        <v>59</v>
      </c>
      <c r="AA946">
        <v>3</v>
      </c>
      <c r="AB946">
        <v>10</v>
      </c>
      <c r="AC946">
        <v>6</v>
      </c>
      <c r="AD946">
        <v>3</v>
      </c>
      <c r="AE946">
        <v>9</v>
      </c>
      <c r="AF946">
        <v>8</v>
      </c>
      <c r="AG946">
        <v>7</v>
      </c>
      <c r="AH946">
        <v>5</v>
      </c>
      <c r="AI946" t="str">
        <f t="shared" si="56"/>
        <v>6-10 Years</v>
      </c>
      <c r="AJ946" t="str">
        <f t="shared" si="57"/>
        <v>6+</v>
      </c>
    </row>
    <row r="947" spans="1:36" x14ac:dyDescent="0.35">
      <c r="A947">
        <v>946</v>
      </c>
      <c r="B947">
        <v>50</v>
      </c>
      <c r="C947" t="str">
        <f t="shared" si="58"/>
        <v>46-55</v>
      </c>
      <c r="D947" t="s">
        <v>38</v>
      </c>
      <c r="E947" t="s">
        <v>32</v>
      </c>
      <c r="F947" s="3">
        <v>1389</v>
      </c>
      <c r="G947" t="s">
        <v>40</v>
      </c>
      <c r="H947" s="1">
        <v>28</v>
      </c>
      <c r="I947" t="s">
        <v>61</v>
      </c>
      <c r="J947" t="s">
        <v>34</v>
      </c>
      <c r="K947" t="s">
        <v>62</v>
      </c>
      <c r="L947" t="s">
        <v>35</v>
      </c>
      <c r="M947" s="3">
        <v>43</v>
      </c>
      <c r="N947" t="s">
        <v>60</v>
      </c>
      <c r="O947" t="s">
        <v>62</v>
      </c>
      <c r="P947" t="s">
        <v>53</v>
      </c>
      <c r="Q947" t="s">
        <v>59</v>
      </c>
      <c r="R947" t="s">
        <v>43</v>
      </c>
      <c r="S947" s="3">
        <v>16880</v>
      </c>
      <c r="T947" s="3">
        <v>22422</v>
      </c>
      <c r="U947" s="3" t="str">
        <f t="shared" si="59"/>
        <v>High</v>
      </c>
      <c r="V947">
        <v>4</v>
      </c>
      <c r="W947" t="s">
        <v>31</v>
      </c>
      <c r="X947" s="2">
        <v>11</v>
      </c>
      <c r="Y947" t="s">
        <v>60</v>
      </c>
      <c r="Z947" t="s">
        <v>61</v>
      </c>
      <c r="AA947">
        <v>0</v>
      </c>
      <c r="AB947">
        <v>25</v>
      </c>
      <c r="AC947">
        <v>2</v>
      </c>
      <c r="AD947">
        <v>3</v>
      </c>
      <c r="AE947">
        <v>3</v>
      </c>
      <c r="AF947">
        <v>2</v>
      </c>
      <c r="AG947">
        <v>1</v>
      </c>
      <c r="AH947">
        <v>2</v>
      </c>
      <c r="AI947" t="str">
        <f t="shared" si="56"/>
        <v>3-5 Years</v>
      </c>
      <c r="AJ947" t="str">
        <f t="shared" si="57"/>
        <v>0-2</v>
      </c>
    </row>
    <row r="948" spans="1:36" x14ac:dyDescent="0.35">
      <c r="A948">
        <v>947</v>
      </c>
      <c r="B948">
        <v>40</v>
      </c>
      <c r="C948" t="str">
        <f t="shared" si="58"/>
        <v>36-45</v>
      </c>
      <c r="D948" t="s">
        <v>31</v>
      </c>
      <c r="E948" t="s">
        <v>32</v>
      </c>
      <c r="F948" s="3">
        <v>1389</v>
      </c>
      <c r="G948" t="s">
        <v>33</v>
      </c>
      <c r="H948" s="1">
        <v>25</v>
      </c>
      <c r="I948" t="s">
        <v>60</v>
      </c>
      <c r="J948" t="s">
        <v>54</v>
      </c>
      <c r="K948" t="s">
        <v>62</v>
      </c>
      <c r="L948" t="s">
        <v>41</v>
      </c>
      <c r="M948" s="3">
        <v>57</v>
      </c>
      <c r="N948" t="s">
        <v>61</v>
      </c>
      <c r="O948" t="s">
        <v>60</v>
      </c>
      <c r="P948" t="s">
        <v>36</v>
      </c>
      <c r="Q948" t="s">
        <v>61</v>
      </c>
      <c r="R948" t="s">
        <v>37</v>
      </c>
      <c r="S948" s="3">
        <v>9094</v>
      </c>
      <c r="T948" s="3">
        <v>17235</v>
      </c>
      <c r="U948" s="3" t="str">
        <f t="shared" si="59"/>
        <v>Medium</v>
      </c>
      <c r="V948">
        <v>2</v>
      </c>
      <c r="W948" t="s">
        <v>31</v>
      </c>
      <c r="X948" s="2">
        <v>12</v>
      </c>
      <c r="Y948" t="s">
        <v>60</v>
      </c>
      <c r="Z948" t="s">
        <v>60</v>
      </c>
      <c r="AA948">
        <v>0</v>
      </c>
      <c r="AB948">
        <v>9</v>
      </c>
      <c r="AC948">
        <v>2</v>
      </c>
      <c r="AD948">
        <v>3</v>
      </c>
      <c r="AE948">
        <v>5</v>
      </c>
      <c r="AF948">
        <v>4</v>
      </c>
      <c r="AG948">
        <v>1</v>
      </c>
      <c r="AH948">
        <v>0</v>
      </c>
      <c r="AI948" t="str">
        <f t="shared" si="56"/>
        <v>3-5 Years</v>
      </c>
      <c r="AJ948" t="str">
        <f t="shared" si="57"/>
        <v>0-2</v>
      </c>
    </row>
    <row r="949" spans="1:36" x14ac:dyDescent="0.35">
      <c r="A949">
        <v>948</v>
      </c>
      <c r="B949">
        <v>52</v>
      </c>
      <c r="C949" t="str">
        <f t="shared" si="58"/>
        <v>46-55</v>
      </c>
      <c r="D949" t="s">
        <v>31</v>
      </c>
      <c r="E949" t="s">
        <v>32</v>
      </c>
      <c r="F949" s="3">
        <v>1389</v>
      </c>
      <c r="G949" t="s">
        <v>33</v>
      </c>
      <c r="H949" s="1">
        <v>5</v>
      </c>
      <c r="I949" t="s">
        <v>61</v>
      </c>
      <c r="J949" t="s">
        <v>34</v>
      </c>
      <c r="K949" t="s">
        <v>61</v>
      </c>
      <c r="L949" t="s">
        <v>41</v>
      </c>
      <c r="M949" s="3">
        <v>64</v>
      </c>
      <c r="N949" t="s">
        <v>60</v>
      </c>
      <c r="O949" t="s">
        <v>60</v>
      </c>
      <c r="P949" t="s">
        <v>36</v>
      </c>
      <c r="Q949" t="s">
        <v>61</v>
      </c>
      <c r="R949" t="s">
        <v>37</v>
      </c>
      <c r="S949" s="3">
        <v>8446</v>
      </c>
      <c r="T949" s="3">
        <v>21534</v>
      </c>
      <c r="U949" s="3" t="str">
        <f t="shared" si="59"/>
        <v>Medium</v>
      </c>
      <c r="V949">
        <v>9</v>
      </c>
      <c r="W949" t="s">
        <v>31</v>
      </c>
      <c r="X949" s="2">
        <v>19</v>
      </c>
      <c r="Y949" t="s">
        <v>60</v>
      </c>
      <c r="Z949" t="s">
        <v>60</v>
      </c>
      <c r="AA949">
        <v>0</v>
      </c>
      <c r="AB949">
        <v>10</v>
      </c>
      <c r="AC949">
        <v>2</v>
      </c>
      <c r="AD949">
        <v>2</v>
      </c>
      <c r="AE949">
        <v>8</v>
      </c>
      <c r="AF949">
        <v>7</v>
      </c>
      <c r="AG949">
        <v>7</v>
      </c>
      <c r="AH949">
        <v>7</v>
      </c>
      <c r="AI949" t="str">
        <f t="shared" si="56"/>
        <v>6-10 Years</v>
      </c>
      <c r="AJ949" t="str">
        <f t="shared" si="57"/>
        <v>6+</v>
      </c>
    </row>
    <row r="950" spans="1:36" x14ac:dyDescent="0.35">
      <c r="A950">
        <v>949</v>
      </c>
      <c r="B950">
        <v>30</v>
      </c>
      <c r="C950" t="str">
        <f t="shared" si="58"/>
        <v>26-35</v>
      </c>
      <c r="D950" t="s">
        <v>38</v>
      </c>
      <c r="E950" t="s">
        <v>32</v>
      </c>
      <c r="F950" s="3">
        <v>1389</v>
      </c>
      <c r="G950" t="s">
        <v>40</v>
      </c>
      <c r="H950" s="1">
        <v>17</v>
      </c>
      <c r="I950" t="s">
        <v>60</v>
      </c>
      <c r="J950" t="s">
        <v>46</v>
      </c>
      <c r="K950" t="s">
        <v>61</v>
      </c>
      <c r="L950" t="s">
        <v>35</v>
      </c>
      <c r="M950" s="3">
        <v>95</v>
      </c>
      <c r="N950" t="s">
        <v>60</v>
      </c>
      <c r="O950" t="s">
        <v>60</v>
      </c>
      <c r="P950" t="s">
        <v>51</v>
      </c>
      <c r="Q950" t="s">
        <v>59</v>
      </c>
      <c r="R950" t="s">
        <v>43</v>
      </c>
      <c r="S950" s="3">
        <v>11916</v>
      </c>
      <c r="T950" s="3">
        <v>25927</v>
      </c>
      <c r="U950" s="3" t="str">
        <f t="shared" si="59"/>
        <v>High</v>
      </c>
      <c r="V950">
        <v>1</v>
      </c>
      <c r="W950" t="s">
        <v>31</v>
      </c>
      <c r="X950" s="2">
        <v>23</v>
      </c>
      <c r="Y950" t="s">
        <v>62</v>
      </c>
      <c r="Z950" t="s">
        <v>62</v>
      </c>
      <c r="AA950">
        <v>2</v>
      </c>
      <c r="AB950">
        <v>9</v>
      </c>
      <c r="AC950">
        <v>2</v>
      </c>
      <c r="AD950">
        <v>3</v>
      </c>
      <c r="AE950">
        <v>9</v>
      </c>
      <c r="AF950">
        <v>1</v>
      </c>
      <c r="AG950">
        <v>0</v>
      </c>
      <c r="AH950">
        <v>8</v>
      </c>
      <c r="AI950" t="str">
        <f t="shared" si="56"/>
        <v>6-10 Years</v>
      </c>
      <c r="AJ950" t="str">
        <f t="shared" si="57"/>
        <v>0-2</v>
      </c>
    </row>
    <row r="951" spans="1:36" x14ac:dyDescent="0.35">
      <c r="A951">
        <v>950</v>
      </c>
      <c r="B951">
        <v>39</v>
      </c>
      <c r="C951" t="str">
        <f t="shared" si="58"/>
        <v>36-45</v>
      </c>
      <c r="D951" t="s">
        <v>38</v>
      </c>
      <c r="E951" t="s">
        <v>32</v>
      </c>
      <c r="F951" s="3">
        <v>1389</v>
      </c>
      <c r="G951" t="s">
        <v>40</v>
      </c>
      <c r="H951" s="1">
        <v>18</v>
      </c>
      <c r="I951" t="s">
        <v>58</v>
      </c>
      <c r="J951" t="s">
        <v>34</v>
      </c>
      <c r="K951" t="s">
        <v>59</v>
      </c>
      <c r="L951" t="s">
        <v>41</v>
      </c>
      <c r="M951" s="3">
        <v>32</v>
      </c>
      <c r="N951" t="s">
        <v>60</v>
      </c>
      <c r="O951" t="s">
        <v>61</v>
      </c>
      <c r="P951" t="s">
        <v>48</v>
      </c>
      <c r="Q951" t="s">
        <v>60</v>
      </c>
      <c r="R951" t="s">
        <v>37</v>
      </c>
      <c r="S951" s="3">
        <v>4534</v>
      </c>
      <c r="T951" s="3">
        <v>13352</v>
      </c>
      <c r="U951" s="3" t="str">
        <f t="shared" si="59"/>
        <v>Low</v>
      </c>
      <c r="V951">
        <v>0</v>
      </c>
      <c r="W951" t="s">
        <v>38</v>
      </c>
      <c r="X951" s="2">
        <v>11</v>
      </c>
      <c r="Y951" t="s">
        <v>60</v>
      </c>
      <c r="Z951" t="s">
        <v>59</v>
      </c>
      <c r="AA951">
        <v>0</v>
      </c>
      <c r="AB951">
        <v>9</v>
      </c>
      <c r="AC951">
        <v>6</v>
      </c>
      <c r="AD951">
        <v>3</v>
      </c>
      <c r="AE951">
        <v>8</v>
      </c>
      <c r="AF951">
        <v>7</v>
      </c>
      <c r="AG951">
        <v>1</v>
      </c>
      <c r="AH951">
        <v>7</v>
      </c>
      <c r="AI951" t="str">
        <f t="shared" si="56"/>
        <v>6-10 Years</v>
      </c>
      <c r="AJ951" t="str">
        <f t="shared" si="57"/>
        <v>0-2</v>
      </c>
    </row>
    <row r="952" spans="1:36" x14ac:dyDescent="0.35">
      <c r="A952">
        <v>951</v>
      </c>
      <c r="B952">
        <v>31</v>
      </c>
      <c r="C952" t="str">
        <f t="shared" si="58"/>
        <v>26-35</v>
      </c>
      <c r="D952" t="s">
        <v>38</v>
      </c>
      <c r="E952" t="s">
        <v>50</v>
      </c>
      <c r="F952" s="3">
        <v>1389</v>
      </c>
      <c r="G952" t="s">
        <v>33</v>
      </c>
      <c r="H952" s="1">
        <v>2</v>
      </c>
      <c r="I952" t="s">
        <v>60</v>
      </c>
      <c r="J952" t="s">
        <v>34</v>
      </c>
      <c r="K952" t="s">
        <v>62</v>
      </c>
      <c r="L952" t="s">
        <v>35</v>
      </c>
      <c r="M952" s="3">
        <v>57</v>
      </c>
      <c r="N952" t="s">
        <v>60</v>
      </c>
      <c r="O952" t="s">
        <v>60</v>
      </c>
      <c r="P952" t="s">
        <v>36</v>
      </c>
      <c r="Q952" t="s">
        <v>60</v>
      </c>
      <c r="R952" t="s">
        <v>47</v>
      </c>
      <c r="S952" s="3">
        <v>9852</v>
      </c>
      <c r="T952" s="3">
        <v>8935</v>
      </c>
      <c r="U952" s="3" t="str">
        <f t="shared" si="59"/>
        <v>Medium</v>
      </c>
      <c r="V952">
        <v>1</v>
      </c>
      <c r="W952" t="s">
        <v>31</v>
      </c>
      <c r="X952" s="2">
        <v>19</v>
      </c>
      <c r="Y952" t="s">
        <v>60</v>
      </c>
      <c r="Z952" t="s">
        <v>59</v>
      </c>
      <c r="AA952">
        <v>1</v>
      </c>
      <c r="AB952">
        <v>10</v>
      </c>
      <c r="AC952">
        <v>5</v>
      </c>
      <c r="AD952">
        <v>2</v>
      </c>
      <c r="AE952">
        <v>10</v>
      </c>
      <c r="AF952">
        <v>8</v>
      </c>
      <c r="AG952">
        <v>9</v>
      </c>
      <c r="AH952">
        <v>6</v>
      </c>
      <c r="AI952" t="str">
        <f t="shared" si="56"/>
        <v>6-10 Years</v>
      </c>
      <c r="AJ952" t="str">
        <f t="shared" si="57"/>
        <v>6+</v>
      </c>
    </row>
    <row r="953" spans="1:36" x14ac:dyDescent="0.35">
      <c r="A953">
        <v>952</v>
      </c>
      <c r="B953">
        <v>41</v>
      </c>
      <c r="C953" t="str">
        <f t="shared" si="58"/>
        <v>36-45</v>
      </c>
      <c r="D953" t="s">
        <v>38</v>
      </c>
      <c r="E953" t="s">
        <v>50</v>
      </c>
      <c r="F953" s="3">
        <v>1389</v>
      </c>
      <c r="G953" t="s">
        <v>33</v>
      </c>
      <c r="H953" s="1">
        <v>10</v>
      </c>
      <c r="I953" t="s">
        <v>58</v>
      </c>
      <c r="J953" t="s">
        <v>46</v>
      </c>
      <c r="K953" t="s">
        <v>60</v>
      </c>
      <c r="L953" t="s">
        <v>41</v>
      </c>
      <c r="M953" s="3">
        <v>40</v>
      </c>
      <c r="N953" t="s">
        <v>59</v>
      </c>
      <c r="O953" t="s">
        <v>61</v>
      </c>
      <c r="P953" t="s">
        <v>36</v>
      </c>
      <c r="Q953" t="s">
        <v>61</v>
      </c>
      <c r="R953" t="s">
        <v>37</v>
      </c>
      <c r="S953" s="3">
        <v>6151</v>
      </c>
      <c r="T953" s="3">
        <v>22074</v>
      </c>
      <c r="U953" s="3" t="str">
        <f t="shared" si="59"/>
        <v>Medium</v>
      </c>
      <c r="V953">
        <v>1</v>
      </c>
      <c r="W953" t="s">
        <v>38</v>
      </c>
      <c r="X953" s="2">
        <v>13</v>
      </c>
      <c r="Y953" t="s">
        <v>60</v>
      </c>
      <c r="Z953" t="s">
        <v>59</v>
      </c>
      <c r="AA953">
        <v>0</v>
      </c>
      <c r="AB953">
        <v>19</v>
      </c>
      <c r="AC953">
        <v>4</v>
      </c>
      <c r="AD953">
        <v>3</v>
      </c>
      <c r="AE953">
        <v>19</v>
      </c>
      <c r="AF953">
        <v>2</v>
      </c>
      <c r="AG953">
        <v>11</v>
      </c>
      <c r="AH953">
        <v>9</v>
      </c>
      <c r="AI953" t="str">
        <f t="shared" si="56"/>
        <v>10+ Years</v>
      </c>
      <c r="AJ953" t="str">
        <f t="shared" si="57"/>
        <v>6+</v>
      </c>
    </row>
    <row r="954" spans="1:36" x14ac:dyDescent="0.35">
      <c r="A954">
        <v>953</v>
      </c>
      <c r="B954">
        <v>31</v>
      </c>
      <c r="C954" t="str">
        <f t="shared" si="58"/>
        <v>26-35</v>
      </c>
      <c r="D954" t="s">
        <v>31</v>
      </c>
      <c r="E954" t="s">
        <v>39</v>
      </c>
      <c r="F954" s="3">
        <v>1389</v>
      </c>
      <c r="G954" t="s">
        <v>33</v>
      </c>
      <c r="H954" s="1">
        <v>1</v>
      </c>
      <c r="I954" t="s">
        <v>61</v>
      </c>
      <c r="J954" t="s">
        <v>34</v>
      </c>
      <c r="K954" t="s">
        <v>62</v>
      </c>
      <c r="L954" t="s">
        <v>35</v>
      </c>
      <c r="M954" s="3">
        <v>54</v>
      </c>
      <c r="N954" t="s">
        <v>60</v>
      </c>
      <c r="O954" t="s">
        <v>59</v>
      </c>
      <c r="P954" t="s">
        <v>52</v>
      </c>
      <c r="Q954" t="s">
        <v>61</v>
      </c>
      <c r="R954" t="s">
        <v>37</v>
      </c>
      <c r="S954" s="3">
        <v>2302</v>
      </c>
      <c r="T954" s="3">
        <v>8319</v>
      </c>
      <c r="U954" s="3" t="str">
        <f t="shared" si="59"/>
        <v>Low</v>
      </c>
      <c r="V954">
        <v>1</v>
      </c>
      <c r="W954" t="s">
        <v>31</v>
      </c>
      <c r="X954" s="2">
        <v>11</v>
      </c>
      <c r="Y954" t="s">
        <v>60</v>
      </c>
      <c r="Z954" t="s">
        <v>59</v>
      </c>
      <c r="AA954">
        <v>0</v>
      </c>
      <c r="AB954">
        <v>3</v>
      </c>
      <c r="AC954">
        <v>2</v>
      </c>
      <c r="AD954">
        <v>4</v>
      </c>
      <c r="AE954">
        <v>3</v>
      </c>
      <c r="AF954">
        <v>2</v>
      </c>
      <c r="AG954">
        <v>2</v>
      </c>
      <c r="AH954">
        <v>2</v>
      </c>
      <c r="AI954" t="str">
        <f t="shared" si="56"/>
        <v>3-5 Years</v>
      </c>
      <c r="AJ954" t="str">
        <f t="shared" si="57"/>
        <v>0-2</v>
      </c>
    </row>
    <row r="955" spans="1:36" x14ac:dyDescent="0.35">
      <c r="A955">
        <v>954</v>
      </c>
      <c r="B955">
        <v>44</v>
      </c>
      <c r="C955" t="str">
        <f t="shared" si="58"/>
        <v>36-45</v>
      </c>
      <c r="D955" t="s">
        <v>31</v>
      </c>
      <c r="E955" t="s">
        <v>32</v>
      </c>
      <c r="F955" s="3">
        <v>1389</v>
      </c>
      <c r="G955" t="s">
        <v>40</v>
      </c>
      <c r="H955" s="1">
        <v>3</v>
      </c>
      <c r="I955" t="s">
        <v>61</v>
      </c>
      <c r="J955" t="s">
        <v>34</v>
      </c>
      <c r="K955" t="s">
        <v>59</v>
      </c>
      <c r="L955" t="s">
        <v>41</v>
      </c>
      <c r="M955" s="3">
        <v>89</v>
      </c>
      <c r="N955" t="s">
        <v>60</v>
      </c>
      <c r="O955" t="s">
        <v>59</v>
      </c>
      <c r="P955" t="s">
        <v>45</v>
      </c>
      <c r="Q955" t="s">
        <v>59</v>
      </c>
      <c r="R955" t="s">
        <v>43</v>
      </c>
      <c r="S955" s="3">
        <v>2362</v>
      </c>
      <c r="T955" s="3">
        <v>14669</v>
      </c>
      <c r="U955" s="3" t="str">
        <f t="shared" si="59"/>
        <v>Low</v>
      </c>
      <c r="V955">
        <v>4</v>
      </c>
      <c r="W955" t="s">
        <v>38</v>
      </c>
      <c r="X955" s="2">
        <v>12</v>
      </c>
      <c r="Y955" t="s">
        <v>60</v>
      </c>
      <c r="Z955" t="s">
        <v>60</v>
      </c>
      <c r="AA955">
        <v>0</v>
      </c>
      <c r="AB955">
        <v>10</v>
      </c>
      <c r="AC955">
        <v>4</v>
      </c>
      <c r="AD955">
        <v>4</v>
      </c>
      <c r="AE955">
        <v>3</v>
      </c>
      <c r="AF955">
        <v>2</v>
      </c>
      <c r="AG955">
        <v>1</v>
      </c>
      <c r="AH955">
        <v>2</v>
      </c>
      <c r="AI955" t="str">
        <f t="shared" si="56"/>
        <v>3-5 Years</v>
      </c>
      <c r="AJ955" t="str">
        <f t="shared" si="57"/>
        <v>0-2</v>
      </c>
    </row>
    <row r="956" spans="1:36" x14ac:dyDescent="0.35">
      <c r="A956">
        <v>955</v>
      </c>
      <c r="B956">
        <v>42</v>
      </c>
      <c r="C956" t="str">
        <f t="shared" si="58"/>
        <v>36-45</v>
      </c>
      <c r="D956" t="s">
        <v>38</v>
      </c>
      <c r="E956" t="s">
        <v>50</v>
      </c>
      <c r="F956" s="3">
        <v>1389</v>
      </c>
      <c r="G956" t="s">
        <v>40</v>
      </c>
      <c r="H956" s="1">
        <v>2</v>
      </c>
      <c r="I956" t="s">
        <v>59</v>
      </c>
      <c r="J956" t="s">
        <v>34</v>
      </c>
      <c r="K956" t="s">
        <v>60</v>
      </c>
      <c r="L956" t="s">
        <v>41</v>
      </c>
      <c r="M956" s="3">
        <v>37</v>
      </c>
      <c r="N956" t="s">
        <v>60</v>
      </c>
      <c r="O956" t="s">
        <v>62</v>
      </c>
      <c r="P956" t="s">
        <v>51</v>
      </c>
      <c r="Q956" t="s">
        <v>60</v>
      </c>
      <c r="R956" t="s">
        <v>43</v>
      </c>
      <c r="S956" s="3">
        <v>17861</v>
      </c>
      <c r="T956" s="3">
        <v>26582</v>
      </c>
      <c r="U956" s="3" t="str">
        <f t="shared" si="59"/>
        <v>High</v>
      </c>
      <c r="V956">
        <v>0</v>
      </c>
      <c r="W956" t="s">
        <v>31</v>
      </c>
      <c r="X956" s="2">
        <v>13</v>
      </c>
      <c r="Y956" t="s">
        <v>60</v>
      </c>
      <c r="Z956" t="s">
        <v>62</v>
      </c>
      <c r="AA956">
        <v>0</v>
      </c>
      <c r="AB956">
        <v>21</v>
      </c>
      <c r="AC956">
        <v>3</v>
      </c>
      <c r="AD956">
        <v>2</v>
      </c>
      <c r="AE956">
        <v>20</v>
      </c>
      <c r="AF956">
        <v>8</v>
      </c>
      <c r="AG956">
        <v>2</v>
      </c>
      <c r="AH956">
        <v>10</v>
      </c>
      <c r="AI956" t="str">
        <f t="shared" si="56"/>
        <v>10+ Years</v>
      </c>
      <c r="AJ956" t="str">
        <f t="shared" si="57"/>
        <v>0-2</v>
      </c>
    </row>
    <row r="957" spans="1:36" x14ac:dyDescent="0.35">
      <c r="A957">
        <v>956</v>
      </c>
      <c r="B957">
        <v>55</v>
      </c>
      <c r="C957" t="str">
        <f t="shared" si="58"/>
        <v>46-55</v>
      </c>
      <c r="D957" t="s">
        <v>38</v>
      </c>
      <c r="E957" t="s">
        <v>32</v>
      </c>
      <c r="F957" s="3">
        <v>1389</v>
      </c>
      <c r="G957" t="s">
        <v>40</v>
      </c>
      <c r="H957" s="1">
        <v>2</v>
      </c>
      <c r="I957" t="s">
        <v>58</v>
      </c>
      <c r="J957" t="s">
        <v>46</v>
      </c>
      <c r="K957" t="s">
        <v>62</v>
      </c>
      <c r="L957" t="s">
        <v>35</v>
      </c>
      <c r="M957" s="3">
        <v>58</v>
      </c>
      <c r="N957" t="s">
        <v>59</v>
      </c>
      <c r="O957" t="e">
        <v>#N/A</v>
      </c>
      <c r="P957" t="s">
        <v>51</v>
      </c>
      <c r="Q957" t="s">
        <v>60</v>
      </c>
      <c r="R957" t="s">
        <v>43</v>
      </c>
      <c r="S957" s="3">
        <v>19187</v>
      </c>
      <c r="T957" s="3">
        <v>6992</v>
      </c>
      <c r="U957" s="3" t="str">
        <f t="shared" si="59"/>
        <v>High</v>
      </c>
      <c r="V957">
        <v>4</v>
      </c>
      <c r="W957" t="s">
        <v>38</v>
      </c>
      <c r="X957" s="2">
        <v>14</v>
      </c>
      <c r="Y957" t="s">
        <v>60</v>
      </c>
      <c r="Z957" t="s">
        <v>62</v>
      </c>
      <c r="AA957">
        <v>1</v>
      </c>
      <c r="AB957">
        <v>23</v>
      </c>
      <c r="AC957">
        <v>5</v>
      </c>
      <c r="AD957">
        <v>3</v>
      </c>
      <c r="AE957">
        <v>19</v>
      </c>
      <c r="AF957">
        <v>9</v>
      </c>
      <c r="AG957">
        <v>9</v>
      </c>
      <c r="AH957">
        <v>11</v>
      </c>
      <c r="AI957" t="str">
        <f t="shared" si="56"/>
        <v>10+ Years</v>
      </c>
      <c r="AJ957" t="str">
        <f t="shared" si="57"/>
        <v>6+</v>
      </c>
    </row>
    <row r="958" spans="1:36" x14ac:dyDescent="0.35">
      <c r="A958">
        <v>957</v>
      </c>
      <c r="B958">
        <v>56</v>
      </c>
      <c r="C958" t="str">
        <f t="shared" si="58"/>
        <v>55+</v>
      </c>
      <c r="D958" t="s">
        <v>38</v>
      </c>
      <c r="E958" t="s">
        <v>32</v>
      </c>
      <c r="F958" s="3">
        <v>1389</v>
      </c>
      <c r="G958" t="s">
        <v>56</v>
      </c>
      <c r="H958" s="1">
        <v>8</v>
      </c>
      <c r="I958" t="s">
        <v>60</v>
      </c>
      <c r="J958" t="s">
        <v>34</v>
      </c>
      <c r="K958" t="s">
        <v>62</v>
      </c>
      <c r="L958" t="s">
        <v>41</v>
      </c>
      <c r="M958" s="3">
        <v>99</v>
      </c>
      <c r="N958" t="s">
        <v>60</v>
      </c>
      <c r="O958" t="e">
        <v>#N/A</v>
      </c>
      <c r="P958" t="s">
        <v>51</v>
      </c>
      <c r="Q958" t="s">
        <v>61</v>
      </c>
      <c r="R958" t="s">
        <v>37</v>
      </c>
      <c r="S958" s="3">
        <v>19717</v>
      </c>
      <c r="T958" s="3">
        <v>4022</v>
      </c>
      <c r="U958" s="3" t="str">
        <f t="shared" si="59"/>
        <v>High</v>
      </c>
      <c r="V958">
        <v>6</v>
      </c>
      <c r="W958" t="s">
        <v>38</v>
      </c>
      <c r="X958" s="2">
        <v>14</v>
      </c>
      <c r="Y958" t="s">
        <v>60</v>
      </c>
      <c r="Z958" t="s">
        <v>59</v>
      </c>
      <c r="AA958">
        <v>0</v>
      </c>
      <c r="AB958">
        <v>36</v>
      </c>
      <c r="AC958">
        <v>4</v>
      </c>
      <c r="AD958">
        <v>3</v>
      </c>
      <c r="AE958">
        <v>7</v>
      </c>
      <c r="AF958">
        <v>3</v>
      </c>
      <c r="AG958">
        <v>7</v>
      </c>
      <c r="AH958">
        <v>7</v>
      </c>
      <c r="AI958" t="str">
        <f t="shared" si="56"/>
        <v>6-10 Years</v>
      </c>
      <c r="AJ958" t="str">
        <f t="shared" si="57"/>
        <v>6+</v>
      </c>
    </row>
    <row r="959" spans="1:36" x14ac:dyDescent="0.35">
      <c r="A959">
        <v>958</v>
      </c>
      <c r="B959">
        <v>40</v>
      </c>
      <c r="C959" t="str">
        <f t="shared" si="58"/>
        <v>36-45</v>
      </c>
      <c r="D959" t="s">
        <v>38</v>
      </c>
      <c r="E959" t="s">
        <v>50</v>
      </c>
      <c r="F959" s="3">
        <v>1389</v>
      </c>
      <c r="G959" t="s">
        <v>40</v>
      </c>
      <c r="H959" s="1">
        <v>16</v>
      </c>
      <c r="I959" t="s">
        <v>58</v>
      </c>
      <c r="J959" t="s">
        <v>34</v>
      </c>
      <c r="K959" t="s">
        <v>60</v>
      </c>
      <c r="L959" t="s">
        <v>41</v>
      </c>
      <c r="M959" s="3">
        <v>74</v>
      </c>
      <c r="N959" t="s">
        <v>60</v>
      </c>
      <c r="O959" t="s">
        <v>59</v>
      </c>
      <c r="P959" t="s">
        <v>42</v>
      </c>
      <c r="Q959" t="s">
        <v>60</v>
      </c>
      <c r="R959" t="s">
        <v>47</v>
      </c>
      <c r="S959" s="3">
        <v>3544</v>
      </c>
      <c r="T959" s="3">
        <v>8532</v>
      </c>
      <c r="U959" s="3" t="str">
        <f t="shared" si="59"/>
        <v>Low</v>
      </c>
      <c r="V959">
        <v>9</v>
      </c>
      <c r="W959" t="s">
        <v>38</v>
      </c>
      <c r="X959" s="2">
        <v>16</v>
      </c>
      <c r="Y959" t="s">
        <v>60</v>
      </c>
      <c r="Z959" t="s">
        <v>61</v>
      </c>
      <c r="AA959">
        <v>1</v>
      </c>
      <c r="AB959">
        <v>6</v>
      </c>
      <c r="AC959">
        <v>0</v>
      </c>
      <c r="AD959">
        <v>3</v>
      </c>
      <c r="AE959">
        <v>4</v>
      </c>
      <c r="AF959">
        <v>2</v>
      </c>
      <c r="AG959">
        <v>0</v>
      </c>
      <c r="AH959">
        <v>0</v>
      </c>
      <c r="AI959" t="str">
        <f t="shared" si="56"/>
        <v>3-5 Years</v>
      </c>
      <c r="AJ959" t="str">
        <f t="shared" si="57"/>
        <v>0-2</v>
      </c>
    </row>
    <row r="960" spans="1:36" x14ac:dyDescent="0.35">
      <c r="A960">
        <v>959</v>
      </c>
      <c r="B960">
        <v>34</v>
      </c>
      <c r="C960" t="str">
        <f t="shared" si="58"/>
        <v>26-35</v>
      </c>
      <c r="D960" t="s">
        <v>38</v>
      </c>
      <c r="E960" t="s">
        <v>32</v>
      </c>
      <c r="F960" s="3">
        <v>1389</v>
      </c>
      <c r="G960" t="s">
        <v>40</v>
      </c>
      <c r="H960" s="1">
        <v>9</v>
      </c>
      <c r="I960" t="s">
        <v>61</v>
      </c>
      <c r="J960" t="s">
        <v>34</v>
      </c>
      <c r="K960" t="s">
        <v>62</v>
      </c>
      <c r="L960" t="s">
        <v>41</v>
      </c>
      <c r="M960" s="3">
        <v>86</v>
      </c>
      <c r="N960" t="s">
        <v>60</v>
      </c>
      <c r="O960" t="s">
        <v>60</v>
      </c>
      <c r="P960" t="s">
        <v>49</v>
      </c>
      <c r="Q960" t="s">
        <v>62</v>
      </c>
      <c r="R960" t="s">
        <v>47</v>
      </c>
      <c r="S960" s="3">
        <v>8500</v>
      </c>
      <c r="T960" s="3">
        <v>5494</v>
      </c>
      <c r="U960" s="3" t="str">
        <f t="shared" si="59"/>
        <v>Medium</v>
      </c>
      <c r="V960">
        <v>0</v>
      </c>
      <c r="W960" t="s">
        <v>38</v>
      </c>
      <c r="X960" s="2">
        <v>11</v>
      </c>
      <c r="Y960" t="s">
        <v>60</v>
      </c>
      <c r="Z960" t="s">
        <v>62</v>
      </c>
      <c r="AA960">
        <v>1</v>
      </c>
      <c r="AB960">
        <v>10</v>
      </c>
      <c r="AC960">
        <v>0</v>
      </c>
      <c r="AD960">
        <v>2</v>
      </c>
      <c r="AE960">
        <v>9</v>
      </c>
      <c r="AF960">
        <v>7</v>
      </c>
      <c r="AG960">
        <v>1</v>
      </c>
      <c r="AH960">
        <v>6</v>
      </c>
      <c r="AI960" t="str">
        <f t="shared" si="56"/>
        <v>6-10 Years</v>
      </c>
      <c r="AJ960" t="str">
        <f t="shared" si="57"/>
        <v>0-2</v>
      </c>
    </row>
    <row r="961" spans="1:36" x14ac:dyDescent="0.35">
      <c r="A961">
        <v>960</v>
      </c>
      <c r="B961">
        <v>40</v>
      </c>
      <c r="C961" t="str">
        <f t="shared" si="58"/>
        <v>36-45</v>
      </c>
      <c r="D961" t="s">
        <v>38</v>
      </c>
      <c r="E961" t="s">
        <v>32</v>
      </c>
      <c r="F961" s="3">
        <v>1389</v>
      </c>
      <c r="G961" t="s">
        <v>40</v>
      </c>
      <c r="H961" s="1">
        <v>2</v>
      </c>
      <c r="I961" t="s">
        <v>61</v>
      </c>
      <c r="J961" t="s">
        <v>34</v>
      </c>
      <c r="K961" t="s">
        <v>60</v>
      </c>
      <c r="L961" t="s">
        <v>41</v>
      </c>
      <c r="M961" s="3">
        <v>98</v>
      </c>
      <c r="N961" t="s">
        <v>60</v>
      </c>
      <c r="O961" t="s">
        <v>61</v>
      </c>
      <c r="P961" t="s">
        <v>42</v>
      </c>
      <c r="Q961" t="s">
        <v>62</v>
      </c>
      <c r="R961" t="s">
        <v>37</v>
      </c>
      <c r="S961" s="3">
        <v>4661</v>
      </c>
      <c r="T961" s="3">
        <v>22455</v>
      </c>
      <c r="U961" s="3" t="str">
        <f t="shared" si="59"/>
        <v>Low</v>
      </c>
      <c r="V961">
        <v>1</v>
      </c>
      <c r="W961" t="s">
        <v>38</v>
      </c>
      <c r="X961" s="2">
        <v>13</v>
      </c>
      <c r="Y961" t="s">
        <v>60</v>
      </c>
      <c r="Z961" t="s">
        <v>60</v>
      </c>
      <c r="AA961">
        <v>0</v>
      </c>
      <c r="AB961">
        <v>9</v>
      </c>
      <c r="AC961">
        <v>4</v>
      </c>
      <c r="AD961">
        <v>3</v>
      </c>
      <c r="AE961">
        <v>9</v>
      </c>
      <c r="AF961">
        <v>8</v>
      </c>
      <c r="AG961">
        <v>8</v>
      </c>
      <c r="AH961">
        <v>8</v>
      </c>
      <c r="AI961" t="str">
        <f t="shared" si="56"/>
        <v>6-10 Years</v>
      </c>
      <c r="AJ961" t="str">
        <f t="shared" si="57"/>
        <v>6+</v>
      </c>
    </row>
    <row r="962" spans="1:36" x14ac:dyDescent="0.35">
      <c r="A962">
        <v>961</v>
      </c>
      <c r="B962">
        <v>41</v>
      </c>
      <c r="C962" t="str">
        <f t="shared" si="58"/>
        <v>36-45</v>
      </c>
      <c r="D962" t="s">
        <v>38</v>
      </c>
      <c r="E962" t="s">
        <v>39</v>
      </c>
      <c r="F962" s="3">
        <v>1389</v>
      </c>
      <c r="G962" t="s">
        <v>33</v>
      </c>
      <c r="H962" s="1">
        <v>1</v>
      </c>
      <c r="I962" t="s">
        <v>61</v>
      </c>
      <c r="J962" t="s">
        <v>54</v>
      </c>
      <c r="K962" t="s">
        <v>60</v>
      </c>
      <c r="L962" t="s">
        <v>35</v>
      </c>
      <c r="M962" s="3">
        <v>66</v>
      </c>
      <c r="N962" t="s">
        <v>60</v>
      </c>
      <c r="O962" t="s">
        <v>61</v>
      </c>
      <c r="P962" t="s">
        <v>36</v>
      </c>
      <c r="Q962" t="s">
        <v>59</v>
      </c>
      <c r="R962" t="s">
        <v>47</v>
      </c>
      <c r="S962" s="3">
        <v>4103</v>
      </c>
      <c r="T962" s="3">
        <v>4297</v>
      </c>
      <c r="U962" s="3" t="str">
        <f t="shared" si="59"/>
        <v>Low</v>
      </c>
      <c r="V962">
        <v>0</v>
      </c>
      <c r="W962" t="s">
        <v>38</v>
      </c>
      <c r="X962" s="2">
        <v>17</v>
      </c>
      <c r="Y962" t="s">
        <v>60</v>
      </c>
      <c r="Z962" t="s">
        <v>62</v>
      </c>
      <c r="AA962">
        <v>1</v>
      </c>
      <c r="AB962">
        <v>10</v>
      </c>
      <c r="AC962">
        <v>2</v>
      </c>
      <c r="AD962">
        <v>3</v>
      </c>
      <c r="AE962">
        <v>9</v>
      </c>
      <c r="AF962">
        <v>3</v>
      </c>
      <c r="AG962">
        <v>1</v>
      </c>
      <c r="AH962">
        <v>7</v>
      </c>
      <c r="AI962" t="str">
        <f t="shared" ref="AI962:AI1025" si="60">IF(AE962&lt;=2,"0-2 Years",
IF(AE962&lt;=5,"3-5 Years",
IF(AE962&lt;=10,"6-10 Years","10+ Years")))</f>
        <v>6-10 Years</v>
      </c>
      <c r="AJ962" t="str">
        <f t="shared" ref="AJ962:AJ1025" si="61">IF(AG962&lt;=2,"0-2",
IF(AG962&lt;=5,"3-5","6+"))</f>
        <v>0-2</v>
      </c>
    </row>
    <row r="963" spans="1:36" x14ac:dyDescent="0.35">
      <c r="A963">
        <v>962</v>
      </c>
      <c r="B963">
        <v>35</v>
      </c>
      <c r="C963" t="str">
        <f t="shared" ref="C963:C1026" si="62">IF(B963&lt;=25,"18-25",
IF(B963&lt;=35,"26-35",
IF(B963&lt;=45,"36-45",
IF(B963&lt;=55,"46-55","55+"))))</f>
        <v>26-35</v>
      </c>
      <c r="D963" t="s">
        <v>38</v>
      </c>
      <c r="E963" t="s">
        <v>39</v>
      </c>
      <c r="F963" s="3">
        <v>1389</v>
      </c>
      <c r="G963" t="s">
        <v>40</v>
      </c>
      <c r="H963" s="1">
        <v>4</v>
      </c>
      <c r="I963" t="s">
        <v>60</v>
      </c>
      <c r="J963" t="s">
        <v>34</v>
      </c>
      <c r="K963" t="s">
        <v>60</v>
      </c>
      <c r="L963" t="s">
        <v>41</v>
      </c>
      <c r="M963" s="3">
        <v>87</v>
      </c>
      <c r="N963" t="s">
        <v>60</v>
      </c>
      <c r="O963" t="s">
        <v>61</v>
      </c>
      <c r="P963" t="s">
        <v>42</v>
      </c>
      <c r="Q963" t="s">
        <v>60</v>
      </c>
      <c r="R963" t="s">
        <v>37</v>
      </c>
      <c r="S963" s="3">
        <v>4249</v>
      </c>
      <c r="T963" s="3">
        <v>2690</v>
      </c>
      <c r="U963" s="3" t="str">
        <f t="shared" ref="U963:U1026" si="63">_xlfn.IFS(S963&lt;5000,"Low",S963&lt;10000,"Medium",S963&gt;10000,"High")</f>
        <v>Low</v>
      </c>
      <c r="V963">
        <v>1</v>
      </c>
      <c r="W963" t="s">
        <v>31</v>
      </c>
      <c r="X963" s="2">
        <v>11</v>
      </c>
      <c r="Y963" t="s">
        <v>60</v>
      </c>
      <c r="Z963" t="s">
        <v>61</v>
      </c>
      <c r="AA963">
        <v>0</v>
      </c>
      <c r="AB963">
        <v>9</v>
      </c>
      <c r="AC963">
        <v>3</v>
      </c>
      <c r="AD963">
        <v>3</v>
      </c>
      <c r="AE963">
        <v>9</v>
      </c>
      <c r="AF963">
        <v>6</v>
      </c>
      <c r="AG963">
        <v>1</v>
      </c>
      <c r="AH963">
        <v>1</v>
      </c>
      <c r="AI963" t="str">
        <f t="shared" si="60"/>
        <v>6-10 Years</v>
      </c>
      <c r="AJ963" t="str">
        <f t="shared" si="61"/>
        <v>0-2</v>
      </c>
    </row>
    <row r="964" spans="1:36" x14ac:dyDescent="0.35">
      <c r="A964">
        <v>963</v>
      </c>
      <c r="B964">
        <v>51</v>
      </c>
      <c r="C964" t="str">
        <f t="shared" si="62"/>
        <v>46-55</v>
      </c>
      <c r="D964" t="s">
        <v>38</v>
      </c>
      <c r="E964" t="s">
        <v>32</v>
      </c>
      <c r="F964" s="3">
        <v>1389</v>
      </c>
      <c r="G964" t="s">
        <v>56</v>
      </c>
      <c r="H964" s="1">
        <v>5</v>
      </c>
      <c r="I964" t="s">
        <v>61</v>
      </c>
      <c r="J964" t="s">
        <v>34</v>
      </c>
      <c r="K964" t="s">
        <v>60</v>
      </c>
      <c r="L964" t="s">
        <v>41</v>
      </c>
      <c r="M964" s="3">
        <v>84</v>
      </c>
      <c r="N964" t="s">
        <v>60</v>
      </c>
      <c r="O964" t="s">
        <v>62</v>
      </c>
      <c r="P964" t="s">
        <v>51</v>
      </c>
      <c r="Q964" t="s">
        <v>61</v>
      </c>
      <c r="R964" t="s">
        <v>47</v>
      </c>
      <c r="S964" s="3">
        <v>14026</v>
      </c>
      <c r="T964" s="3">
        <v>17588</v>
      </c>
      <c r="U964" s="3" t="str">
        <f t="shared" si="63"/>
        <v>High</v>
      </c>
      <c r="V964">
        <v>1</v>
      </c>
      <c r="W964" t="s">
        <v>31</v>
      </c>
      <c r="X964" s="2">
        <v>11</v>
      </c>
      <c r="Y964" t="s">
        <v>60</v>
      </c>
      <c r="Z964" t="s">
        <v>61</v>
      </c>
      <c r="AA964">
        <v>1</v>
      </c>
      <c r="AB964">
        <v>33</v>
      </c>
      <c r="AC964">
        <v>2</v>
      </c>
      <c r="AD964">
        <v>3</v>
      </c>
      <c r="AE964">
        <v>33</v>
      </c>
      <c r="AF964">
        <v>9</v>
      </c>
      <c r="AG964">
        <v>0</v>
      </c>
      <c r="AH964">
        <v>10</v>
      </c>
      <c r="AI964" t="str">
        <f t="shared" si="60"/>
        <v>10+ Years</v>
      </c>
      <c r="AJ964" t="str">
        <f t="shared" si="61"/>
        <v>0-2</v>
      </c>
    </row>
    <row r="965" spans="1:36" x14ac:dyDescent="0.35">
      <c r="A965">
        <v>964</v>
      </c>
      <c r="B965">
        <v>38</v>
      </c>
      <c r="C965" t="str">
        <f t="shared" si="62"/>
        <v>36-45</v>
      </c>
      <c r="D965" t="s">
        <v>38</v>
      </c>
      <c r="E965" t="s">
        <v>32</v>
      </c>
      <c r="F965" s="3">
        <v>1389</v>
      </c>
      <c r="G965" t="s">
        <v>33</v>
      </c>
      <c r="H965" s="1">
        <v>2</v>
      </c>
      <c r="I965" t="s">
        <v>58</v>
      </c>
      <c r="J965" t="s">
        <v>34</v>
      </c>
      <c r="K965" t="s">
        <v>61</v>
      </c>
      <c r="L965" t="s">
        <v>35</v>
      </c>
      <c r="M965" s="3">
        <v>31</v>
      </c>
      <c r="N965" t="s">
        <v>60</v>
      </c>
      <c r="O965" t="s">
        <v>61</v>
      </c>
      <c r="P965" t="s">
        <v>36</v>
      </c>
      <c r="Q965" t="s">
        <v>59</v>
      </c>
      <c r="R965" t="s">
        <v>47</v>
      </c>
      <c r="S965" s="3">
        <v>6893</v>
      </c>
      <c r="T965" s="3">
        <v>19461</v>
      </c>
      <c r="U965" s="3" t="str">
        <f t="shared" si="63"/>
        <v>Medium</v>
      </c>
      <c r="V965">
        <v>3</v>
      </c>
      <c r="W965" t="s">
        <v>38</v>
      </c>
      <c r="X965" s="2">
        <v>15</v>
      </c>
      <c r="Y965" t="s">
        <v>60</v>
      </c>
      <c r="Z965" t="s">
        <v>62</v>
      </c>
      <c r="AA965">
        <v>1</v>
      </c>
      <c r="AB965">
        <v>11</v>
      </c>
      <c r="AC965">
        <v>3</v>
      </c>
      <c r="AD965">
        <v>3</v>
      </c>
      <c r="AE965">
        <v>7</v>
      </c>
      <c r="AF965">
        <v>7</v>
      </c>
      <c r="AG965">
        <v>1</v>
      </c>
      <c r="AH965">
        <v>7</v>
      </c>
      <c r="AI965" t="str">
        <f t="shared" si="60"/>
        <v>6-10 Years</v>
      </c>
      <c r="AJ965" t="str">
        <f t="shared" si="61"/>
        <v>0-2</v>
      </c>
    </row>
    <row r="966" spans="1:36" x14ac:dyDescent="0.35">
      <c r="A966">
        <v>965</v>
      </c>
      <c r="B966">
        <v>34</v>
      </c>
      <c r="C966" t="str">
        <f t="shared" si="62"/>
        <v>26-35</v>
      </c>
      <c r="D966" t="s">
        <v>38</v>
      </c>
      <c r="E966" t="s">
        <v>32</v>
      </c>
      <c r="F966" s="3">
        <v>1389</v>
      </c>
      <c r="G966" t="s">
        <v>33</v>
      </c>
      <c r="H966" s="1">
        <v>15</v>
      </c>
      <c r="I966" t="s">
        <v>58</v>
      </c>
      <c r="J966" t="s">
        <v>46</v>
      </c>
      <c r="K966" t="s">
        <v>60</v>
      </c>
      <c r="L966" t="s">
        <v>35</v>
      </c>
      <c r="M966" s="3">
        <v>66</v>
      </c>
      <c r="N966" t="s">
        <v>60</v>
      </c>
      <c r="O966" t="s">
        <v>61</v>
      </c>
      <c r="P966" t="s">
        <v>36</v>
      </c>
      <c r="Q966" t="s">
        <v>59</v>
      </c>
      <c r="R966" t="s">
        <v>37</v>
      </c>
      <c r="S966" s="3">
        <v>6125</v>
      </c>
      <c r="T966" s="3">
        <v>23553</v>
      </c>
      <c r="U966" s="3" t="str">
        <f t="shared" si="63"/>
        <v>Medium</v>
      </c>
      <c r="V966">
        <v>1</v>
      </c>
      <c r="W966" t="s">
        <v>38</v>
      </c>
      <c r="X966" s="2">
        <v>12</v>
      </c>
      <c r="Y966" t="s">
        <v>60</v>
      </c>
      <c r="Z966" t="s">
        <v>62</v>
      </c>
      <c r="AA966">
        <v>0</v>
      </c>
      <c r="AB966">
        <v>10</v>
      </c>
      <c r="AC966">
        <v>6</v>
      </c>
      <c r="AD966">
        <v>4</v>
      </c>
      <c r="AE966">
        <v>10</v>
      </c>
      <c r="AF966">
        <v>8</v>
      </c>
      <c r="AG966">
        <v>9</v>
      </c>
      <c r="AH966">
        <v>6</v>
      </c>
      <c r="AI966" t="str">
        <f t="shared" si="60"/>
        <v>6-10 Years</v>
      </c>
      <c r="AJ966" t="str">
        <f t="shared" si="61"/>
        <v>6+</v>
      </c>
    </row>
    <row r="967" spans="1:36" x14ac:dyDescent="0.35">
      <c r="A967">
        <v>966</v>
      </c>
      <c r="B967">
        <v>25</v>
      </c>
      <c r="C967" t="str">
        <f t="shared" si="62"/>
        <v>18-25</v>
      </c>
      <c r="D967" t="s">
        <v>38</v>
      </c>
      <c r="E967" t="s">
        <v>32</v>
      </c>
      <c r="F967" s="3">
        <v>1389</v>
      </c>
      <c r="G967" t="s">
        <v>40</v>
      </c>
      <c r="H967" s="1">
        <v>19</v>
      </c>
      <c r="I967" t="s">
        <v>59</v>
      </c>
      <c r="J967" t="s">
        <v>46</v>
      </c>
      <c r="K967" t="s">
        <v>62</v>
      </c>
      <c r="L967" t="s">
        <v>41</v>
      </c>
      <c r="M967" s="3">
        <v>67</v>
      </c>
      <c r="N967" t="s">
        <v>60</v>
      </c>
      <c r="O967" t="s">
        <v>59</v>
      </c>
      <c r="P967" t="s">
        <v>45</v>
      </c>
      <c r="Q967" t="s">
        <v>62</v>
      </c>
      <c r="R967" t="s">
        <v>43</v>
      </c>
      <c r="S967" s="3">
        <v>3669</v>
      </c>
      <c r="T967" s="3">
        <v>9075</v>
      </c>
      <c r="U967" s="3" t="str">
        <f t="shared" si="63"/>
        <v>Low</v>
      </c>
      <c r="V967">
        <v>3</v>
      </c>
      <c r="W967" t="s">
        <v>38</v>
      </c>
      <c r="X967" s="2">
        <v>11</v>
      </c>
      <c r="Y967" t="s">
        <v>60</v>
      </c>
      <c r="Z967" t="s">
        <v>60</v>
      </c>
      <c r="AA967">
        <v>3</v>
      </c>
      <c r="AB967">
        <v>7</v>
      </c>
      <c r="AC967">
        <v>6</v>
      </c>
      <c r="AD967">
        <v>2</v>
      </c>
      <c r="AE967">
        <v>3</v>
      </c>
      <c r="AF967">
        <v>2</v>
      </c>
      <c r="AG967">
        <v>1</v>
      </c>
      <c r="AH967">
        <v>2</v>
      </c>
      <c r="AI967" t="str">
        <f t="shared" si="60"/>
        <v>3-5 Years</v>
      </c>
      <c r="AJ967" t="str">
        <f t="shared" si="61"/>
        <v>0-2</v>
      </c>
    </row>
    <row r="968" spans="1:36" x14ac:dyDescent="0.35">
      <c r="A968">
        <v>967</v>
      </c>
      <c r="B968">
        <v>58</v>
      </c>
      <c r="C968" t="str">
        <f t="shared" si="62"/>
        <v>55+</v>
      </c>
      <c r="D968" t="s">
        <v>31</v>
      </c>
      <c r="E968" t="s">
        <v>32</v>
      </c>
      <c r="F968" s="3">
        <v>1389</v>
      </c>
      <c r="G968" t="s">
        <v>40</v>
      </c>
      <c r="H968" s="1">
        <v>7</v>
      </c>
      <c r="I968" t="s">
        <v>60</v>
      </c>
      <c r="J968" t="s">
        <v>46</v>
      </c>
      <c r="K968" t="s">
        <v>60</v>
      </c>
      <c r="L968" t="s">
        <v>35</v>
      </c>
      <c r="M968" s="3">
        <v>53</v>
      </c>
      <c r="N968" t="s">
        <v>61</v>
      </c>
      <c r="O968" t="s">
        <v>60</v>
      </c>
      <c r="P968" t="s">
        <v>48</v>
      </c>
      <c r="Q968" t="s">
        <v>59</v>
      </c>
      <c r="R968" t="s">
        <v>43</v>
      </c>
      <c r="S968" s="3">
        <v>10008</v>
      </c>
      <c r="T968" s="3">
        <v>12023</v>
      </c>
      <c r="U968" s="3" t="str">
        <f t="shared" si="63"/>
        <v>High</v>
      </c>
      <c r="V968">
        <v>7</v>
      </c>
      <c r="W968" t="s">
        <v>31</v>
      </c>
      <c r="X968" s="2">
        <v>14</v>
      </c>
      <c r="Y968" t="s">
        <v>60</v>
      </c>
      <c r="Z968" t="s">
        <v>62</v>
      </c>
      <c r="AA968">
        <v>0</v>
      </c>
      <c r="AB968">
        <v>31</v>
      </c>
      <c r="AC968">
        <v>0</v>
      </c>
      <c r="AD968">
        <v>2</v>
      </c>
      <c r="AE968">
        <v>10</v>
      </c>
      <c r="AF968">
        <v>9</v>
      </c>
      <c r="AG968">
        <v>5</v>
      </c>
      <c r="AH968">
        <v>9</v>
      </c>
      <c r="AI968" t="str">
        <f t="shared" si="60"/>
        <v>6-10 Years</v>
      </c>
      <c r="AJ968" t="str">
        <f t="shared" si="61"/>
        <v>3-5</v>
      </c>
    </row>
    <row r="969" spans="1:36" x14ac:dyDescent="0.35">
      <c r="A969">
        <v>968</v>
      </c>
      <c r="B969">
        <v>40</v>
      </c>
      <c r="C969" t="str">
        <f t="shared" si="62"/>
        <v>36-45</v>
      </c>
      <c r="D969" t="s">
        <v>38</v>
      </c>
      <c r="E969" t="s">
        <v>32</v>
      </c>
      <c r="F969" s="3">
        <v>1389</v>
      </c>
      <c r="G969" t="s">
        <v>40</v>
      </c>
      <c r="H969" s="1">
        <v>1</v>
      </c>
      <c r="I969" t="s">
        <v>60</v>
      </c>
      <c r="J969" t="s">
        <v>34</v>
      </c>
      <c r="K969" t="s">
        <v>61</v>
      </c>
      <c r="L969" t="s">
        <v>41</v>
      </c>
      <c r="M969" s="3">
        <v>88</v>
      </c>
      <c r="N969" t="s">
        <v>60</v>
      </c>
      <c r="O969" t="s">
        <v>59</v>
      </c>
      <c r="P969" t="s">
        <v>45</v>
      </c>
      <c r="Q969" t="s">
        <v>61</v>
      </c>
      <c r="R969" t="s">
        <v>43</v>
      </c>
      <c r="S969" s="3">
        <v>2387</v>
      </c>
      <c r="T969" s="3">
        <v>6762</v>
      </c>
      <c r="U969" s="3" t="str">
        <f t="shared" si="63"/>
        <v>Low</v>
      </c>
      <c r="V969">
        <v>3</v>
      </c>
      <c r="W969" t="s">
        <v>38</v>
      </c>
      <c r="X969" s="2">
        <v>22</v>
      </c>
      <c r="Y969" t="s">
        <v>62</v>
      </c>
      <c r="Z969" t="s">
        <v>60</v>
      </c>
      <c r="AA969">
        <v>1</v>
      </c>
      <c r="AB969">
        <v>7</v>
      </c>
      <c r="AC969">
        <v>3</v>
      </c>
      <c r="AD969">
        <v>3</v>
      </c>
      <c r="AE969">
        <v>4</v>
      </c>
      <c r="AF969">
        <v>2</v>
      </c>
      <c r="AG969">
        <v>0</v>
      </c>
      <c r="AH969">
        <v>3</v>
      </c>
      <c r="AI969" t="str">
        <f t="shared" si="60"/>
        <v>3-5 Years</v>
      </c>
      <c r="AJ969" t="str">
        <f t="shared" si="61"/>
        <v>0-2</v>
      </c>
    </row>
    <row r="970" spans="1:36" x14ac:dyDescent="0.35">
      <c r="A970">
        <v>969</v>
      </c>
      <c r="B970">
        <v>36</v>
      </c>
      <c r="C970" t="str">
        <f t="shared" si="62"/>
        <v>36-45</v>
      </c>
      <c r="D970" t="s">
        <v>38</v>
      </c>
      <c r="E970" t="s">
        <v>39</v>
      </c>
      <c r="F970" s="3">
        <v>1389</v>
      </c>
      <c r="G970" t="s">
        <v>33</v>
      </c>
      <c r="H970" s="1">
        <v>7</v>
      </c>
      <c r="I970" t="s">
        <v>61</v>
      </c>
      <c r="J970" t="s">
        <v>54</v>
      </c>
      <c r="K970" t="s">
        <v>59</v>
      </c>
      <c r="L970" t="s">
        <v>35</v>
      </c>
      <c r="M970" s="3">
        <v>83</v>
      </c>
      <c r="N970" t="s">
        <v>62</v>
      </c>
      <c r="O970" t="s">
        <v>61</v>
      </c>
      <c r="P970" t="s">
        <v>36</v>
      </c>
      <c r="Q970" t="s">
        <v>59</v>
      </c>
      <c r="R970" t="s">
        <v>43</v>
      </c>
      <c r="S970" s="3">
        <v>4639</v>
      </c>
      <c r="T970" s="3">
        <v>2261</v>
      </c>
      <c r="U970" s="3" t="str">
        <f t="shared" si="63"/>
        <v>Low</v>
      </c>
      <c r="V970">
        <v>2</v>
      </c>
      <c r="W970" t="s">
        <v>38</v>
      </c>
      <c r="X970" s="2">
        <v>16</v>
      </c>
      <c r="Y970" t="s">
        <v>60</v>
      </c>
      <c r="Z970" t="s">
        <v>62</v>
      </c>
      <c r="AA970">
        <v>1</v>
      </c>
      <c r="AB970">
        <v>17</v>
      </c>
      <c r="AC970">
        <v>2</v>
      </c>
      <c r="AD970">
        <v>2</v>
      </c>
      <c r="AE970">
        <v>15</v>
      </c>
      <c r="AF970">
        <v>7</v>
      </c>
      <c r="AG970">
        <v>6</v>
      </c>
      <c r="AH970">
        <v>13</v>
      </c>
      <c r="AI970" t="str">
        <f t="shared" si="60"/>
        <v>10+ Years</v>
      </c>
      <c r="AJ970" t="str">
        <f t="shared" si="61"/>
        <v>6+</v>
      </c>
    </row>
    <row r="971" spans="1:36" x14ac:dyDescent="0.35">
      <c r="A971">
        <v>970</v>
      </c>
      <c r="B971">
        <v>48</v>
      </c>
      <c r="C971" t="str">
        <f t="shared" si="62"/>
        <v>46-55</v>
      </c>
      <c r="D971" t="s">
        <v>38</v>
      </c>
      <c r="E971" t="s">
        <v>32</v>
      </c>
      <c r="F971" s="3">
        <v>1389</v>
      </c>
      <c r="G971" t="s">
        <v>40</v>
      </c>
      <c r="H971" s="1">
        <v>4</v>
      </c>
      <c r="I971" t="s">
        <v>61</v>
      </c>
      <c r="J971" t="s">
        <v>34</v>
      </c>
      <c r="K971" t="s">
        <v>62</v>
      </c>
      <c r="L971" t="s">
        <v>41</v>
      </c>
      <c r="M971" s="3">
        <v>54</v>
      </c>
      <c r="N971" t="s">
        <v>60</v>
      </c>
      <c r="O971" t="s">
        <v>60</v>
      </c>
      <c r="P971" t="s">
        <v>48</v>
      </c>
      <c r="Q971" t="s">
        <v>62</v>
      </c>
      <c r="R971" t="s">
        <v>37</v>
      </c>
      <c r="S971" s="3">
        <v>7898</v>
      </c>
      <c r="T971" s="3">
        <v>18706</v>
      </c>
      <c r="U971" s="3" t="str">
        <f t="shared" si="63"/>
        <v>Medium</v>
      </c>
      <c r="V971">
        <v>1</v>
      </c>
      <c r="W971" t="s">
        <v>38</v>
      </c>
      <c r="X971" s="2">
        <v>11</v>
      </c>
      <c r="Y971" t="s">
        <v>60</v>
      </c>
      <c r="Z971" t="s">
        <v>60</v>
      </c>
      <c r="AA971">
        <v>0</v>
      </c>
      <c r="AB971">
        <v>11</v>
      </c>
      <c r="AC971">
        <v>2</v>
      </c>
      <c r="AD971">
        <v>3</v>
      </c>
      <c r="AE971">
        <v>10</v>
      </c>
      <c r="AF971">
        <v>9</v>
      </c>
      <c r="AG971">
        <v>0</v>
      </c>
      <c r="AH971">
        <v>8</v>
      </c>
      <c r="AI971" t="str">
        <f t="shared" si="60"/>
        <v>6-10 Years</v>
      </c>
      <c r="AJ971" t="str">
        <f t="shared" si="61"/>
        <v>0-2</v>
      </c>
    </row>
    <row r="972" spans="1:36" x14ac:dyDescent="0.35">
      <c r="A972">
        <v>971</v>
      </c>
      <c r="B972">
        <v>27</v>
      </c>
      <c r="C972" t="str">
        <f t="shared" si="62"/>
        <v>26-35</v>
      </c>
      <c r="D972" t="s">
        <v>38</v>
      </c>
      <c r="E972" t="s">
        <v>32</v>
      </c>
      <c r="F972" s="3">
        <v>1389</v>
      </c>
      <c r="G972" t="s">
        <v>33</v>
      </c>
      <c r="H972" s="1">
        <v>11</v>
      </c>
      <c r="I972" t="s">
        <v>61</v>
      </c>
      <c r="J972" t="s">
        <v>46</v>
      </c>
      <c r="K972" t="s">
        <v>60</v>
      </c>
      <c r="L972" t="s">
        <v>35</v>
      </c>
      <c r="M972" s="3">
        <v>98</v>
      </c>
      <c r="N972" t="s">
        <v>62</v>
      </c>
      <c r="O972" t="s">
        <v>59</v>
      </c>
      <c r="P972" t="s">
        <v>52</v>
      </c>
      <c r="Q972" t="s">
        <v>62</v>
      </c>
      <c r="R972" t="s">
        <v>43</v>
      </c>
      <c r="S972" s="3">
        <v>2534</v>
      </c>
      <c r="T972" s="3">
        <v>6527</v>
      </c>
      <c r="U972" s="3" t="str">
        <f t="shared" si="63"/>
        <v>Low</v>
      </c>
      <c r="V972">
        <v>8</v>
      </c>
      <c r="W972" t="s">
        <v>38</v>
      </c>
      <c r="X972" s="2">
        <v>14</v>
      </c>
      <c r="Y972" t="s">
        <v>60</v>
      </c>
      <c r="Z972" t="s">
        <v>61</v>
      </c>
      <c r="AA972">
        <v>1</v>
      </c>
      <c r="AB972">
        <v>5</v>
      </c>
      <c r="AC972">
        <v>4</v>
      </c>
      <c r="AD972">
        <v>3</v>
      </c>
      <c r="AE972">
        <v>1</v>
      </c>
      <c r="AF972">
        <v>0</v>
      </c>
      <c r="AG972">
        <v>0</v>
      </c>
      <c r="AH972">
        <v>0</v>
      </c>
      <c r="AI972" t="str">
        <f t="shared" si="60"/>
        <v>0-2 Years</v>
      </c>
      <c r="AJ972" t="str">
        <f t="shared" si="61"/>
        <v>0-2</v>
      </c>
    </row>
    <row r="973" spans="1:36" x14ac:dyDescent="0.35">
      <c r="A973">
        <v>972</v>
      </c>
      <c r="B973">
        <v>51</v>
      </c>
      <c r="C973" t="str">
        <f t="shared" si="62"/>
        <v>46-55</v>
      </c>
      <c r="D973" t="s">
        <v>38</v>
      </c>
      <c r="E973" t="s">
        <v>32</v>
      </c>
      <c r="F973" s="3">
        <v>1389</v>
      </c>
      <c r="G973" t="s">
        <v>40</v>
      </c>
      <c r="H973" s="1">
        <v>11</v>
      </c>
      <c r="I973" t="s">
        <v>58</v>
      </c>
      <c r="J973" t="s">
        <v>55</v>
      </c>
      <c r="K973" t="s">
        <v>62</v>
      </c>
      <c r="L973" t="s">
        <v>35</v>
      </c>
      <c r="M973" s="3">
        <v>82</v>
      </c>
      <c r="N973" t="s">
        <v>61</v>
      </c>
      <c r="O973" t="s">
        <v>62</v>
      </c>
      <c r="P973" t="s">
        <v>48</v>
      </c>
      <c r="Q973" t="s">
        <v>61</v>
      </c>
      <c r="R973" t="s">
        <v>37</v>
      </c>
      <c r="S973" s="3">
        <v>13142</v>
      </c>
      <c r="T973" s="3">
        <v>24439</v>
      </c>
      <c r="U973" s="3" t="str">
        <f t="shared" si="63"/>
        <v>High</v>
      </c>
      <c r="V973">
        <v>3</v>
      </c>
      <c r="W973" t="s">
        <v>38</v>
      </c>
      <c r="X973" s="2">
        <v>16</v>
      </c>
      <c r="Y973" t="s">
        <v>60</v>
      </c>
      <c r="Z973" t="s">
        <v>61</v>
      </c>
      <c r="AA973">
        <v>0</v>
      </c>
      <c r="AB973">
        <v>29</v>
      </c>
      <c r="AC973">
        <v>1</v>
      </c>
      <c r="AD973">
        <v>2</v>
      </c>
      <c r="AE973">
        <v>5</v>
      </c>
      <c r="AF973">
        <v>2</v>
      </c>
      <c r="AG973">
        <v>0</v>
      </c>
      <c r="AH973">
        <v>3</v>
      </c>
      <c r="AI973" t="str">
        <f t="shared" si="60"/>
        <v>3-5 Years</v>
      </c>
      <c r="AJ973" t="str">
        <f t="shared" si="61"/>
        <v>0-2</v>
      </c>
    </row>
    <row r="974" spans="1:36" x14ac:dyDescent="0.35">
      <c r="A974">
        <v>973</v>
      </c>
      <c r="B974">
        <v>18</v>
      </c>
      <c r="C974" t="str">
        <f t="shared" si="62"/>
        <v>18-25</v>
      </c>
      <c r="D974" t="s">
        <v>38</v>
      </c>
      <c r="E974" t="s">
        <v>50</v>
      </c>
      <c r="F974" s="3">
        <v>1389</v>
      </c>
      <c r="G974" t="s">
        <v>40</v>
      </c>
      <c r="H974" s="1">
        <v>1</v>
      </c>
      <c r="I974" t="s">
        <v>61</v>
      </c>
      <c r="J974" t="s">
        <v>34</v>
      </c>
      <c r="K974" t="s">
        <v>62</v>
      </c>
      <c r="L974" t="s">
        <v>35</v>
      </c>
      <c r="M974" s="3">
        <v>97</v>
      </c>
      <c r="N974" t="s">
        <v>60</v>
      </c>
      <c r="O974" t="s">
        <v>59</v>
      </c>
      <c r="P974" t="s">
        <v>45</v>
      </c>
      <c r="Q974" t="s">
        <v>62</v>
      </c>
      <c r="R974" t="s">
        <v>37</v>
      </c>
      <c r="S974" s="3">
        <v>1611</v>
      </c>
      <c r="T974" s="3">
        <v>19305</v>
      </c>
      <c r="U974" s="3" t="str">
        <f t="shared" si="63"/>
        <v>Low</v>
      </c>
      <c r="V974">
        <v>1</v>
      </c>
      <c r="W974" t="s">
        <v>38</v>
      </c>
      <c r="X974" s="2">
        <v>15</v>
      </c>
      <c r="Y974" t="s">
        <v>60</v>
      </c>
      <c r="Z974" t="s">
        <v>60</v>
      </c>
      <c r="AA974">
        <v>0</v>
      </c>
      <c r="AB974">
        <v>0</v>
      </c>
      <c r="AC974">
        <v>5</v>
      </c>
      <c r="AD974">
        <v>4</v>
      </c>
      <c r="AE974">
        <v>0</v>
      </c>
      <c r="AF974">
        <v>0</v>
      </c>
      <c r="AG974">
        <v>0</v>
      </c>
      <c r="AH974">
        <v>0</v>
      </c>
      <c r="AI974" t="str">
        <f t="shared" si="60"/>
        <v>0-2 Years</v>
      </c>
      <c r="AJ974" t="str">
        <f t="shared" si="61"/>
        <v>0-2</v>
      </c>
    </row>
    <row r="975" spans="1:36" x14ac:dyDescent="0.35">
      <c r="A975">
        <v>974</v>
      </c>
      <c r="B975">
        <v>35</v>
      </c>
      <c r="C975" t="str">
        <f t="shared" si="62"/>
        <v>26-35</v>
      </c>
      <c r="D975" t="s">
        <v>38</v>
      </c>
      <c r="E975" t="s">
        <v>32</v>
      </c>
      <c r="F975" s="3">
        <v>1389</v>
      </c>
      <c r="G975" t="s">
        <v>40</v>
      </c>
      <c r="H975" s="1">
        <v>1</v>
      </c>
      <c r="I975" t="s">
        <v>61</v>
      </c>
      <c r="J975" t="s">
        <v>46</v>
      </c>
      <c r="K975" t="s">
        <v>62</v>
      </c>
      <c r="L975" t="s">
        <v>35</v>
      </c>
      <c r="M975" s="3">
        <v>60</v>
      </c>
      <c r="N975" t="s">
        <v>61</v>
      </c>
      <c r="O975" t="s">
        <v>61</v>
      </c>
      <c r="P975" t="s">
        <v>45</v>
      </c>
      <c r="Q975" t="s">
        <v>62</v>
      </c>
      <c r="R975" t="s">
        <v>43</v>
      </c>
      <c r="S975" s="3">
        <v>5363</v>
      </c>
      <c r="T975" s="3">
        <v>10846</v>
      </c>
      <c r="U975" s="3" t="str">
        <f t="shared" si="63"/>
        <v>Medium</v>
      </c>
      <c r="V975">
        <v>0</v>
      </c>
      <c r="W975" t="s">
        <v>38</v>
      </c>
      <c r="X975" s="2">
        <v>12</v>
      </c>
      <c r="Y975" t="s">
        <v>60</v>
      </c>
      <c r="Z975" t="s">
        <v>61</v>
      </c>
      <c r="AA975">
        <v>1</v>
      </c>
      <c r="AB975">
        <v>10</v>
      </c>
      <c r="AC975">
        <v>0</v>
      </c>
      <c r="AD975">
        <v>3</v>
      </c>
      <c r="AE975">
        <v>9</v>
      </c>
      <c r="AF975">
        <v>7</v>
      </c>
      <c r="AG975">
        <v>0</v>
      </c>
      <c r="AH975">
        <v>0</v>
      </c>
      <c r="AI975" t="str">
        <f t="shared" si="60"/>
        <v>6-10 Years</v>
      </c>
      <c r="AJ975" t="str">
        <f t="shared" si="61"/>
        <v>0-2</v>
      </c>
    </row>
    <row r="976" spans="1:36" x14ac:dyDescent="0.35">
      <c r="A976">
        <v>975</v>
      </c>
      <c r="B976">
        <v>27</v>
      </c>
      <c r="C976" t="str">
        <f t="shared" si="62"/>
        <v>26-35</v>
      </c>
      <c r="D976" t="s">
        <v>38</v>
      </c>
      <c r="E976" t="s">
        <v>39</v>
      </c>
      <c r="F976" s="3">
        <v>1389</v>
      </c>
      <c r="G976" t="s">
        <v>33</v>
      </c>
      <c r="H976" s="1">
        <v>2</v>
      </c>
      <c r="I976" t="s">
        <v>59</v>
      </c>
      <c r="J976" t="s">
        <v>34</v>
      </c>
      <c r="K976" t="s">
        <v>62</v>
      </c>
      <c r="L976" t="s">
        <v>41</v>
      </c>
      <c r="M976" s="3">
        <v>43</v>
      </c>
      <c r="N976" t="s">
        <v>59</v>
      </c>
      <c r="O976" t="s">
        <v>61</v>
      </c>
      <c r="P976" t="s">
        <v>36</v>
      </c>
      <c r="Q976" t="s">
        <v>62</v>
      </c>
      <c r="R976" t="s">
        <v>37</v>
      </c>
      <c r="S976" s="3">
        <v>5071</v>
      </c>
      <c r="T976" s="3">
        <v>20392</v>
      </c>
      <c r="U976" s="3" t="str">
        <f t="shared" si="63"/>
        <v>Medium</v>
      </c>
      <c r="V976">
        <v>3</v>
      </c>
      <c r="W976" t="s">
        <v>38</v>
      </c>
      <c r="X976" s="2">
        <v>20</v>
      </c>
      <c r="Y976" t="s">
        <v>62</v>
      </c>
      <c r="Z976" t="s">
        <v>61</v>
      </c>
      <c r="AA976">
        <v>0</v>
      </c>
      <c r="AB976">
        <v>8</v>
      </c>
      <c r="AC976">
        <v>3</v>
      </c>
      <c r="AD976">
        <v>3</v>
      </c>
      <c r="AE976">
        <v>6</v>
      </c>
      <c r="AF976">
        <v>2</v>
      </c>
      <c r="AG976">
        <v>0</v>
      </c>
      <c r="AH976">
        <v>0</v>
      </c>
      <c r="AI976" t="str">
        <f t="shared" si="60"/>
        <v>6-10 Years</v>
      </c>
      <c r="AJ976" t="str">
        <f t="shared" si="61"/>
        <v>0-2</v>
      </c>
    </row>
    <row r="977" spans="1:36" x14ac:dyDescent="0.35">
      <c r="A977">
        <v>976</v>
      </c>
      <c r="B977">
        <v>55</v>
      </c>
      <c r="C977" t="str">
        <f t="shared" si="62"/>
        <v>46-55</v>
      </c>
      <c r="D977" t="s">
        <v>31</v>
      </c>
      <c r="E977" t="s">
        <v>32</v>
      </c>
      <c r="F977" s="3">
        <v>1389</v>
      </c>
      <c r="G977" t="s">
        <v>33</v>
      </c>
      <c r="H977" s="1">
        <v>13</v>
      </c>
      <c r="I977" t="s">
        <v>60</v>
      </c>
      <c r="J977" t="s">
        <v>54</v>
      </c>
      <c r="K977" t="s">
        <v>59</v>
      </c>
      <c r="L977" t="s">
        <v>41</v>
      </c>
      <c r="M977" s="3">
        <v>85</v>
      </c>
      <c r="N977" t="s">
        <v>62</v>
      </c>
      <c r="O977" t="s">
        <v>62</v>
      </c>
      <c r="P977" t="s">
        <v>36</v>
      </c>
      <c r="Q977" t="s">
        <v>60</v>
      </c>
      <c r="R977" t="s">
        <v>37</v>
      </c>
      <c r="S977" s="3">
        <v>13695</v>
      </c>
      <c r="T977" s="3">
        <v>9277</v>
      </c>
      <c r="U977" s="3" t="str">
        <f t="shared" si="63"/>
        <v>High</v>
      </c>
      <c r="V977">
        <v>6</v>
      </c>
      <c r="W977" t="s">
        <v>31</v>
      </c>
      <c r="X977" s="2">
        <v>17</v>
      </c>
      <c r="Y977" t="s">
        <v>60</v>
      </c>
      <c r="Z977" t="s">
        <v>60</v>
      </c>
      <c r="AA977">
        <v>0</v>
      </c>
      <c r="AB977">
        <v>24</v>
      </c>
      <c r="AC977">
        <v>2</v>
      </c>
      <c r="AD977">
        <v>2</v>
      </c>
      <c r="AE977">
        <v>19</v>
      </c>
      <c r="AF977">
        <v>7</v>
      </c>
      <c r="AG977">
        <v>3</v>
      </c>
      <c r="AH977">
        <v>8</v>
      </c>
      <c r="AI977" t="str">
        <f t="shared" si="60"/>
        <v>10+ Years</v>
      </c>
      <c r="AJ977" t="str">
        <f t="shared" si="61"/>
        <v>3-5</v>
      </c>
    </row>
    <row r="978" spans="1:36" x14ac:dyDescent="0.35">
      <c r="A978">
        <v>977</v>
      </c>
      <c r="B978">
        <v>56</v>
      </c>
      <c r="C978" t="str">
        <f t="shared" si="62"/>
        <v>55+</v>
      </c>
      <c r="D978" t="s">
        <v>38</v>
      </c>
      <c r="E978" t="s">
        <v>32</v>
      </c>
      <c r="F978" s="3">
        <v>1389</v>
      </c>
      <c r="G978" t="s">
        <v>40</v>
      </c>
      <c r="H978" s="1">
        <v>23</v>
      </c>
      <c r="I978" t="s">
        <v>61</v>
      </c>
      <c r="J978" t="s">
        <v>34</v>
      </c>
      <c r="K978" t="s">
        <v>62</v>
      </c>
      <c r="L978" t="s">
        <v>41</v>
      </c>
      <c r="M978" s="3">
        <v>68</v>
      </c>
      <c r="N978" t="s">
        <v>60</v>
      </c>
      <c r="O978" t="s">
        <v>62</v>
      </c>
      <c r="P978" t="s">
        <v>48</v>
      </c>
      <c r="Q978" t="s">
        <v>61</v>
      </c>
      <c r="R978" t="s">
        <v>43</v>
      </c>
      <c r="S978" s="3">
        <v>13402</v>
      </c>
      <c r="T978" s="3">
        <v>18235</v>
      </c>
      <c r="U978" s="3" t="str">
        <f t="shared" si="63"/>
        <v>High</v>
      </c>
      <c r="V978">
        <v>4</v>
      </c>
      <c r="W978" t="s">
        <v>31</v>
      </c>
      <c r="X978" s="2">
        <v>12</v>
      </c>
      <c r="Y978" t="s">
        <v>60</v>
      </c>
      <c r="Z978" t="s">
        <v>59</v>
      </c>
      <c r="AA978">
        <v>1</v>
      </c>
      <c r="AB978">
        <v>33</v>
      </c>
      <c r="AC978">
        <v>0</v>
      </c>
      <c r="AD978">
        <v>3</v>
      </c>
      <c r="AE978">
        <v>19</v>
      </c>
      <c r="AF978">
        <v>16</v>
      </c>
      <c r="AG978">
        <v>15</v>
      </c>
      <c r="AH978">
        <v>9</v>
      </c>
      <c r="AI978" t="str">
        <f t="shared" si="60"/>
        <v>10+ Years</v>
      </c>
      <c r="AJ978" t="str">
        <f t="shared" si="61"/>
        <v>6+</v>
      </c>
    </row>
    <row r="979" spans="1:36" x14ac:dyDescent="0.35">
      <c r="A979">
        <v>978</v>
      </c>
      <c r="B979">
        <v>34</v>
      </c>
      <c r="C979" t="str">
        <f t="shared" si="62"/>
        <v>26-35</v>
      </c>
      <c r="D979" t="s">
        <v>38</v>
      </c>
      <c r="E979" t="s">
        <v>50</v>
      </c>
      <c r="F979" s="3">
        <v>1389</v>
      </c>
      <c r="G979" t="s">
        <v>40</v>
      </c>
      <c r="H979" s="1">
        <v>26</v>
      </c>
      <c r="I979" t="s">
        <v>59</v>
      </c>
      <c r="J979" t="s">
        <v>55</v>
      </c>
      <c r="K979" t="s">
        <v>59</v>
      </c>
      <c r="L979" t="s">
        <v>35</v>
      </c>
      <c r="M979" s="3">
        <v>92</v>
      </c>
      <c r="N979" t="s">
        <v>61</v>
      </c>
      <c r="O979" t="s">
        <v>59</v>
      </c>
      <c r="P979" t="s">
        <v>42</v>
      </c>
      <c r="Q979" t="s">
        <v>60</v>
      </c>
      <c r="R979" t="s">
        <v>47</v>
      </c>
      <c r="S979" s="3">
        <v>2029</v>
      </c>
      <c r="T979" s="3">
        <v>15891</v>
      </c>
      <c r="U979" s="3" t="str">
        <f t="shared" si="63"/>
        <v>Low</v>
      </c>
      <c r="V979">
        <v>1</v>
      </c>
      <c r="W979" t="s">
        <v>38</v>
      </c>
      <c r="X979" s="2">
        <v>20</v>
      </c>
      <c r="Y979" t="s">
        <v>62</v>
      </c>
      <c r="Z979" t="s">
        <v>60</v>
      </c>
      <c r="AA979">
        <v>3</v>
      </c>
      <c r="AB979">
        <v>5</v>
      </c>
      <c r="AC979">
        <v>2</v>
      </c>
      <c r="AD979">
        <v>3</v>
      </c>
      <c r="AE979">
        <v>5</v>
      </c>
      <c r="AF979">
        <v>4</v>
      </c>
      <c r="AG979">
        <v>0</v>
      </c>
      <c r="AH979">
        <v>0</v>
      </c>
      <c r="AI979" t="str">
        <f t="shared" si="60"/>
        <v>3-5 Years</v>
      </c>
      <c r="AJ979" t="str">
        <f t="shared" si="61"/>
        <v>0-2</v>
      </c>
    </row>
    <row r="980" spans="1:36" x14ac:dyDescent="0.35">
      <c r="A980">
        <v>979</v>
      </c>
      <c r="B980">
        <v>40</v>
      </c>
      <c r="C980" t="str">
        <f t="shared" si="62"/>
        <v>36-45</v>
      </c>
      <c r="D980" t="s">
        <v>38</v>
      </c>
      <c r="E980" t="s">
        <v>32</v>
      </c>
      <c r="F980" s="3">
        <v>1389</v>
      </c>
      <c r="G980" t="s">
        <v>40</v>
      </c>
      <c r="H980" s="1">
        <v>2</v>
      </c>
      <c r="I980" t="s">
        <v>59</v>
      </c>
      <c r="J980" t="s">
        <v>46</v>
      </c>
      <c r="K980" t="s">
        <v>61</v>
      </c>
      <c r="L980" t="s">
        <v>35</v>
      </c>
      <c r="M980" s="3">
        <v>89</v>
      </c>
      <c r="N980" t="s">
        <v>62</v>
      </c>
      <c r="O980" t="s">
        <v>61</v>
      </c>
      <c r="P980" t="s">
        <v>49</v>
      </c>
      <c r="Q980" t="s">
        <v>60</v>
      </c>
      <c r="R980" t="s">
        <v>47</v>
      </c>
      <c r="S980" s="3">
        <v>6377</v>
      </c>
      <c r="T980" s="3">
        <v>13888</v>
      </c>
      <c r="U980" s="3" t="str">
        <f t="shared" si="63"/>
        <v>Medium</v>
      </c>
      <c r="V980">
        <v>5</v>
      </c>
      <c r="W980" t="s">
        <v>38</v>
      </c>
      <c r="X980" s="2">
        <v>20</v>
      </c>
      <c r="Y980" t="s">
        <v>62</v>
      </c>
      <c r="Z980" t="s">
        <v>61</v>
      </c>
      <c r="AA980">
        <v>3</v>
      </c>
      <c r="AB980">
        <v>15</v>
      </c>
      <c r="AC980">
        <v>0</v>
      </c>
      <c r="AD980">
        <v>3</v>
      </c>
      <c r="AE980">
        <v>12</v>
      </c>
      <c r="AF980">
        <v>11</v>
      </c>
      <c r="AG980">
        <v>11</v>
      </c>
      <c r="AH980">
        <v>8</v>
      </c>
      <c r="AI980" t="str">
        <f t="shared" si="60"/>
        <v>10+ Years</v>
      </c>
      <c r="AJ980" t="str">
        <f t="shared" si="61"/>
        <v>6+</v>
      </c>
    </row>
    <row r="981" spans="1:36" x14ac:dyDescent="0.35">
      <c r="A981">
        <v>980</v>
      </c>
      <c r="B981">
        <v>34</v>
      </c>
      <c r="C981" t="str">
        <f t="shared" si="62"/>
        <v>26-35</v>
      </c>
      <c r="D981" t="s">
        <v>38</v>
      </c>
      <c r="E981" t="s">
        <v>32</v>
      </c>
      <c r="F981" s="3">
        <v>1389</v>
      </c>
      <c r="G981" t="s">
        <v>40</v>
      </c>
      <c r="H981" s="1">
        <v>29</v>
      </c>
      <c r="I981" t="s">
        <v>61</v>
      </c>
      <c r="J981" t="s">
        <v>46</v>
      </c>
      <c r="K981" t="s">
        <v>61</v>
      </c>
      <c r="L981" t="s">
        <v>41</v>
      </c>
      <c r="M981" s="3">
        <v>86</v>
      </c>
      <c r="N981" t="s">
        <v>60</v>
      </c>
      <c r="O981" t="s">
        <v>61</v>
      </c>
      <c r="P981" t="s">
        <v>45</v>
      </c>
      <c r="Q981" t="s">
        <v>60</v>
      </c>
      <c r="R981" t="s">
        <v>43</v>
      </c>
      <c r="S981" s="3">
        <v>5429</v>
      </c>
      <c r="T981" s="3">
        <v>17491</v>
      </c>
      <c r="U981" s="3" t="str">
        <f t="shared" si="63"/>
        <v>Medium</v>
      </c>
      <c r="V981">
        <v>4</v>
      </c>
      <c r="W981" t="s">
        <v>38</v>
      </c>
      <c r="X981" s="2">
        <v>13</v>
      </c>
      <c r="Y981" t="s">
        <v>60</v>
      </c>
      <c r="Z981" t="s">
        <v>59</v>
      </c>
      <c r="AA981">
        <v>2</v>
      </c>
      <c r="AB981">
        <v>10</v>
      </c>
      <c r="AC981">
        <v>1</v>
      </c>
      <c r="AD981">
        <v>3</v>
      </c>
      <c r="AE981">
        <v>8</v>
      </c>
      <c r="AF981">
        <v>7</v>
      </c>
      <c r="AG981">
        <v>7</v>
      </c>
      <c r="AH981">
        <v>7</v>
      </c>
      <c r="AI981" t="str">
        <f t="shared" si="60"/>
        <v>6-10 Years</v>
      </c>
      <c r="AJ981" t="str">
        <f t="shared" si="61"/>
        <v>6+</v>
      </c>
    </row>
    <row r="982" spans="1:36" x14ac:dyDescent="0.35">
      <c r="A982">
        <v>981</v>
      </c>
      <c r="B982">
        <v>31</v>
      </c>
      <c r="C982" t="str">
        <f t="shared" si="62"/>
        <v>26-35</v>
      </c>
      <c r="D982" t="s">
        <v>31</v>
      </c>
      <c r="E982" t="s">
        <v>39</v>
      </c>
      <c r="F982" s="3">
        <v>1389</v>
      </c>
      <c r="G982" t="s">
        <v>33</v>
      </c>
      <c r="H982" s="1">
        <v>2</v>
      </c>
      <c r="I982" t="s">
        <v>61</v>
      </c>
      <c r="J982" t="s">
        <v>34</v>
      </c>
      <c r="K982" t="s">
        <v>60</v>
      </c>
      <c r="L982" t="s">
        <v>35</v>
      </c>
      <c r="M982" s="3">
        <v>90</v>
      </c>
      <c r="N982" t="s">
        <v>61</v>
      </c>
      <c r="O982" t="s">
        <v>59</v>
      </c>
      <c r="P982" t="s">
        <v>52</v>
      </c>
      <c r="Q982" t="s">
        <v>62</v>
      </c>
      <c r="R982" t="s">
        <v>37</v>
      </c>
      <c r="S982" s="3">
        <v>2785</v>
      </c>
      <c r="T982" s="3">
        <v>11882</v>
      </c>
      <c r="U982" s="3" t="str">
        <f t="shared" si="63"/>
        <v>Low</v>
      </c>
      <c r="V982">
        <v>7</v>
      </c>
      <c r="W982" t="s">
        <v>38</v>
      </c>
      <c r="X982" s="2">
        <v>14</v>
      </c>
      <c r="Y982" t="s">
        <v>60</v>
      </c>
      <c r="Z982" t="s">
        <v>60</v>
      </c>
      <c r="AA982">
        <v>0</v>
      </c>
      <c r="AB982">
        <v>3</v>
      </c>
      <c r="AC982">
        <v>3</v>
      </c>
      <c r="AD982">
        <v>4</v>
      </c>
      <c r="AE982">
        <v>1</v>
      </c>
      <c r="AF982">
        <v>0</v>
      </c>
      <c r="AG982">
        <v>0</v>
      </c>
      <c r="AH982">
        <v>0</v>
      </c>
      <c r="AI982" t="str">
        <f t="shared" si="60"/>
        <v>0-2 Years</v>
      </c>
      <c r="AJ982" t="str">
        <f t="shared" si="61"/>
        <v>0-2</v>
      </c>
    </row>
    <row r="983" spans="1:36" x14ac:dyDescent="0.35">
      <c r="A983">
        <v>982</v>
      </c>
      <c r="B983">
        <v>35</v>
      </c>
      <c r="C983" t="str">
        <f t="shared" si="62"/>
        <v>26-35</v>
      </c>
      <c r="D983" t="s">
        <v>31</v>
      </c>
      <c r="E983" t="s">
        <v>39</v>
      </c>
      <c r="F983" s="3">
        <v>1389</v>
      </c>
      <c r="G983" t="s">
        <v>33</v>
      </c>
      <c r="H983" s="1">
        <v>18</v>
      </c>
      <c r="I983" t="s">
        <v>60</v>
      </c>
      <c r="J983" t="s">
        <v>54</v>
      </c>
      <c r="K983" t="s">
        <v>62</v>
      </c>
      <c r="L983" t="s">
        <v>35</v>
      </c>
      <c r="M983" s="3">
        <v>67</v>
      </c>
      <c r="N983" t="s">
        <v>60</v>
      </c>
      <c r="O983" t="s">
        <v>61</v>
      </c>
      <c r="P983" t="s">
        <v>36</v>
      </c>
      <c r="Q983" t="s">
        <v>60</v>
      </c>
      <c r="R983" t="s">
        <v>43</v>
      </c>
      <c r="S983" s="3">
        <v>4614</v>
      </c>
      <c r="T983" s="3">
        <v>23288</v>
      </c>
      <c r="U983" s="3" t="str">
        <f t="shared" si="63"/>
        <v>Low</v>
      </c>
      <c r="V983">
        <v>0</v>
      </c>
      <c r="W983" t="s">
        <v>31</v>
      </c>
      <c r="X983" s="2">
        <v>18</v>
      </c>
      <c r="Y983" t="s">
        <v>60</v>
      </c>
      <c r="Z983" t="s">
        <v>60</v>
      </c>
      <c r="AA983">
        <v>1</v>
      </c>
      <c r="AB983">
        <v>5</v>
      </c>
      <c r="AC983">
        <v>0</v>
      </c>
      <c r="AD983">
        <v>2</v>
      </c>
      <c r="AE983">
        <v>4</v>
      </c>
      <c r="AF983">
        <v>2</v>
      </c>
      <c r="AG983">
        <v>3</v>
      </c>
      <c r="AH983">
        <v>2</v>
      </c>
      <c r="AI983" t="str">
        <f t="shared" si="60"/>
        <v>3-5 Years</v>
      </c>
      <c r="AJ983" t="str">
        <f t="shared" si="61"/>
        <v>3-5</v>
      </c>
    </row>
    <row r="984" spans="1:36" x14ac:dyDescent="0.35">
      <c r="A984">
        <v>983</v>
      </c>
      <c r="B984">
        <v>38</v>
      </c>
      <c r="C984" t="str">
        <f t="shared" si="62"/>
        <v>36-45</v>
      </c>
      <c r="D984" t="s">
        <v>38</v>
      </c>
      <c r="E984" t="s">
        <v>39</v>
      </c>
      <c r="F984" s="3">
        <v>1389</v>
      </c>
      <c r="G984" t="s">
        <v>40</v>
      </c>
      <c r="H984" s="1">
        <v>7</v>
      </c>
      <c r="I984" t="s">
        <v>61</v>
      </c>
      <c r="J984" t="s">
        <v>34</v>
      </c>
      <c r="K984" t="s">
        <v>62</v>
      </c>
      <c r="L984" t="s">
        <v>41</v>
      </c>
      <c r="M984" s="3">
        <v>57</v>
      </c>
      <c r="N984" t="s">
        <v>62</v>
      </c>
      <c r="O984" t="s">
        <v>59</v>
      </c>
      <c r="P984" t="s">
        <v>42</v>
      </c>
      <c r="Q984" t="s">
        <v>60</v>
      </c>
      <c r="R984" t="s">
        <v>47</v>
      </c>
      <c r="S984" s="3">
        <v>2610</v>
      </c>
      <c r="T984" s="3">
        <v>15748</v>
      </c>
      <c r="U984" s="3" t="str">
        <f t="shared" si="63"/>
        <v>Low</v>
      </c>
      <c r="V984">
        <v>1</v>
      </c>
      <c r="W984" t="s">
        <v>38</v>
      </c>
      <c r="X984" s="2">
        <v>11</v>
      </c>
      <c r="Y984" t="s">
        <v>60</v>
      </c>
      <c r="Z984" t="s">
        <v>62</v>
      </c>
      <c r="AA984">
        <v>3</v>
      </c>
      <c r="AB984">
        <v>4</v>
      </c>
      <c r="AC984">
        <v>2</v>
      </c>
      <c r="AD984">
        <v>3</v>
      </c>
      <c r="AE984">
        <v>4</v>
      </c>
      <c r="AF984">
        <v>2</v>
      </c>
      <c r="AG984">
        <v>0</v>
      </c>
      <c r="AH984">
        <v>3</v>
      </c>
      <c r="AI984" t="str">
        <f t="shared" si="60"/>
        <v>3-5 Years</v>
      </c>
      <c r="AJ984" t="str">
        <f t="shared" si="61"/>
        <v>0-2</v>
      </c>
    </row>
    <row r="985" spans="1:36" x14ac:dyDescent="0.35">
      <c r="A985">
        <v>984</v>
      </c>
      <c r="B985">
        <v>34</v>
      </c>
      <c r="C985" t="str">
        <f t="shared" si="62"/>
        <v>26-35</v>
      </c>
      <c r="D985" t="s">
        <v>38</v>
      </c>
      <c r="E985" t="s">
        <v>32</v>
      </c>
      <c r="F985" s="3">
        <v>1389</v>
      </c>
      <c r="G985" t="s">
        <v>40</v>
      </c>
      <c r="H985" s="1">
        <v>2</v>
      </c>
      <c r="I985" t="s">
        <v>60</v>
      </c>
      <c r="J985" t="s">
        <v>55</v>
      </c>
      <c r="K985" t="s">
        <v>60</v>
      </c>
      <c r="L985" t="s">
        <v>35</v>
      </c>
      <c r="M985" s="3">
        <v>98</v>
      </c>
      <c r="N985" t="s">
        <v>60</v>
      </c>
      <c r="O985" t="s">
        <v>61</v>
      </c>
      <c r="P985" t="s">
        <v>49</v>
      </c>
      <c r="Q985" t="s">
        <v>62</v>
      </c>
      <c r="R985" t="s">
        <v>37</v>
      </c>
      <c r="S985" s="3">
        <v>6687</v>
      </c>
      <c r="T985" s="3">
        <v>6163</v>
      </c>
      <c r="U985" s="3" t="str">
        <f t="shared" si="63"/>
        <v>Medium</v>
      </c>
      <c r="V985">
        <v>1</v>
      </c>
      <c r="W985" t="s">
        <v>38</v>
      </c>
      <c r="X985" s="2">
        <v>11</v>
      </c>
      <c r="Y985" t="s">
        <v>60</v>
      </c>
      <c r="Z985" t="s">
        <v>62</v>
      </c>
      <c r="AA985">
        <v>0</v>
      </c>
      <c r="AB985">
        <v>14</v>
      </c>
      <c r="AC985">
        <v>2</v>
      </c>
      <c r="AD985">
        <v>4</v>
      </c>
      <c r="AE985">
        <v>14</v>
      </c>
      <c r="AF985">
        <v>11</v>
      </c>
      <c r="AG985">
        <v>4</v>
      </c>
      <c r="AH985">
        <v>11</v>
      </c>
      <c r="AI985" t="str">
        <f t="shared" si="60"/>
        <v>10+ Years</v>
      </c>
      <c r="AJ985" t="str">
        <f t="shared" si="61"/>
        <v>3-5</v>
      </c>
    </row>
    <row r="986" spans="1:36" x14ac:dyDescent="0.35">
      <c r="A986">
        <v>985</v>
      </c>
      <c r="B986">
        <v>28</v>
      </c>
      <c r="C986" t="str">
        <f t="shared" si="62"/>
        <v>26-35</v>
      </c>
      <c r="D986" t="s">
        <v>38</v>
      </c>
      <c r="E986" t="s">
        <v>32</v>
      </c>
      <c r="F986" s="3">
        <v>1389</v>
      </c>
      <c r="G986" t="s">
        <v>33</v>
      </c>
      <c r="H986" s="1">
        <v>26</v>
      </c>
      <c r="I986" t="s">
        <v>61</v>
      </c>
      <c r="J986" t="s">
        <v>34</v>
      </c>
      <c r="K986" t="s">
        <v>60</v>
      </c>
      <c r="L986" t="s">
        <v>41</v>
      </c>
      <c r="M986" s="3">
        <v>48</v>
      </c>
      <c r="N986" t="s">
        <v>61</v>
      </c>
      <c r="O986" t="s">
        <v>61</v>
      </c>
      <c r="P986" t="s">
        <v>36</v>
      </c>
      <c r="Q986" t="s">
        <v>59</v>
      </c>
      <c r="R986" t="s">
        <v>43</v>
      </c>
      <c r="S986" s="3">
        <v>4724</v>
      </c>
      <c r="T986" s="3">
        <v>24232</v>
      </c>
      <c r="U986" s="3" t="str">
        <f t="shared" si="63"/>
        <v>Low</v>
      </c>
      <c r="V986">
        <v>1</v>
      </c>
      <c r="W986" t="s">
        <v>38</v>
      </c>
      <c r="X986" s="2">
        <v>11</v>
      </c>
      <c r="Y986" t="s">
        <v>60</v>
      </c>
      <c r="Z986" t="s">
        <v>60</v>
      </c>
      <c r="AA986">
        <v>1</v>
      </c>
      <c r="AB986">
        <v>5</v>
      </c>
      <c r="AC986">
        <v>0</v>
      </c>
      <c r="AD986">
        <v>3</v>
      </c>
      <c r="AE986">
        <v>5</v>
      </c>
      <c r="AF986">
        <v>3</v>
      </c>
      <c r="AG986">
        <v>0</v>
      </c>
      <c r="AH986">
        <v>4</v>
      </c>
      <c r="AI986" t="str">
        <f t="shared" si="60"/>
        <v>3-5 Years</v>
      </c>
      <c r="AJ986" t="str">
        <f t="shared" si="61"/>
        <v>0-2</v>
      </c>
    </row>
    <row r="987" spans="1:36" x14ac:dyDescent="0.35">
      <c r="A987">
        <v>986</v>
      </c>
      <c r="B987">
        <v>31</v>
      </c>
      <c r="C987" t="str">
        <f t="shared" si="62"/>
        <v>26-35</v>
      </c>
      <c r="D987" t="s">
        <v>31</v>
      </c>
      <c r="E987" t="s">
        <v>32</v>
      </c>
      <c r="F987" s="3">
        <v>1389</v>
      </c>
      <c r="G987" t="s">
        <v>40</v>
      </c>
      <c r="H987" s="1">
        <v>22</v>
      </c>
      <c r="I987" t="s">
        <v>60</v>
      </c>
      <c r="J987" t="s">
        <v>46</v>
      </c>
      <c r="K987" t="s">
        <v>62</v>
      </c>
      <c r="L987" t="s">
        <v>41</v>
      </c>
      <c r="M987" s="3">
        <v>98</v>
      </c>
      <c r="N987" t="s">
        <v>60</v>
      </c>
      <c r="O987" t="s">
        <v>61</v>
      </c>
      <c r="P987" t="s">
        <v>48</v>
      </c>
      <c r="Q987" t="s">
        <v>60</v>
      </c>
      <c r="R987" t="s">
        <v>43</v>
      </c>
      <c r="S987" s="3">
        <v>6179</v>
      </c>
      <c r="T987" s="3">
        <v>21057</v>
      </c>
      <c r="U987" s="3" t="str">
        <f t="shared" si="63"/>
        <v>Medium</v>
      </c>
      <c r="V987">
        <v>1</v>
      </c>
      <c r="W987" t="s">
        <v>31</v>
      </c>
      <c r="X987" s="2">
        <v>15</v>
      </c>
      <c r="Y987" t="s">
        <v>60</v>
      </c>
      <c r="Z987" t="s">
        <v>62</v>
      </c>
      <c r="AA987">
        <v>2</v>
      </c>
      <c r="AB987">
        <v>10</v>
      </c>
      <c r="AC987">
        <v>3</v>
      </c>
      <c r="AD987">
        <v>2</v>
      </c>
      <c r="AE987">
        <v>10</v>
      </c>
      <c r="AF987">
        <v>2</v>
      </c>
      <c r="AG987">
        <v>6</v>
      </c>
      <c r="AH987">
        <v>7</v>
      </c>
      <c r="AI987" t="str">
        <f t="shared" si="60"/>
        <v>6-10 Years</v>
      </c>
      <c r="AJ987" t="str">
        <f t="shared" si="61"/>
        <v>6+</v>
      </c>
    </row>
    <row r="988" spans="1:36" x14ac:dyDescent="0.35">
      <c r="A988">
        <v>987</v>
      </c>
      <c r="B988">
        <v>39</v>
      </c>
      <c r="C988" t="str">
        <f t="shared" si="62"/>
        <v>36-45</v>
      </c>
      <c r="D988" t="s">
        <v>38</v>
      </c>
      <c r="E988" t="s">
        <v>32</v>
      </c>
      <c r="F988" s="3">
        <v>1389</v>
      </c>
      <c r="G988" t="s">
        <v>33</v>
      </c>
      <c r="H988" s="1">
        <v>21</v>
      </c>
      <c r="I988" t="s">
        <v>60</v>
      </c>
      <c r="J988" t="s">
        <v>34</v>
      </c>
      <c r="K988" t="s">
        <v>59</v>
      </c>
      <c r="L988" t="s">
        <v>41</v>
      </c>
      <c r="M988" s="3">
        <v>44</v>
      </c>
      <c r="N988" t="s">
        <v>61</v>
      </c>
      <c r="O988" t="s">
        <v>61</v>
      </c>
      <c r="P988" t="s">
        <v>36</v>
      </c>
      <c r="Q988" t="s">
        <v>62</v>
      </c>
      <c r="R988" t="s">
        <v>43</v>
      </c>
      <c r="S988" s="3">
        <v>6120</v>
      </c>
      <c r="T988" s="3">
        <v>3567</v>
      </c>
      <c r="U988" s="3" t="str">
        <f t="shared" si="63"/>
        <v>Medium</v>
      </c>
      <c r="V988">
        <v>3</v>
      </c>
      <c r="W988" t="s">
        <v>31</v>
      </c>
      <c r="X988" s="2">
        <v>12</v>
      </c>
      <c r="Y988" t="s">
        <v>60</v>
      </c>
      <c r="Z988" t="s">
        <v>62</v>
      </c>
      <c r="AA988">
        <v>2</v>
      </c>
      <c r="AB988">
        <v>8</v>
      </c>
      <c r="AC988">
        <v>2</v>
      </c>
      <c r="AD988">
        <v>4</v>
      </c>
      <c r="AE988">
        <v>5</v>
      </c>
      <c r="AF988">
        <v>4</v>
      </c>
      <c r="AG988">
        <v>1</v>
      </c>
      <c r="AH988">
        <v>4</v>
      </c>
      <c r="AI988" t="str">
        <f t="shared" si="60"/>
        <v>3-5 Years</v>
      </c>
      <c r="AJ988" t="str">
        <f t="shared" si="61"/>
        <v>0-2</v>
      </c>
    </row>
    <row r="989" spans="1:36" x14ac:dyDescent="0.35">
      <c r="A989">
        <v>988</v>
      </c>
      <c r="B989">
        <v>51</v>
      </c>
      <c r="C989" t="str">
        <f t="shared" si="62"/>
        <v>46-55</v>
      </c>
      <c r="D989" t="s">
        <v>38</v>
      </c>
      <c r="E989" t="s">
        <v>39</v>
      </c>
      <c r="F989" s="3">
        <v>1389</v>
      </c>
      <c r="G989" t="s">
        <v>33</v>
      </c>
      <c r="H989" s="1">
        <v>2</v>
      </c>
      <c r="I989" t="s">
        <v>61</v>
      </c>
      <c r="J989" t="s">
        <v>54</v>
      </c>
      <c r="K989" t="s">
        <v>61</v>
      </c>
      <c r="L989" t="s">
        <v>41</v>
      </c>
      <c r="M989" s="3">
        <v>52</v>
      </c>
      <c r="N989" t="s">
        <v>60</v>
      </c>
      <c r="O989" t="s">
        <v>60</v>
      </c>
      <c r="P989" t="s">
        <v>36</v>
      </c>
      <c r="Q989" t="s">
        <v>61</v>
      </c>
      <c r="R989" t="s">
        <v>43</v>
      </c>
      <c r="S989" s="3">
        <v>10596</v>
      </c>
      <c r="T989" s="3">
        <v>15395</v>
      </c>
      <c r="U989" s="3" t="str">
        <f t="shared" si="63"/>
        <v>High</v>
      </c>
      <c r="V989">
        <v>2</v>
      </c>
      <c r="W989" t="s">
        <v>38</v>
      </c>
      <c r="X989" s="2">
        <v>11</v>
      </c>
      <c r="Y989" t="s">
        <v>60</v>
      </c>
      <c r="Z989" t="s">
        <v>61</v>
      </c>
      <c r="AA989">
        <v>0</v>
      </c>
      <c r="AB989">
        <v>14</v>
      </c>
      <c r="AC989">
        <v>5</v>
      </c>
      <c r="AD989">
        <v>3</v>
      </c>
      <c r="AE989">
        <v>4</v>
      </c>
      <c r="AF989">
        <v>2</v>
      </c>
      <c r="AG989">
        <v>3</v>
      </c>
      <c r="AH989">
        <v>2</v>
      </c>
      <c r="AI989" t="str">
        <f t="shared" si="60"/>
        <v>3-5 Years</v>
      </c>
      <c r="AJ989" t="str">
        <f t="shared" si="61"/>
        <v>3-5</v>
      </c>
    </row>
    <row r="990" spans="1:36" x14ac:dyDescent="0.35">
      <c r="A990">
        <v>989</v>
      </c>
      <c r="B990">
        <v>41</v>
      </c>
      <c r="C990" t="str">
        <f t="shared" si="62"/>
        <v>36-45</v>
      </c>
      <c r="D990" t="s">
        <v>38</v>
      </c>
      <c r="E990" t="s">
        <v>39</v>
      </c>
      <c r="F990" s="3">
        <v>1389</v>
      </c>
      <c r="G990" t="s">
        <v>40</v>
      </c>
      <c r="H990" s="1">
        <v>22</v>
      </c>
      <c r="I990" t="s">
        <v>61</v>
      </c>
      <c r="J990" t="s">
        <v>34</v>
      </c>
      <c r="K990" t="s">
        <v>62</v>
      </c>
      <c r="L990" t="s">
        <v>35</v>
      </c>
      <c r="M990" s="3">
        <v>75</v>
      </c>
      <c r="N990" t="s">
        <v>60</v>
      </c>
      <c r="O990" t="s">
        <v>61</v>
      </c>
      <c r="P990" t="s">
        <v>42</v>
      </c>
      <c r="Q990" t="s">
        <v>62</v>
      </c>
      <c r="R990" t="s">
        <v>47</v>
      </c>
      <c r="S990" s="3">
        <v>5467</v>
      </c>
      <c r="T990" s="3">
        <v>13953</v>
      </c>
      <c r="U990" s="3" t="str">
        <f t="shared" si="63"/>
        <v>Medium</v>
      </c>
      <c r="V990">
        <v>3</v>
      </c>
      <c r="W990" t="s">
        <v>31</v>
      </c>
      <c r="X990" s="2">
        <v>14</v>
      </c>
      <c r="Y990" t="s">
        <v>60</v>
      </c>
      <c r="Z990" t="s">
        <v>59</v>
      </c>
      <c r="AA990">
        <v>2</v>
      </c>
      <c r="AB990">
        <v>12</v>
      </c>
      <c r="AC990">
        <v>4</v>
      </c>
      <c r="AD990">
        <v>2</v>
      </c>
      <c r="AE990">
        <v>6</v>
      </c>
      <c r="AF990">
        <v>2</v>
      </c>
      <c r="AG990">
        <v>3</v>
      </c>
      <c r="AH990">
        <v>3</v>
      </c>
      <c r="AI990" t="str">
        <f t="shared" si="60"/>
        <v>6-10 Years</v>
      </c>
      <c r="AJ990" t="str">
        <f t="shared" si="61"/>
        <v>3-5</v>
      </c>
    </row>
    <row r="991" spans="1:36" x14ac:dyDescent="0.35">
      <c r="A991">
        <v>990</v>
      </c>
      <c r="B991">
        <v>37</v>
      </c>
      <c r="C991" t="str">
        <f t="shared" si="62"/>
        <v>36-45</v>
      </c>
      <c r="D991" t="s">
        <v>38</v>
      </c>
      <c r="E991" t="s">
        <v>32</v>
      </c>
      <c r="F991" s="3">
        <v>1389</v>
      </c>
      <c r="G991" t="s">
        <v>40</v>
      </c>
      <c r="H991" s="1">
        <v>4</v>
      </c>
      <c r="I991" t="s">
        <v>59</v>
      </c>
      <c r="J991" t="s">
        <v>34</v>
      </c>
      <c r="K991" t="s">
        <v>60</v>
      </c>
      <c r="L991" t="s">
        <v>41</v>
      </c>
      <c r="M991" s="3">
        <v>54</v>
      </c>
      <c r="N991" t="s">
        <v>60</v>
      </c>
      <c r="O991" t="s">
        <v>59</v>
      </c>
      <c r="P991" t="s">
        <v>42</v>
      </c>
      <c r="Q991" t="s">
        <v>60</v>
      </c>
      <c r="R991" t="s">
        <v>43</v>
      </c>
      <c r="S991" s="3">
        <v>2996</v>
      </c>
      <c r="T991" s="3">
        <v>5182</v>
      </c>
      <c r="U991" s="3" t="str">
        <f t="shared" si="63"/>
        <v>Low</v>
      </c>
      <c r="V991">
        <v>7</v>
      </c>
      <c r="W991" t="s">
        <v>31</v>
      </c>
      <c r="X991" s="2">
        <v>15</v>
      </c>
      <c r="Y991" t="s">
        <v>60</v>
      </c>
      <c r="Z991" t="s">
        <v>62</v>
      </c>
      <c r="AA991">
        <v>0</v>
      </c>
      <c r="AB991">
        <v>8</v>
      </c>
      <c r="AC991">
        <v>2</v>
      </c>
      <c r="AD991">
        <v>3</v>
      </c>
      <c r="AE991">
        <v>6</v>
      </c>
      <c r="AF991">
        <v>4</v>
      </c>
      <c r="AG991">
        <v>1</v>
      </c>
      <c r="AH991">
        <v>3</v>
      </c>
      <c r="AI991" t="str">
        <f t="shared" si="60"/>
        <v>6-10 Years</v>
      </c>
      <c r="AJ991" t="str">
        <f t="shared" si="61"/>
        <v>0-2</v>
      </c>
    </row>
    <row r="992" spans="1:36" x14ac:dyDescent="0.35">
      <c r="A992">
        <v>991</v>
      </c>
      <c r="B992">
        <v>33</v>
      </c>
      <c r="C992" t="str">
        <f t="shared" si="62"/>
        <v>26-35</v>
      </c>
      <c r="D992" t="s">
        <v>38</v>
      </c>
      <c r="E992" t="s">
        <v>39</v>
      </c>
      <c r="F992" s="3">
        <v>1389</v>
      </c>
      <c r="G992" t="s">
        <v>33</v>
      </c>
      <c r="H992" s="1">
        <v>5</v>
      </c>
      <c r="I992" t="s">
        <v>59</v>
      </c>
      <c r="J992" t="s">
        <v>34</v>
      </c>
      <c r="K992" t="s">
        <v>61</v>
      </c>
      <c r="L992" t="s">
        <v>41</v>
      </c>
      <c r="M992" s="3">
        <v>61</v>
      </c>
      <c r="N992" t="s">
        <v>60</v>
      </c>
      <c r="O992" t="s">
        <v>61</v>
      </c>
      <c r="P992" t="s">
        <v>36</v>
      </c>
      <c r="Q992" t="s">
        <v>62</v>
      </c>
      <c r="R992" t="s">
        <v>43</v>
      </c>
      <c r="S992" s="3">
        <v>9998</v>
      </c>
      <c r="T992" s="3">
        <v>19293</v>
      </c>
      <c r="U992" s="3" t="str">
        <f t="shared" si="63"/>
        <v>Medium</v>
      </c>
      <c r="V992">
        <v>6</v>
      </c>
      <c r="W992" t="s">
        <v>38</v>
      </c>
      <c r="X992" s="2">
        <v>13</v>
      </c>
      <c r="Y992" t="s">
        <v>60</v>
      </c>
      <c r="Z992" t="s">
        <v>59</v>
      </c>
      <c r="AA992">
        <v>0</v>
      </c>
      <c r="AB992">
        <v>8</v>
      </c>
      <c r="AC992">
        <v>2</v>
      </c>
      <c r="AD992">
        <v>4</v>
      </c>
      <c r="AE992">
        <v>5</v>
      </c>
      <c r="AF992">
        <v>4</v>
      </c>
      <c r="AG992">
        <v>1</v>
      </c>
      <c r="AH992">
        <v>2</v>
      </c>
      <c r="AI992" t="str">
        <f t="shared" si="60"/>
        <v>3-5 Years</v>
      </c>
      <c r="AJ992" t="str">
        <f t="shared" si="61"/>
        <v>0-2</v>
      </c>
    </row>
    <row r="993" spans="1:36" x14ac:dyDescent="0.35">
      <c r="A993">
        <v>992</v>
      </c>
      <c r="B993">
        <v>32</v>
      </c>
      <c r="C993" t="str">
        <f t="shared" si="62"/>
        <v>26-35</v>
      </c>
      <c r="D993" t="s">
        <v>38</v>
      </c>
      <c r="E993" t="s">
        <v>32</v>
      </c>
      <c r="F993" s="3">
        <v>1389</v>
      </c>
      <c r="G993" t="s">
        <v>33</v>
      </c>
      <c r="H993" s="1">
        <v>2</v>
      </c>
      <c r="I993" t="s">
        <v>59</v>
      </c>
      <c r="J993" t="s">
        <v>54</v>
      </c>
      <c r="K993" t="s">
        <v>60</v>
      </c>
      <c r="L993" t="s">
        <v>41</v>
      </c>
      <c r="M993" s="3">
        <v>36</v>
      </c>
      <c r="N993" t="s">
        <v>60</v>
      </c>
      <c r="O993" t="s">
        <v>61</v>
      </c>
      <c r="P993" t="s">
        <v>36</v>
      </c>
      <c r="Q993" t="s">
        <v>61</v>
      </c>
      <c r="R993" t="s">
        <v>43</v>
      </c>
      <c r="S993" s="3">
        <v>4078</v>
      </c>
      <c r="T993" s="3">
        <v>20497</v>
      </c>
      <c r="U993" s="3" t="str">
        <f t="shared" si="63"/>
        <v>Low</v>
      </c>
      <c r="V993">
        <v>0</v>
      </c>
      <c r="W993" t="s">
        <v>31</v>
      </c>
      <c r="X993" s="2">
        <v>13</v>
      </c>
      <c r="Y993" t="s">
        <v>60</v>
      </c>
      <c r="Z993" t="s">
        <v>59</v>
      </c>
      <c r="AA993">
        <v>3</v>
      </c>
      <c r="AB993">
        <v>4</v>
      </c>
      <c r="AC993">
        <v>3</v>
      </c>
      <c r="AD993">
        <v>2</v>
      </c>
      <c r="AE993">
        <v>3</v>
      </c>
      <c r="AF993">
        <v>2</v>
      </c>
      <c r="AG993">
        <v>1</v>
      </c>
      <c r="AH993">
        <v>2</v>
      </c>
      <c r="AI993" t="str">
        <f t="shared" si="60"/>
        <v>3-5 Years</v>
      </c>
      <c r="AJ993" t="str">
        <f t="shared" si="61"/>
        <v>0-2</v>
      </c>
    </row>
    <row r="994" spans="1:36" x14ac:dyDescent="0.35">
      <c r="A994">
        <v>993</v>
      </c>
      <c r="B994">
        <v>39</v>
      </c>
      <c r="C994" t="str">
        <f t="shared" si="62"/>
        <v>36-45</v>
      </c>
      <c r="D994" t="s">
        <v>38</v>
      </c>
      <c r="E994" t="s">
        <v>50</v>
      </c>
      <c r="F994" s="3">
        <v>1389</v>
      </c>
      <c r="G994" t="s">
        <v>40</v>
      </c>
      <c r="H994" s="1">
        <v>25</v>
      </c>
      <c r="I994" t="s">
        <v>58</v>
      </c>
      <c r="J994" t="s">
        <v>34</v>
      </c>
      <c r="K994" t="s">
        <v>60</v>
      </c>
      <c r="L994" t="s">
        <v>41</v>
      </c>
      <c r="M994" s="3">
        <v>71</v>
      </c>
      <c r="N994" t="s">
        <v>60</v>
      </c>
      <c r="O994" t="s">
        <v>60</v>
      </c>
      <c r="P994" t="s">
        <v>49</v>
      </c>
      <c r="Q994" t="s">
        <v>60</v>
      </c>
      <c r="R994" t="s">
        <v>43</v>
      </c>
      <c r="S994" s="3">
        <v>10920</v>
      </c>
      <c r="T994" s="3">
        <v>3449</v>
      </c>
      <c r="U994" s="3" t="str">
        <f t="shared" si="63"/>
        <v>High</v>
      </c>
      <c r="V994">
        <v>3</v>
      </c>
      <c r="W994" t="s">
        <v>38</v>
      </c>
      <c r="X994" s="2">
        <v>21</v>
      </c>
      <c r="Y994" t="s">
        <v>62</v>
      </c>
      <c r="Z994" t="s">
        <v>61</v>
      </c>
      <c r="AA994">
        <v>1</v>
      </c>
      <c r="AB994">
        <v>13</v>
      </c>
      <c r="AC994">
        <v>2</v>
      </c>
      <c r="AD994">
        <v>3</v>
      </c>
      <c r="AE994">
        <v>6</v>
      </c>
      <c r="AF994">
        <v>4</v>
      </c>
      <c r="AG994">
        <v>0</v>
      </c>
      <c r="AH994">
        <v>5</v>
      </c>
      <c r="AI994" t="str">
        <f t="shared" si="60"/>
        <v>6-10 Years</v>
      </c>
      <c r="AJ994" t="str">
        <f t="shared" si="61"/>
        <v>0-2</v>
      </c>
    </row>
    <row r="995" spans="1:36" x14ac:dyDescent="0.35">
      <c r="A995">
        <v>994</v>
      </c>
      <c r="B995">
        <v>25</v>
      </c>
      <c r="C995" t="str">
        <f t="shared" si="62"/>
        <v>18-25</v>
      </c>
      <c r="D995" t="s">
        <v>38</v>
      </c>
      <c r="E995" t="s">
        <v>32</v>
      </c>
      <c r="F995" s="3">
        <v>1389</v>
      </c>
      <c r="G995" t="s">
        <v>33</v>
      </c>
      <c r="H995" s="1">
        <v>18</v>
      </c>
      <c r="I995" t="s">
        <v>59</v>
      </c>
      <c r="J995" t="s">
        <v>34</v>
      </c>
      <c r="K995" t="s">
        <v>59</v>
      </c>
      <c r="L995" t="s">
        <v>41</v>
      </c>
      <c r="M995" s="3">
        <v>93</v>
      </c>
      <c r="N995" t="s">
        <v>62</v>
      </c>
      <c r="O995" t="s">
        <v>61</v>
      </c>
      <c r="P995" t="s">
        <v>36</v>
      </c>
      <c r="Q995" t="s">
        <v>60</v>
      </c>
      <c r="R995" t="s">
        <v>43</v>
      </c>
      <c r="S995" s="3">
        <v>6232</v>
      </c>
      <c r="T995" s="3">
        <v>12477</v>
      </c>
      <c r="U995" s="3" t="str">
        <f t="shared" si="63"/>
        <v>Medium</v>
      </c>
      <c r="V995">
        <v>2</v>
      </c>
      <c r="W995" t="s">
        <v>38</v>
      </c>
      <c r="X995" s="2">
        <v>11</v>
      </c>
      <c r="Y995" t="s">
        <v>60</v>
      </c>
      <c r="Z995" t="s">
        <v>61</v>
      </c>
      <c r="AA995">
        <v>0</v>
      </c>
      <c r="AB995">
        <v>6</v>
      </c>
      <c r="AC995">
        <v>3</v>
      </c>
      <c r="AD995">
        <v>2</v>
      </c>
      <c r="AE995">
        <v>3</v>
      </c>
      <c r="AF995">
        <v>2</v>
      </c>
      <c r="AG995">
        <v>1</v>
      </c>
      <c r="AH995">
        <v>2</v>
      </c>
      <c r="AI995" t="str">
        <f t="shared" si="60"/>
        <v>3-5 Years</v>
      </c>
      <c r="AJ995" t="str">
        <f t="shared" si="61"/>
        <v>0-2</v>
      </c>
    </row>
    <row r="996" spans="1:36" x14ac:dyDescent="0.35">
      <c r="A996">
        <v>995</v>
      </c>
      <c r="B996">
        <v>52</v>
      </c>
      <c r="C996" t="str">
        <f t="shared" si="62"/>
        <v>46-55</v>
      </c>
      <c r="D996" t="s">
        <v>38</v>
      </c>
      <c r="E996" t="s">
        <v>39</v>
      </c>
      <c r="F996" s="3">
        <v>1389</v>
      </c>
      <c r="G996" t="s">
        <v>40</v>
      </c>
      <c r="H996" s="1">
        <v>28</v>
      </c>
      <c r="I996" t="s">
        <v>58</v>
      </c>
      <c r="J996" t="s">
        <v>46</v>
      </c>
      <c r="K996" t="s">
        <v>62</v>
      </c>
      <c r="L996" t="s">
        <v>35</v>
      </c>
      <c r="M996" s="3">
        <v>59</v>
      </c>
      <c r="N996" t="s">
        <v>62</v>
      </c>
      <c r="O996" t="s">
        <v>62</v>
      </c>
      <c r="P996" t="s">
        <v>48</v>
      </c>
      <c r="Q996" t="s">
        <v>60</v>
      </c>
      <c r="R996" t="s">
        <v>43</v>
      </c>
      <c r="S996" s="3">
        <v>13247</v>
      </c>
      <c r="T996" s="3">
        <v>9731</v>
      </c>
      <c r="U996" s="3" t="str">
        <f t="shared" si="63"/>
        <v>High</v>
      </c>
      <c r="V996">
        <v>2</v>
      </c>
      <c r="W996" t="s">
        <v>31</v>
      </c>
      <c r="X996" s="2">
        <v>11</v>
      </c>
      <c r="Y996" t="s">
        <v>60</v>
      </c>
      <c r="Z996" t="s">
        <v>61</v>
      </c>
      <c r="AA996">
        <v>1</v>
      </c>
      <c r="AB996">
        <v>24</v>
      </c>
      <c r="AC996">
        <v>3</v>
      </c>
      <c r="AD996">
        <v>2</v>
      </c>
      <c r="AE996">
        <v>5</v>
      </c>
      <c r="AF996">
        <v>3</v>
      </c>
      <c r="AG996">
        <v>0</v>
      </c>
      <c r="AH996">
        <v>2</v>
      </c>
      <c r="AI996" t="str">
        <f t="shared" si="60"/>
        <v>3-5 Years</v>
      </c>
      <c r="AJ996" t="str">
        <f t="shared" si="61"/>
        <v>0-2</v>
      </c>
    </row>
    <row r="997" spans="1:36" x14ac:dyDescent="0.35">
      <c r="A997">
        <v>996</v>
      </c>
      <c r="B997">
        <v>43</v>
      </c>
      <c r="C997" t="str">
        <f t="shared" si="62"/>
        <v>36-45</v>
      </c>
      <c r="D997" t="s">
        <v>38</v>
      </c>
      <c r="E997" t="s">
        <v>32</v>
      </c>
      <c r="F997" s="3">
        <v>1389</v>
      </c>
      <c r="G997" t="s">
        <v>40</v>
      </c>
      <c r="H997" s="1">
        <v>6</v>
      </c>
      <c r="I997" t="s">
        <v>61</v>
      </c>
      <c r="J997" t="s">
        <v>46</v>
      </c>
      <c r="K997" t="s">
        <v>59</v>
      </c>
      <c r="L997" t="s">
        <v>35</v>
      </c>
      <c r="M997" s="3">
        <v>73</v>
      </c>
      <c r="N997" t="s">
        <v>61</v>
      </c>
      <c r="O997" t="s">
        <v>61</v>
      </c>
      <c r="P997" t="s">
        <v>42</v>
      </c>
      <c r="Q997" t="s">
        <v>60</v>
      </c>
      <c r="R997" t="s">
        <v>37</v>
      </c>
      <c r="S997" s="3">
        <v>4081</v>
      </c>
      <c r="T997" s="3">
        <v>20003</v>
      </c>
      <c r="U997" s="3" t="str">
        <f t="shared" si="63"/>
        <v>Low</v>
      </c>
      <c r="V997">
        <v>1</v>
      </c>
      <c r="W997" t="s">
        <v>31</v>
      </c>
      <c r="X997" s="2">
        <v>14</v>
      </c>
      <c r="Y997" t="s">
        <v>60</v>
      </c>
      <c r="Z997" t="s">
        <v>59</v>
      </c>
      <c r="AA997">
        <v>0</v>
      </c>
      <c r="AB997">
        <v>20</v>
      </c>
      <c r="AC997">
        <v>3</v>
      </c>
      <c r="AD997">
        <v>1</v>
      </c>
      <c r="AE997">
        <v>20</v>
      </c>
      <c r="AF997">
        <v>7</v>
      </c>
      <c r="AG997">
        <v>1</v>
      </c>
      <c r="AH997">
        <v>8</v>
      </c>
      <c r="AI997" t="str">
        <f t="shared" si="60"/>
        <v>10+ Years</v>
      </c>
      <c r="AJ997" t="str">
        <f t="shared" si="61"/>
        <v>0-2</v>
      </c>
    </row>
    <row r="998" spans="1:36" x14ac:dyDescent="0.35">
      <c r="A998">
        <v>997</v>
      </c>
      <c r="B998">
        <v>27</v>
      </c>
      <c r="C998" t="str">
        <f t="shared" si="62"/>
        <v>26-35</v>
      </c>
      <c r="D998" t="s">
        <v>38</v>
      </c>
      <c r="E998" t="s">
        <v>32</v>
      </c>
      <c r="F998" s="3">
        <v>1389</v>
      </c>
      <c r="G998" t="s">
        <v>33</v>
      </c>
      <c r="H998" s="1">
        <v>10</v>
      </c>
      <c r="I998" t="s">
        <v>61</v>
      </c>
      <c r="J998" t="s">
        <v>54</v>
      </c>
      <c r="K998" t="s">
        <v>62</v>
      </c>
      <c r="L998" t="s">
        <v>35</v>
      </c>
      <c r="M998" s="3">
        <v>98</v>
      </c>
      <c r="N998" t="s">
        <v>61</v>
      </c>
      <c r="O998" t="s">
        <v>61</v>
      </c>
      <c r="P998" t="s">
        <v>36</v>
      </c>
      <c r="Q998" t="s">
        <v>62</v>
      </c>
      <c r="R998" t="s">
        <v>43</v>
      </c>
      <c r="S998" s="3">
        <v>5769</v>
      </c>
      <c r="T998" s="3">
        <v>7100</v>
      </c>
      <c r="U998" s="3" t="str">
        <f t="shared" si="63"/>
        <v>Medium</v>
      </c>
      <c r="V998">
        <v>1</v>
      </c>
      <c r="W998" t="s">
        <v>31</v>
      </c>
      <c r="X998" s="2">
        <v>11</v>
      </c>
      <c r="Y998" t="s">
        <v>60</v>
      </c>
      <c r="Z998" t="s">
        <v>62</v>
      </c>
      <c r="AA998">
        <v>0</v>
      </c>
      <c r="AB998">
        <v>6</v>
      </c>
      <c r="AC998">
        <v>3</v>
      </c>
      <c r="AD998">
        <v>3</v>
      </c>
      <c r="AE998">
        <v>6</v>
      </c>
      <c r="AF998">
        <v>2</v>
      </c>
      <c r="AG998">
        <v>4</v>
      </c>
      <c r="AH998">
        <v>4</v>
      </c>
      <c r="AI998" t="str">
        <f t="shared" si="60"/>
        <v>6-10 Years</v>
      </c>
      <c r="AJ998" t="str">
        <f t="shared" si="61"/>
        <v>3-5</v>
      </c>
    </row>
    <row r="999" spans="1:36" x14ac:dyDescent="0.35">
      <c r="A999">
        <v>998</v>
      </c>
      <c r="B999">
        <v>27</v>
      </c>
      <c r="C999" t="str">
        <f t="shared" si="62"/>
        <v>26-35</v>
      </c>
      <c r="D999" t="s">
        <v>31</v>
      </c>
      <c r="E999" t="s">
        <v>32</v>
      </c>
      <c r="F999" s="3">
        <v>1389</v>
      </c>
      <c r="G999" t="s">
        <v>40</v>
      </c>
      <c r="H999" s="1">
        <v>17</v>
      </c>
      <c r="I999" t="s">
        <v>60</v>
      </c>
      <c r="J999" t="s">
        <v>34</v>
      </c>
      <c r="K999" t="s">
        <v>62</v>
      </c>
      <c r="L999" t="s">
        <v>35</v>
      </c>
      <c r="M999" s="3">
        <v>51</v>
      </c>
      <c r="N999" t="s">
        <v>60</v>
      </c>
      <c r="O999" t="s">
        <v>59</v>
      </c>
      <c r="P999" t="s">
        <v>42</v>
      </c>
      <c r="Q999" t="s">
        <v>60</v>
      </c>
      <c r="R999" t="s">
        <v>37</v>
      </c>
      <c r="S999" s="3">
        <v>2394</v>
      </c>
      <c r="T999" s="3">
        <v>25681</v>
      </c>
      <c r="U999" s="3" t="str">
        <f t="shared" si="63"/>
        <v>Low</v>
      </c>
      <c r="V999">
        <v>1</v>
      </c>
      <c r="W999" t="s">
        <v>31</v>
      </c>
      <c r="X999" s="2">
        <v>13</v>
      </c>
      <c r="Y999" t="s">
        <v>60</v>
      </c>
      <c r="Z999" t="s">
        <v>62</v>
      </c>
      <c r="AA999">
        <v>0</v>
      </c>
      <c r="AB999">
        <v>8</v>
      </c>
      <c r="AC999">
        <v>2</v>
      </c>
      <c r="AD999">
        <v>3</v>
      </c>
      <c r="AE999">
        <v>8</v>
      </c>
      <c r="AF999">
        <v>2</v>
      </c>
      <c r="AG999">
        <v>7</v>
      </c>
      <c r="AH999">
        <v>7</v>
      </c>
      <c r="AI999" t="str">
        <f t="shared" si="60"/>
        <v>6-10 Years</v>
      </c>
      <c r="AJ999" t="str">
        <f t="shared" si="61"/>
        <v>6+</v>
      </c>
    </row>
    <row r="1000" spans="1:36" x14ac:dyDescent="0.35">
      <c r="A1000">
        <v>999</v>
      </c>
      <c r="B1000">
        <v>26</v>
      </c>
      <c r="C1000" t="str">
        <f t="shared" si="62"/>
        <v>26-35</v>
      </c>
      <c r="D1000" t="s">
        <v>38</v>
      </c>
      <c r="E1000" t="s">
        <v>32</v>
      </c>
      <c r="F1000" s="3">
        <v>1389</v>
      </c>
      <c r="G1000" t="s">
        <v>40</v>
      </c>
      <c r="H1000" s="1">
        <v>2</v>
      </c>
      <c r="I1000" t="s">
        <v>59</v>
      </c>
      <c r="J1000" t="s">
        <v>46</v>
      </c>
      <c r="K1000" t="s">
        <v>59</v>
      </c>
      <c r="L1000" t="s">
        <v>41</v>
      </c>
      <c r="M1000" s="3">
        <v>36</v>
      </c>
      <c r="N1000" t="s">
        <v>61</v>
      </c>
      <c r="O1000" t="s">
        <v>59</v>
      </c>
      <c r="P1000" t="s">
        <v>42</v>
      </c>
      <c r="Q1000" t="s">
        <v>62</v>
      </c>
      <c r="R1000" t="s">
        <v>37</v>
      </c>
      <c r="S1000" s="3">
        <v>3904</v>
      </c>
      <c r="T1000" s="3">
        <v>4050</v>
      </c>
      <c r="U1000" s="3" t="str">
        <f t="shared" si="63"/>
        <v>Low</v>
      </c>
      <c r="V1000">
        <v>0</v>
      </c>
      <c r="W1000" t="s">
        <v>38</v>
      </c>
      <c r="X1000" s="2">
        <v>12</v>
      </c>
      <c r="Y1000" t="s">
        <v>60</v>
      </c>
      <c r="Z1000" t="s">
        <v>62</v>
      </c>
      <c r="AA1000">
        <v>0</v>
      </c>
      <c r="AB1000">
        <v>5</v>
      </c>
      <c r="AC1000">
        <v>2</v>
      </c>
      <c r="AD1000">
        <v>3</v>
      </c>
      <c r="AE1000">
        <v>4</v>
      </c>
      <c r="AF1000">
        <v>3</v>
      </c>
      <c r="AG1000">
        <v>1</v>
      </c>
      <c r="AH1000">
        <v>1</v>
      </c>
      <c r="AI1000" t="str">
        <f t="shared" si="60"/>
        <v>3-5 Years</v>
      </c>
      <c r="AJ1000" t="str">
        <f t="shared" si="61"/>
        <v>0-2</v>
      </c>
    </row>
    <row r="1001" spans="1:36" x14ac:dyDescent="0.35">
      <c r="A1001">
        <v>1000</v>
      </c>
      <c r="B1001">
        <v>42</v>
      </c>
      <c r="C1001" t="str">
        <f t="shared" si="62"/>
        <v>36-45</v>
      </c>
      <c r="D1001" t="s">
        <v>38</v>
      </c>
      <c r="E1001" t="s">
        <v>32</v>
      </c>
      <c r="F1001" s="3">
        <v>1389</v>
      </c>
      <c r="G1001" t="s">
        <v>56</v>
      </c>
      <c r="H1001" s="1">
        <v>10</v>
      </c>
      <c r="I1001" t="s">
        <v>61</v>
      </c>
      <c r="J1001" t="s">
        <v>56</v>
      </c>
      <c r="K1001" t="s">
        <v>60</v>
      </c>
      <c r="L1001" t="s">
        <v>35</v>
      </c>
      <c r="M1001" s="3">
        <v>31</v>
      </c>
      <c r="N1001" t="s">
        <v>60</v>
      </c>
      <c r="O1001" t="s">
        <v>62</v>
      </c>
      <c r="P1001" t="s">
        <v>51</v>
      </c>
      <c r="Q1001" t="s">
        <v>59</v>
      </c>
      <c r="R1001" t="s">
        <v>43</v>
      </c>
      <c r="S1001" s="3">
        <v>16799</v>
      </c>
      <c r="T1001" s="3">
        <v>16616</v>
      </c>
      <c r="U1001" s="3" t="str">
        <f t="shared" si="63"/>
        <v>High</v>
      </c>
      <c r="V1001">
        <v>0</v>
      </c>
      <c r="W1001" t="s">
        <v>38</v>
      </c>
      <c r="X1001" s="2">
        <v>14</v>
      </c>
      <c r="Y1001" t="s">
        <v>60</v>
      </c>
      <c r="Z1001" t="s">
        <v>60</v>
      </c>
      <c r="AA1001">
        <v>1</v>
      </c>
      <c r="AB1001">
        <v>21</v>
      </c>
      <c r="AC1001">
        <v>5</v>
      </c>
      <c r="AD1001">
        <v>3</v>
      </c>
      <c r="AE1001">
        <v>20</v>
      </c>
      <c r="AF1001">
        <v>7</v>
      </c>
      <c r="AG1001">
        <v>0</v>
      </c>
      <c r="AH1001">
        <v>9</v>
      </c>
      <c r="AI1001" t="str">
        <f t="shared" si="60"/>
        <v>10+ Years</v>
      </c>
      <c r="AJ1001" t="str">
        <f t="shared" si="61"/>
        <v>0-2</v>
      </c>
    </row>
    <row r="1002" spans="1:36" x14ac:dyDescent="0.35">
      <c r="A1002">
        <v>1001</v>
      </c>
      <c r="B1002">
        <v>52</v>
      </c>
      <c r="C1002" t="str">
        <f t="shared" si="62"/>
        <v>46-55</v>
      </c>
      <c r="D1002" t="s">
        <v>38</v>
      </c>
      <c r="E1002" t="s">
        <v>32</v>
      </c>
      <c r="F1002" s="3">
        <v>1389</v>
      </c>
      <c r="G1002" t="s">
        <v>40</v>
      </c>
      <c r="H1002" s="1">
        <v>8</v>
      </c>
      <c r="I1002" t="s">
        <v>60</v>
      </c>
      <c r="J1002" t="s">
        <v>44</v>
      </c>
      <c r="K1002" t="s">
        <v>60</v>
      </c>
      <c r="L1002" t="s">
        <v>35</v>
      </c>
      <c r="M1002" s="3">
        <v>54</v>
      </c>
      <c r="N1002" t="s">
        <v>60</v>
      </c>
      <c r="O1002" t="s">
        <v>59</v>
      </c>
      <c r="P1002" t="s">
        <v>45</v>
      </c>
      <c r="Q1002" t="s">
        <v>59</v>
      </c>
      <c r="R1002" t="s">
        <v>43</v>
      </c>
      <c r="S1002" s="3">
        <v>2950</v>
      </c>
      <c r="T1002" s="3">
        <v>17363</v>
      </c>
      <c r="U1002" s="3" t="str">
        <f t="shared" si="63"/>
        <v>Low</v>
      </c>
      <c r="V1002">
        <v>9</v>
      </c>
      <c r="W1002" t="s">
        <v>38</v>
      </c>
      <c r="X1002" s="2">
        <v>13</v>
      </c>
      <c r="Y1002" t="s">
        <v>60</v>
      </c>
      <c r="Z1002" t="s">
        <v>60</v>
      </c>
      <c r="AA1002">
        <v>0</v>
      </c>
      <c r="AB1002">
        <v>12</v>
      </c>
      <c r="AC1002">
        <v>2</v>
      </c>
      <c r="AD1002">
        <v>1</v>
      </c>
      <c r="AE1002">
        <v>5</v>
      </c>
      <c r="AF1002">
        <v>4</v>
      </c>
      <c r="AG1002">
        <v>0</v>
      </c>
      <c r="AH1002">
        <v>4</v>
      </c>
      <c r="AI1002" t="str">
        <f t="shared" si="60"/>
        <v>3-5 Years</v>
      </c>
      <c r="AJ1002" t="str">
        <f t="shared" si="61"/>
        <v>0-2</v>
      </c>
    </row>
    <row r="1003" spans="1:36" x14ac:dyDescent="0.35">
      <c r="A1003">
        <v>1002</v>
      </c>
      <c r="B1003">
        <v>37</v>
      </c>
      <c r="C1003" t="str">
        <f t="shared" si="62"/>
        <v>36-45</v>
      </c>
      <c r="D1003" t="s">
        <v>38</v>
      </c>
      <c r="E1003" t="s">
        <v>32</v>
      </c>
      <c r="F1003" s="3">
        <v>1389</v>
      </c>
      <c r="G1003" t="s">
        <v>40</v>
      </c>
      <c r="H1003" s="1">
        <v>11</v>
      </c>
      <c r="I1003" t="s">
        <v>61</v>
      </c>
      <c r="J1003" t="s">
        <v>46</v>
      </c>
      <c r="K1003" t="s">
        <v>59</v>
      </c>
      <c r="L1003" t="s">
        <v>35</v>
      </c>
      <c r="M1003" s="3">
        <v>94</v>
      </c>
      <c r="N1003" t="s">
        <v>60</v>
      </c>
      <c r="O1003" t="s">
        <v>59</v>
      </c>
      <c r="P1003" t="s">
        <v>45</v>
      </c>
      <c r="Q1003" t="s">
        <v>60</v>
      </c>
      <c r="R1003" t="s">
        <v>37</v>
      </c>
      <c r="S1003" s="3">
        <v>3629</v>
      </c>
      <c r="T1003" s="3">
        <v>19106</v>
      </c>
      <c r="U1003" s="3" t="str">
        <f t="shared" si="63"/>
        <v>Low</v>
      </c>
      <c r="V1003">
        <v>4</v>
      </c>
      <c r="W1003" t="s">
        <v>38</v>
      </c>
      <c r="X1003" s="2">
        <v>18</v>
      </c>
      <c r="Y1003" t="s">
        <v>60</v>
      </c>
      <c r="Z1003" t="s">
        <v>59</v>
      </c>
      <c r="AA1003">
        <v>0</v>
      </c>
      <c r="AB1003">
        <v>8</v>
      </c>
      <c r="AC1003">
        <v>6</v>
      </c>
      <c r="AD1003">
        <v>3</v>
      </c>
      <c r="AE1003">
        <v>3</v>
      </c>
      <c r="AF1003">
        <v>2</v>
      </c>
      <c r="AG1003">
        <v>0</v>
      </c>
      <c r="AH1003">
        <v>2</v>
      </c>
      <c r="AI1003" t="str">
        <f t="shared" si="60"/>
        <v>3-5 Years</v>
      </c>
      <c r="AJ1003" t="str">
        <f t="shared" si="61"/>
        <v>0-2</v>
      </c>
    </row>
    <row r="1004" spans="1:36" x14ac:dyDescent="0.35">
      <c r="A1004">
        <v>1003</v>
      </c>
      <c r="B1004">
        <v>35</v>
      </c>
      <c r="C1004" t="str">
        <f t="shared" si="62"/>
        <v>26-35</v>
      </c>
      <c r="D1004" t="s">
        <v>38</v>
      </c>
      <c r="E1004" t="s">
        <v>39</v>
      </c>
      <c r="F1004" s="3">
        <v>1389</v>
      </c>
      <c r="G1004" t="s">
        <v>40</v>
      </c>
      <c r="H1004" s="1">
        <v>18</v>
      </c>
      <c r="I1004" t="s">
        <v>58</v>
      </c>
      <c r="J1004" t="s">
        <v>34</v>
      </c>
      <c r="K1004" t="s">
        <v>60</v>
      </c>
      <c r="L1004" t="s">
        <v>41</v>
      </c>
      <c r="M1004" s="3">
        <v>60</v>
      </c>
      <c r="N1004" t="s">
        <v>60</v>
      </c>
      <c r="O1004" t="s">
        <v>60</v>
      </c>
      <c r="P1004" t="s">
        <v>48</v>
      </c>
      <c r="Q1004" t="s">
        <v>62</v>
      </c>
      <c r="R1004" t="s">
        <v>37</v>
      </c>
      <c r="S1004" s="3">
        <v>9362</v>
      </c>
      <c r="T1004" s="3">
        <v>19944</v>
      </c>
      <c r="U1004" s="3" t="str">
        <f t="shared" si="63"/>
        <v>Medium</v>
      </c>
      <c r="V1004">
        <v>2</v>
      </c>
      <c r="W1004" t="s">
        <v>38</v>
      </c>
      <c r="X1004" s="2">
        <v>11</v>
      </c>
      <c r="Y1004" t="s">
        <v>60</v>
      </c>
      <c r="Z1004" t="s">
        <v>60</v>
      </c>
      <c r="AA1004">
        <v>0</v>
      </c>
      <c r="AB1004">
        <v>10</v>
      </c>
      <c r="AC1004">
        <v>2</v>
      </c>
      <c r="AD1004">
        <v>3</v>
      </c>
      <c r="AE1004">
        <v>2</v>
      </c>
      <c r="AF1004">
        <v>2</v>
      </c>
      <c r="AG1004">
        <v>2</v>
      </c>
      <c r="AH1004">
        <v>2</v>
      </c>
      <c r="AI1004" t="str">
        <f t="shared" si="60"/>
        <v>0-2 Years</v>
      </c>
      <c r="AJ1004" t="str">
        <f t="shared" si="61"/>
        <v>0-2</v>
      </c>
    </row>
    <row r="1005" spans="1:36" x14ac:dyDescent="0.35">
      <c r="A1005">
        <v>1004</v>
      </c>
      <c r="B1005">
        <v>25</v>
      </c>
      <c r="C1005" t="str">
        <f t="shared" si="62"/>
        <v>18-25</v>
      </c>
      <c r="D1005" t="s">
        <v>38</v>
      </c>
      <c r="E1005" t="s">
        <v>32</v>
      </c>
      <c r="F1005" s="3">
        <v>1389</v>
      </c>
      <c r="G1005" t="s">
        <v>40</v>
      </c>
      <c r="H1005" s="1">
        <v>1</v>
      </c>
      <c r="I1005" t="s">
        <v>61</v>
      </c>
      <c r="J1005" t="s">
        <v>55</v>
      </c>
      <c r="K1005" t="s">
        <v>59</v>
      </c>
      <c r="L1005" t="s">
        <v>41</v>
      </c>
      <c r="M1005" s="3">
        <v>81</v>
      </c>
      <c r="N1005" t="s">
        <v>60</v>
      </c>
      <c r="O1005" t="s">
        <v>59</v>
      </c>
      <c r="P1005" t="s">
        <v>45</v>
      </c>
      <c r="Q1005" t="s">
        <v>62</v>
      </c>
      <c r="R1005" t="s">
        <v>43</v>
      </c>
      <c r="S1005" s="3">
        <v>3229</v>
      </c>
      <c r="T1005" s="3">
        <v>4910</v>
      </c>
      <c r="U1005" s="3" t="str">
        <f t="shared" si="63"/>
        <v>Low</v>
      </c>
      <c r="V1005">
        <v>4</v>
      </c>
      <c r="W1005" t="s">
        <v>38</v>
      </c>
      <c r="X1005" s="2">
        <v>11</v>
      </c>
      <c r="Y1005" t="s">
        <v>60</v>
      </c>
      <c r="Z1005" t="s">
        <v>61</v>
      </c>
      <c r="AA1005">
        <v>1</v>
      </c>
      <c r="AB1005">
        <v>7</v>
      </c>
      <c r="AC1005">
        <v>2</v>
      </c>
      <c r="AD1005">
        <v>2</v>
      </c>
      <c r="AE1005">
        <v>3</v>
      </c>
      <c r="AF1005">
        <v>2</v>
      </c>
      <c r="AG1005">
        <v>0</v>
      </c>
      <c r="AH1005">
        <v>2</v>
      </c>
      <c r="AI1005" t="str">
        <f t="shared" si="60"/>
        <v>3-5 Years</v>
      </c>
      <c r="AJ1005" t="str">
        <f t="shared" si="61"/>
        <v>0-2</v>
      </c>
    </row>
    <row r="1006" spans="1:36" x14ac:dyDescent="0.35">
      <c r="A1006">
        <v>1005</v>
      </c>
      <c r="B1006">
        <v>26</v>
      </c>
      <c r="C1006" t="str">
        <f t="shared" si="62"/>
        <v>26-35</v>
      </c>
      <c r="D1006" t="s">
        <v>38</v>
      </c>
      <c r="E1006" t="s">
        <v>32</v>
      </c>
      <c r="F1006" s="3">
        <v>1389</v>
      </c>
      <c r="G1006" t="s">
        <v>40</v>
      </c>
      <c r="H1006" s="1">
        <v>7</v>
      </c>
      <c r="I1006" t="s">
        <v>61</v>
      </c>
      <c r="J1006" t="s">
        <v>44</v>
      </c>
      <c r="K1006" t="s">
        <v>60</v>
      </c>
      <c r="L1006" t="s">
        <v>41</v>
      </c>
      <c r="M1006" s="3">
        <v>100</v>
      </c>
      <c r="N1006" t="s">
        <v>62</v>
      </c>
      <c r="O1006" t="s">
        <v>59</v>
      </c>
      <c r="P1006" t="s">
        <v>45</v>
      </c>
      <c r="Q1006" t="s">
        <v>59</v>
      </c>
      <c r="R1006" t="s">
        <v>37</v>
      </c>
      <c r="S1006" s="3">
        <v>3578</v>
      </c>
      <c r="T1006" s="3">
        <v>23577</v>
      </c>
      <c r="U1006" s="3" t="str">
        <f t="shared" si="63"/>
        <v>Low</v>
      </c>
      <c r="V1006">
        <v>0</v>
      </c>
      <c r="W1006" t="s">
        <v>38</v>
      </c>
      <c r="X1006" s="2">
        <v>12</v>
      </c>
      <c r="Y1006" t="s">
        <v>60</v>
      </c>
      <c r="Z1006" t="s">
        <v>62</v>
      </c>
      <c r="AA1006">
        <v>0</v>
      </c>
      <c r="AB1006">
        <v>8</v>
      </c>
      <c r="AC1006">
        <v>2</v>
      </c>
      <c r="AD1006">
        <v>3</v>
      </c>
      <c r="AE1006">
        <v>7</v>
      </c>
      <c r="AF1006">
        <v>7</v>
      </c>
      <c r="AG1006">
        <v>0</v>
      </c>
      <c r="AH1006">
        <v>7</v>
      </c>
      <c r="AI1006" t="str">
        <f t="shared" si="60"/>
        <v>6-10 Years</v>
      </c>
      <c r="AJ1006" t="str">
        <f t="shared" si="61"/>
        <v>0-2</v>
      </c>
    </row>
    <row r="1007" spans="1:36" x14ac:dyDescent="0.35">
      <c r="A1007">
        <v>1006</v>
      </c>
      <c r="B1007">
        <v>29</v>
      </c>
      <c r="C1007" t="str">
        <f t="shared" si="62"/>
        <v>26-35</v>
      </c>
      <c r="D1007" t="s">
        <v>38</v>
      </c>
      <c r="E1007" t="s">
        <v>32</v>
      </c>
      <c r="F1007" s="3">
        <v>1389</v>
      </c>
      <c r="G1007" t="s">
        <v>56</v>
      </c>
      <c r="H1007" s="1">
        <v>17</v>
      </c>
      <c r="I1007" t="s">
        <v>61</v>
      </c>
      <c r="J1007" t="s">
        <v>44</v>
      </c>
      <c r="K1007" t="s">
        <v>61</v>
      </c>
      <c r="L1007" t="s">
        <v>41</v>
      </c>
      <c r="M1007" s="3">
        <v>51</v>
      </c>
      <c r="N1007" t="s">
        <v>61</v>
      </c>
      <c r="O1007" t="s">
        <v>60</v>
      </c>
      <c r="P1007" t="s">
        <v>56</v>
      </c>
      <c r="Q1007" t="s">
        <v>59</v>
      </c>
      <c r="R1007" t="s">
        <v>37</v>
      </c>
      <c r="S1007" s="3">
        <v>7988</v>
      </c>
      <c r="T1007" s="3">
        <v>9769</v>
      </c>
      <c r="U1007" s="3" t="str">
        <f t="shared" si="63"/>
        <v>Medium</v>
      </c>
      <c r="V1007">
        <v>1</v>
      </c>
      <c r="W1007" t="s">
        <v>38</v>
      </c>
      <c r="X1007" s="2">
        <v>13</v>
      </c>
      <c r="Y1007" t="s">
        <v>60</v>
      </c>
      <c r="Z1007" t="s">
        <v>59</v>
      </c>
      <c r="AA1007">
        <v>0</v>
      </c>
      <c r="AB1007">
        <v>10</v>
      </c>
      <c r="AC1007">
        <v>3</v>
      </c>
      <c r="AD1007">
        <v>2</v>
      </c>
      <c r="AE1007">
        <v>10</v>
      </c>
      <c r="AF1007">
        <v>9</v>
      </c>
      <c r="AG1007">
        <v>0</v>
      </c>
      <c r="AH1007">
        <v>9</v>
      </c>
      <c r="AI1007" t="str">
        <f t="shared" si="60"/>
        <v>6-10 Years</v>
      </c>
      <c r="AJ1007" t="str">
        <f t="shared" si="61"/>
        <v>0-2</v>
      </c>
    </row>
    <row r="1008" spans="1:36" x14ac:dyDescent="0.35">
      <c r="A1008">
        <v>1007</v>
      </c>
      <c r="B1008">
        <v>49</v>
      </c>
      <c r="C1008" t="str">
        <f t="shared" si="62"/>
        <v>46-55</v>
      </c>
      <c r="D1008" t="s">
        <v>31</v>
      </c>
      <c r="E1008" t="s">
        <v>39</v>
      </c>
      <c r="F1008" s="3">
        <v>1389</v>
      </c>
      <c r="G1008" t="s">
        <v>40</v>
      </c>
      <c r="H1008" s="1">
        <v>28</v>
      </c>
      <c r="I1008" t="s">
        <v>58</v>
      </c>
      <c r="J1008" t="s">
        <v>34</v>
      </c>
      <c r="K1008" t="s">
        <v>59</v>
      </c>
      <c r="L1008" t="s">
        <v>41</v>
      </c>
      <c r="M1008" s="3">
        <v>97</v>
      </c>
      <c r="N1008" t="s">
        <v>61</v>
      </c>
      <c r="O1008" t="s">
        <v>61</v>
      </c>
      <c r="P1008" t="s">
        <v>45</v>
      </c>
      <c r="Q1008" t="s">
        <v>59</v>
      </c>
      <c r="R1008" t="s">
        <v>37</v>
      </c>
      <c r="S1008" s="3">
        <v>4284</v>
      </c>
      <c r="T1008" s="3">
        <v>22710</v>
      </c>
      <c r="U1008" s="3" t="str">
        <f t="shared" si="63"/>
        <v>Low</v>
      </c>
      <c r="V1008">
        <v>3</v>
      </c>
      <c r="W1008" t="s">
        <v>38</v>
      </c>
      <c r="X1008" s="2">
        <v>20</v>
      </c>
      <c r="Y1008" t="s">
        <v>62</v>
      </c>
      <c r="Z1008" t="s">
        <v>59</v>
      </c>
      <c r="AA1008">
        <v>0</v>
      </c>
      <c r="AB1008">
        <v>20</v>
      </c>
      <c r="AC1008">
        <v>2</v>
      </c>
      <c r="AD1008">
        <v>3</v>
      </c>
      <c r="AE1008">
        <v>4</v>
      </c>
      <c r="AF1008">
        <v>3</v>
      </c>
      <c r="AG1008">
        <v>1</v>
      </c>
      <c r="AH1008">
        <v>3</v>
      </c>
      <c r="AI1008" t="str">
        <f t="shared" si="60"/>
        <v>3-5 Years</v>
      </c>
      <c r="AJ1008" t="str">
        <f t="shared" si="61"/>
        <v>0-2</v>
      </c>
    </row>
    <row r="1009" spans="1:36" x14ac:dyDescent="0.35">
      <c r="A1009">
        <v>1008</v>
      </c>
      <c r="B1009">
        <v>29</v>
      </c>
      <c r="C1009" t="str">
        <f t="shared" si="62"/>
        <v>26-35</v>
      </c>
      <c r="D1009" t="s">
        <v>31</v>
      </c>
      <c r="E1009" t="s">
        <v>39</v>
      </c>
      <c r="F1009" s="3">
        <v>1389</v>
      </c>
      <c r="G1009" t="s">
        <v>40</v>
      </c>
      <c r="H1009" s="1">
        <v>14</v>
      </c>
      <c r="I1009" t="s">
        <v>59</v>
      </c>
      <c r="J1009" t="s">
        <v>44</v>
      </c>
      <c r="K1009" t="s">
        <v>60</v>
      </c>
      <c r="L1009" t="s">
        <v>35</v>
      </c>
      <c r="M1009" s="3">
        <v>84</v>
      </c>
      <c r="N1009" t="s">
        <v>60</v>
      </c>
      <c r="O1009" t="s">
        <v>60</v>
      </c>
      <c r="P1009" t="s">
        <v>49</v>
      </c>
      <c r="Q1009" t="s">
        <v>62</v>
      </c>
      <c r="R1009" t="s">
        <v>37</v>
      </c>
      <c r="S1009" s="3">
        <v>7553</v>
      </c>
      <c r="T1009" s="3">
        <v>22930</v>
      </c>
      <c r="U1009" s="3" t="str">
        <f t="shared" si="63"/>
        <v>Medium</v>
      </c>
      <c r="V1009">
        <v>0</v>
      </c>
      <c r="W1009" t="s">
        <v>31</v>
      </c>
      <c r="X1009" s="2">
        <v>12</v>
      </c>
      <c r="Y1009" t="s">
        <v>60</v>
      </c>
      <c r="Z1009" t="s">
        <v>59</v>
      </c>
      <c r="AA1009">
        <v>0</v>
      </c>
      <c r="AB1009">
        <v>9</v>
      </c>
      <c r="AC1009">
        <v>1</v>
      </c>
      <c r="AD1009">
        <v>3</v>
      </c>
      <c r="AE1009">
        <v>8</v>
      </c>
      <c r="AF1009">
        <v>7</v>
      </c>
      <c r="AG1009">
        <v>7</v>
      </c>
      <c r="AH1009">
        <v>7</v>
      </c>
      <c r="AI1009" t="str">
        <f t="shared" si="60"/>
        <v>6-10 Years</v>
      </c>
      <c r="AJ1009" t="str">
        <f t="shared" si="61"/>
        <v>6+</v>
      </c>
    </row>
    <row r="1010" spans="1:36" x14ac:dyDescent="0.35">
      <c r="A1010">
        <v>1009</v>
      </c>
      <c r="B1010">
        <v>54</v>
      </c>
      <c r="C1010" t="str">
        <f t="shared" si="62"/>
        <v>46-55</v>
      </c>
      <c r="D1010" t="s">
        <v>38</v>
      </c>
      <c r="E1010" t="s">
        <v>32</v>
      </c>
      <c r="F1010" s="3">
        <v>1389</v>
      </c>
      <c r="G1010" t="s">
        <v>40</v>
      </c>
      <c r="H1010" s="1">
        <v>1</v>
      </c>
      <c r="I1010" t="s">
        <v>61</v>
      </c>
      <c r="J1010" t="s">
        <v>46</v>
      </c>
      <c r="K1010" t="s">
        <v>62</v>
      </c>
      <c r="L1010" t="s">
        <v>35</v>
      </c>
      <c r="M1010" s="3">
        <v>54</v>
      </c>
      <c r="N1010" t="s">
        <v>60</v>
      </c>
      <c r="O1010" t="s">
        <v>62</v>
      </c>
      <c r="P1010" t="s">
        <v>53</v>
      </c>
      <c r="Q1010" t="s">
        <v>62</v>
      </c>
      <c r="R1010" t="s">
        <v>37</v>
      </c>
      <c r="S1010" s="3">
        <v>17328</v>
      </c>
      <c r="T1010" s="3">
        <v>5652</v>
      </c>
      <c r="U1010" s="3" t="str">
        <f t="shared" si="63"/>
        <v>High</v>
      </c>
      <c r="V1010">
        <v>6</v>
      </c>
      <c r="W1010" t="s">
        <v>38</v>
      </c>
      <c r="X1010" s="2">
        <v>19</v>
      </c>
      <c r="Y1010" t="s">
        <v>60</v>
      </c>
      <c r="Z1010" t="s">
        <v>62</v>
      </c>
      <c r="AA1010">
        <v>0</v>
      </c>
      <c r="AB1010">
        <v>29</v>
      </c>
      <c r="AC1010">
        <v>3</v>
      </c>
      <c r="AD1010">
        <v>2</v>
      </c>
      <c r="AE1010">
        <v>20</v>
      </c>
      <c r="AF1010">
        <v>7</v>
      </c>
      <c r="AG1010">
        <v>12</v>
      </c>
      <c r="AH1010">
        <v>7</v>
      </c>
      <c r="AI1010" t="str">
        <f t="shared" si="60"/>
        <v>10+ Years</v>
      </c>
      <c r="AJ1010" t="str">
        <f t="shared" si="61"/>
        <v>6+</v>
      </c>
    </row>
    <row r="1011" spans="1:36" x14ac:dyDescent="0.35">
      <c r="A1011">
        <v>1010</v>
      </c>
      <c r="B1011">
        <v>58</v>
      </c>
      <c r="C1011" t="str">
        <f t="shared" si="62"/>
        <v>55+</v>
      </c>
      <c r="D1011" t="s">
        <v>38</v>
      </c>
      <c r="E1011" t="s">
        <v>32</v>
      </c>
      <c r="F1011" s="3">
        <v>1389</v>
      </c>
      <c r="G1011" t="s">
        <v>40</v>
      </c>
      <c r="H1011" s="1">
        <v>1</v>
      </c>
      <c r="I1011" t="s">
        <v>61</v>
      </c>
      <c r="J1011" t="s">
        <v>46</v>
      </c>
      <c r="K1011" t="s">
        <v>62</v>
      </c>
      <c r="L1011" t="s">
        <v>35</v>
      </c>
      <c r="M1011" s="3">
        <v>76</v>
      </c>
      <c r="N1011" t="s">
        <v>60</v>
      </c>
      <c r="O1011" t="e">
        <v>#N/A</v>
      </c>
      <c r="P1011" t="s">
        <v>53</v>
      </c>
      <c r="Q1011" t="s">
        <v>59</v>
      </c>
      <c r="R1011" t="s">
        <v>43</v>
      </c>
      <c r="S1011" s="3">
        <v>19701</v>
      </c>
      <c r="T1011" s="3">
        <v>22456</v>
      </c>
      <c r="U1011" s="3" t="str">
        <f t="shared" si="63"/>
        <v>High</v>
      </c>
      <c r="V1011">
        <v>3</v>
      </c>
      <c r="W1011" t="s">
        <v>31</v>
      </c>
      <c r="X1011" s="2">
        <v>21</v>
      </c>
      <c r="Y1011" t="s">
        <v>62</v>
      </c>
      <c r="Z1011" t="s">
        <v>60</v>
      </c>
      <c r="AA1011">
        <v>1</v>
      </c>
      <c r="AB1011">
        <v>32</v>
      </c>
      <c r="AC1011">
        <v>3</v>
      </c>
      <c r="AD1011">
        <v>3</v>
      </c>
      <c r="AE1011">
        <v>9</v>
      </c>
      <c r="AF1011">
        <v>8</v>
      </c>
      <c r="AG1011">
        <v>1</v>
      </c>
      <c r="AH1011">
        <v>5</v>
      </c>
      <c r="AI1011" t="str">
        <f t="shared" si="60"/>
        <v>6-10 Years</v>
      </c>
      <c r="AJ1011" t="str">
        <f t="shared" si="61"/>
        <v>0-2</v>
      </c>
    </row>
    <row r="1012" spans="1:36" x14ac:dyDescent="0.35">
      <c r="A1012">
        <v>1011</v>
      </c>
      <c r="B1012">
        <v>55</v>
      </c>
      <c r="C1012" t="str">
        <f t="shared" si="62"/>
        <v>46-55</v>
      </c>
      <c r="D1012" t="s">
        <v>38</v>
      </c>
      <c r="E1012" t="s">
        <v>32</v>
      </c>
      <c r="F1012" s="3">
        <v>1389</v>
      </c>
      <c r="G1012" t="s">
        <v>40</v>
      </c>
      <c r="H1012" s="1">
        <v>1</v>
      </c>
      <c r="I1012" t="s">
        <v>60</v>
      </c>
      <c r="J1012" t="s">
        <v>46</v>
      </c>
      <c r="K1012" t="s">
        <v>61</v>
      </c>
      <c r="L1012" t="s">
        <v>41</v>
      </c>
      <c r="M1012" s="3">
        <v>81</v>
      </c>
      <c r="N1012" t="s">
        <v>62</v>
      </c>
      <c r="O1012" t="s">
        <v>62</v>
      </c>
      <c r="P1012" t="s">
        <v>53</v>
      </c>
      <c r="Q1012" t="s">
        <v>62</v>
      </c>
      <c r="R1012" t="s">
        <v>47</v>
      </c>
      <c r="S1012" s="3">
        <v>14732</v>
      </c>
      <c r="T1012" s="3">
        <v>12414</v>
      </c>
      <c r="U1012" s="3" t="str">
        <f t="shared" si="63"/>
        <v>High</v>
      </c>
      <c r="V1012">
        <v>2</v>
      </c>
      <c r="W1012" t="s">
        <v>38</v>
      </c>
      <c r="X1012" s="2">
        <v>13</v>
      </c>
      <c r="Y1012" t="s">
        <v>60</v>
      </c>
      <c r="Z1012" t="s">
        <v>62</v>
      </c>
      <c r="AA1012">
        <v>2</v>
      </c>
      <c r="AB1012">
        <v>31</v>
      </c>
      <c r="AC1012">
        <v>4</v>
      </c>
      <c r="AD1012">
        <v>4</v>
      </c>
      <c r="AE1012">
        <v>7</v>
      </c>
      <c r="AF1012">
        <v>7</v>
      </c>
      <c r="AG1012">
        <v>0</v>
      </c>
      <c r="AH1012">
        <v>0</v>
      </c>
      <c r="AI1012" t="str">
        <f t="shared" si="60"/>
        <v>6-10 Years</v>
      </c>
      <c r="AJ1012" t="str">
        <f t="shared" si="61"/>
        <v>0-2</v>
      </c>
    </row>
    <row r="1013" spans="1:36" x14ac:dyDescent="0.35">
      <c r="A1013">
        <v>1012</v>
      </c>
      <c r="B1013">
        <v>36</v>
      </c>
      <c r="C1013" t="str">
        <f t="shared" si="62"/>
        <v>36-45</v>
      </c>
      <c r="D1013" t="s">
        <v>38</v>
      </c>
      <c r="E1013" t="s">
        <v>32</v>
      </c>
      <c r="F1013" s="3">
        <v>1389</v>
      </c>
      <c r="G1013" t="s">
        <v>33</v>
      </c>
      <c r="H1013" s="1">
        <v>3</v>
      </c>
      <c r="I1013" t="s">
        <v>60</v>
      </c>
      <c r="J1013" t="s">
        <v>54</v>
      </c>
      <c r="K1013" t="s">
        <v>59</v>
      </c>
      <c r="L1013" t="s">
        <v>35</v>
      </c>
      <c r="M1013" s="3">
        <v>99</v>
      </c>
      <c r="N1013" t="s">
        <v>60</v>
      </c>
      <c r="O1013" t="s">
        <v>61</v>
      </c>
      <c r="P1013" t="s">
        <v>36</v>
      </c>
      <c r="Q1013" t="s">
        <v>61</v>
      </c>
      <c r="R1013" t="s">
        <v>37</v>
      </c>
      <c r="S1013" s="3">
        <v>9278</v>
      </c>
      <c r="T1013" s="3">
        <v>20763</v>
      </c>
      <c r="U1013" s="3" t="str">
        <f t="shared" si="63"/>
        <v>Medium</v>
      </c>
      <c r="V1013">
        <v>3</v>
      </c>
      <c r="W1013" t="s">
        <v>31</v>
      </c>
      <c r="X1013" s="2">
        <v>16</v>
      </c>
      <c r="Y1013" t="s">
        <v>60</v>
      </c>
      <c r="Z1013" t="s">
        <v>62</v>
      </c>
      <c r="AA1013">
        <v>0</v>
      </c>
      <c r="AB1013">
        <v>15</v>
      </c>
      <c r="AC1013">
        <v>3</v>
      </c>
      <c r="AD1013">
        <v>3</v>
      </c>
      <c r="AE1013">
        <v>5</v>
      </c>
      <c r="AF1013">
        <v>4</v>
      </c>
      <c r="AG1013">
        <v>0</v>
      </c>
      <c r="AH1013">
        <v>1</v>
      </c>
      <c r="AI1013" t="str">
        <f t="shared" si="60"/>
        <v>3-5 Years</v>
      </c>
      <c r="AJ1013" t="str">
        <f t="shared" si="61"/>
        <v>0-2</v>
      </c>
    </row>
    <row r="1014" spans="1:36" x14ac:dyDescent="0.35">
      <c r="A1014">
        <v>1013</v>
      </c>
      <c r="B1014">
        <v>31</v>
      </c>
      <c r="C1014" t="str">
        <f t="shared" si="62"/>
        <v>26-35</v>
      </c>
      <c r="D1014" t="s">
        <v>31</v>
      </c>
      <c r="E1014" t="s">
        <v>39</v>
      </c>
      <c r="F1014" s="3">
        <v>1389</v>
      </c>
      <c r="G1014" t="s">
        <v>33</v>
      </c>
      <c r="H1014" s="1">
        <v>1</v>
      </c>
      <c r="I1014" t="s">
        <v>60</v>
      </c>
      <c r="J1014" t="s">
        <v>34</v>
      </c>
      <c r="K1014" t="s">
        <v>61</v>
      </c>
      <c r="L1014" t="s">
        <v>35</v>
      </c>
      <c r="M1014" s="3">
        <v>50</v>
      </c>
      <c r="N1014" t="s">
        <v>59</v>
      </c>
      <c r="O1014" t="s">
        <v>59</v>
      </c>
      <c r="P1014" t="s">
        <v>52</v>
      </c>
      <c r="Q1014" t="s">
        <v>60</v>
      </c>
      <c r="R1014" t="s">
        <v>37</v>
      </c>
      <c r="S1014" s="3">
        <v>1359</v>
      </c>
      <c r="T1014" s="3">
        <v>16154</v>
      </c>
      <c r="U1014" s="3" t="str">
        <f t="shared" si="63"/>
        <v>Low</v>
      </c>
      <c r="V1014">
        <v>1</v>
      </c>
      <c r="W1014" t="s">
        <v>38</v>
      </c>
      <c r="X1014" s="2">
        <v>12</v>
      </c>
      <c r="Y1014" t="s">
        <v>60</v>
      </c>
      <c r="Z1014" t="s">
        <v>61</v>
      </c>
      <c r="AA1014">
        <v>0</v>
      </c>
      <c r="AB1014">
        <v>1</v>
      </c>
      <c r="AC1014">
        <v>3</v>
      </c>
      <c r="AD1014">
        <v>3</v>
      </c>
      <c r="AE1014">
        <v>1</v>
      </c>
      <c r="AF1014">
        <v>0</v>
      </c>
      <c r="AG1014">
        <v>0</v>
      </c>
      <c r="AH1014">
        <v>0</v>
      </c>
      <c r="AI1014" t="str">
        <f t="shared" si="60"/>
        <v>0-2 Years</v>
      </c>
      <c r="AJ1014" t="str">
        <f t="shared" si="61"/>
        <v>0-2</v>
      </c>
    </row>
    <row r="1015" spans="1:36" x14ac:dyDescent="0.35">
      <c r="A1015">
        <v>1014</v>
      </c>
      <c r="B1015">
        <v>30</v>
      </c>
      <c r="C1015" t="str">
        <f t="shared" si="62"/>
        <v>26-35</v>
      </c>
      <c r="D1015" t="s">
        <v>38</v>
      </c>
      <c r="E1015" t="s">
        <v>32</v>
      </c>
      <c r="F1015" s="3">
        <v>1389</v>
      </c>
      <c r="G1015" t="s">
        <v>33</v>
      </c>
      <c r="H1015" s="1">
        <v>7</v>
      </c>
      <c r="I1015" t="s">
        <v>60</v>
      </c>
      <c r="J1015" t="s">
        <v>54</v>
      </c>
      <c r="K1015" t="s">
        <v>62</v>
      </c>
      <c r="L1015" t="s">
        <v>35</v>
      </c>
      <c r="M1015" s="3">
        <v>73</v>
      </c>
      <c r="N1015" t="s">
        <v>60</v>
      </c>
      <c r="O1015" t="s">
        <v>61</v>
      </c>
      <c r="P1015" t="s">
        <v>36</v>
      </c>
      <c r="Q1015" t="s">
        <v>59</v>
      </c>
      <c r="R1015" t="s">
        <v>47</v>
      </c>
      <c r="S1015" s="3">
        <v>4779</v>
      </c>
      <c r="T1015" s="3">
        <v>12761</v>
      </c>
      <c r="U1015" s="3" t="str">
        <f t="shared" si="63"/>
        <v>Low</v>
      </c>
      <c r="V1015">
        <v>7</v>
      </c>
      <c r="W1015" t="s">
        <v>38</v>
      </c>
      <c r="X1015" s="2">
        <v>14</v>
      </c>
      <c r="Y1015" t="s">
        <v>60</v>
      </c>
      <c r="Z1015" t="s">
        <v>61</v>
      </c>
      <c r="AA1015">
        <v>2</v>
      </c>
      <c r="AB1015">
        <v>8</v>
      </c>
      <c r="AC1015">
        <v>3</v>
      </c>
      <c r="AD1015">
        <v>3</v>
      </c>
      <c r="AE1015">
        <v>3</v>
      </c>
      <c r="AF1015">
        <v>2</v>
      </c>
      <c r="AG1015">
        <v>0</v>
      </c>
      <c r="AH1015">
        <v>2</v>
      </c>
      <c r="AI1015" t="str">
        <f t="shared" si="60"/>
        <v>3-5 Years</v>
      </c>
      <c r="AJ1015" t="str">
        <f t="shared" si="61"/>
        <v>0-2</v>
      </c>
    </row>
    <row r="1016" spans="1:36" x14ac:dyDescent="0.35">
      <c r="A1016">
        <v>1015</v>
      </c>
      <c r="B1016">
        <v>31</v>
      </c>
      <c r="C1016" t="str">
        <f t="shared" si="62"/>
        <v>26-35</v>
      </c>
      <c r="D1016" t="s">
        <v>38</v>
      </c>
      <c r="E1016" t="s">
        <v>32</v>
      </c>
      <c r="F1016" s="3">
        <v>1389</v>
      </c>
      <c r="G1016" t="s">
        <v>40</v>
      </c>
      <c r="H1016" s="1">
        <v>8</v>
      </c>
      <c r="I1016" t="s">
        <v>62</v>
      </c>
      <c r="J1016" t="s">
        <v>34</v>
      </c>
      <c r="K1016" t="s">
        <v>59</v>
      </c>
      <c r="L1016" t="s">
        <v>35</v>
      </c>
      <c r="M1016" s="3">
        <v>93</v>
      </c>
      <c r="N1016" t="s">
        <v>60</v>
      </c>
      <c r="O1016" t="s">
        <v>62</v>
      </c>
      <c r="P1016" t="s">
        <v>53</v>
      </c>
      <c r="Q1016" t="s">
        <v>61</v>
      </c>
      <c r="R1016" t="s">
        <v>37</v>
      </c>
      <c r="S1016" s="3">
        <v>16422</v>
      </c>
      <c r="T1016" s="3">
        <v>8847</v>
      </c>
      <c r="U1016" s="3" t="str">
        <f t="shared" si="63"/>
        <v>High</v>
      </c>
      <c r="V1016">
        <v>3</v>
      </c>
      <c r="W1016" t="s">
        <v>38</v>
      </c>
      <c r="X1016" s="2">
        <v>11</v>
      </c>
      <c r="Y1016" t="s">
        <v>60</v>
      </c>
      <c r="Z1016" t="s">
        <v>60</v>
      </c>
      <c r="AA1016">
        <v>0</v>
      </c>
      <c r="AB1016">
        <v>9</v>
      </c>
      <c r="AC1016">
        <v>3</v>
      </c>
      <c r="AD1016">
        <v>4</v>
      </c>
      <c r="AE1016">
        <v>3</v>
      </c>
      <c r="AF1016">
        <v>2</v>
      </c>
      <c r="AG1016">
        <v>1</v>
      </c>
      <c r="AH1016">
        <v>0</v>
      </c>
      <c r="AI1016" t="str">
        <f t="shared" si="60"/>
        <v>3-5 Years</v>
      </c>
      <c r="AJ1016" t="str">
        <f t="shared" si="61"/>
        <v>0-2</v>
      </c>
    </row>
    <row r="1017" spans="1:36" x14ac:dyDescent="0.35">
      <c r="A1017">
        <v>1016</v>
      </c>
      <c r="B1017">
        <v>34</v>
      </c>
      <c r="C1017" t="str">
        <f t="shared" si="62"/>
        <v>26-35</v>
      </c>
      <c r="D1017" t="s">
        <v>38</v>
      </c>
      <c r="E1017" t="s">
        <v>39</v>
      </c>
      <c r="F1017" s="3">
        <v>1389</v>
      </c>
      <c r="G1017" t="s">
        <v>40</v>
      </c>
      <c r="H1017" s="1">
        <v>1</v>
      </c>
      <c r="I1017" t="s">
        <v>60</v>
      </c>
      <c r="J1017" t="s">
        <v>44</v>
      </c>
      <c r="K1017" t="s">
        <v>62</v>
      </c>
      <c r="L1017" t="s">
        <v>41</v>
      </c>
      <c r="M1017" s="3">
        <v>91</v>
      </c>
      <c r="N1017" t="s">
        <v>60</v>
      </c>
      <c r="O1017" t="s">
        <v>59</v>
      </c>
      <c r="P1017" t="s">
        <v>42</v>
      </c>
      <c r="Q1017" t="s">
        <v>59</v>
      </c>
      <c r="R1017" t="s">
        <v>47</v>
      </c>
      <c r="S1017" s="3">
        <v>2996</v>
      </c>
      <c r="T1017" s="3">
        <v>20284</v>
      </c>
      <c r="U1017" s="3" t="str">
        <f t="shared" si="63"/>
        <v>Low</v>
      </c>
      <c r="V1017">
        <v>5</v>
      </c>
      <c r="W1017" t="s">
        <v>38</v>
      </c>
      <c r="X1017" s="2">
        <v>14</v>
      </c>
      <c r="Y1017" t="s">
        <v>60</v>
      </c>
      <c r="Z1017" t="s">
        <v>60</v>
      </c>
      <c r="AA1017">
        <v>2</v>
      </c>
      <c r="AB1017">
        <v>10</v>
      </c>
      <c r="AC1017">
        <v>2</v>
      </c>
      <c r="AD1017">
        <v>3</v>
      </c>
      <c r="AE1017">
        <v>4</v>
      </c>
      <c r="AF1017">
        <v>3</v>
      </c>
      <c r="AG1017">
        <v>1</v>
      </c>
      <c r="AH1017">
        <v>3</v>
      </c>
      <c r="AI1017" t="str">
        <f t="shared" si="60"/>
        <v>3-5 Years</v>
      </c>
      <c r="AJ1017" t="str">
        <f t="shared" si="61"/>
        <v>0-2</v>
      </c>
    </row>
    <row r="1018" spans="1:36" x14ac:dyDescent="0.35">
      <c r="A1018">
        <v>1017</v>
      </c>
      <c r="B1018">
        <v>31</v>
      </c>
      <c r="C1018" t="str">
        <f t="shared" si="62"/>
        <v>26-35</v>
      </c>
      <c r="D1018" t="s">
        <v>31</v>
      </c>
      <c r="E1018" t="s">
        <v>32</v>
      </c>
      <c r="F1018" s="3">
        <v>1389</v>
      </c>
      <c r="G1018" t="s">
        <v>40</v>
      </c>
      <c r="H1018" s="1">
        <v>8</v>
      </c>
      <c r="I1018" t="s">
        <v>61</v>
      </c>
      <c r="J1018" t="s">
        <v>34</v>
      </c>
      <c r="K1018" t="s">
        <v>59</v>
      </c>
      <c r="L1018" t="s">
        <v>35</v>
      </c>
      <c r="M1018" s="3">
        <v>34</v>
      </c>
      <c r="N1018" t="s">
        <v>61</v>
      </c>
      <c r="O1018" t="s">
        <v>59</v>
      </c>
      <c r="P1018" t="s">
        <v>42</v>
      </c>
      <c r="Q1018" t="s">
        <v>61</v>
      </c>
      <c r="R1018" t="s">
        <v>37</v>
      </c>
      <c r="S1018" s="3">
        <v>1261</v>
      </c>
      <c r="T1018" s="3">
        <v>22262</v>
      </c>
      <c r="U1018" s="3" t="str">
        <f t="shared" si="63"/>
        <v>Low</v>
      </c>
      <c r="V1018">
        <v>1</v>
      </c>
      <c r="W1018" t="s">
        <v>38</v>
      </c>
      <c r="X1018" s="2">
        <v>12</v>
      </c>
      <c r="Y1018" t="s">
        <v>60</v>
      </c>
      <c r="Z1018" t="s">
        <v>60</v>
      </c>
      <c r="AA1018">
        <v>0</v>
      </c>
      <c r="AB1018">
        <v>1</v>
      </c>
      <c r="AC1018">
        <v>3</v>
      </c>
      <c r="AD1018">
        <v>4</v>
      </c>
      <c r="AE1018">
        <v>1</v>
      </c>
      <c r="AF1018">
        <v>0</v>
      </c>
      <c r="AG1018">
        <v>0</v>
      </c>
      <c r="AH1018">
        <v>0</v>
      </c>
      <c r="AI1018" t="str">
        <f t="shared" si="60"/>
        <v>0-2 Years</v>
      </c>
      <c r="AJ1018" t="str">
        <f t="shared" si="61"/>
        <v>0-2</v>
      </c>
    </row>
    <row r="1019" spans="1:36" x14ac:dyDescent="0.35">
      <c r="A1019">
        <v>1018</v>
      </c>
      <c r="B1019">
        <v>27</v>
      </c>
      <c r="C1019" t="str">
        <f t="shared" si="62"/>
        <v>26-35</v>
      </c>
      <c r="D1019" t="s">
        <v>38</v>
      </c>
      <c r="E1019" t="s">
        <v>32</v>
      </c>
      <c r="F1019" s="3">
        <v>1389</v>
      </c>
      <c r="G1019" t="s">
        <v>40</v>
      </c>
      <c r="H1019" s="1">
        <v>11</v>
      </c>
      <c r="I1019" t="s">
        <v>59</v>
      </c>
      <c r="J1019" t="s">
        <v>34</v>
      </c>
      <c r="K1019" t="s">
        <v>61</v>
      </c>
      <c r="L1019" t="s">
        <v>41</v>
      </c>
      <c r="M1019" s="3">
        <v>91</v>
      </c>
      <c r="N1019" t="s">
        <v>60</v>
      </c>
      <c r="O1019" t="s">
        <v>59</v>
      </c>
      <c r="P1019" t="s">
        <v>45</v>
      </c>
      <c r="Q1019" t="s">
        <v>59</v>
      </c>
      <c r="R1019" t="s">
        <v>43</v>
      </c>
      <c r="S1019" s="3">
        <v>2099</v>
      </c>
      <c r="T1019" s="3">
        <v>7679</v>
      </c>
      <c r="U1019" s="3" t="str">
        <f t="shared" si="63"/>
        <v>Low</v>
      </c>
      <c r="V1019">
        <v>0</v>
      </c>
      <c r="W1019" t="s">
        <v>38</v>
      </c>
      <c r="X1019" s="2">
        <v>14</v>
      </c>
      <c r="Y1019" t="s">
        <v>60</v>
      </c>
      <c r="Z1019" t="s">
        <v>61</v>
      </c>
      <c r="AA1019">
        <v>0</v>
      </c>
      <c r="AB1019">
        <v>6</v>
      </c>
      <c r="AC1019">
        <v>3</v>
      </c>
      <c r="AD1019">
        <v>4</v>
      </c>
      <c r="AE1019">
        <v>5</v>
      </c>
      <c r="AF1019">
        <v>0</v>
      </c>
      <c r="AG1019">
        <v>1</v>
      </c>
      <c r="AH1019">
        <v>4</v>
      </c>
      <c r="AI1019" t="str">
        <f t="shared" si="60"/>
        <v>3-5 Years</v>
      </c>
      <c r="AJ1019" t="str">
        <f t="shared" si="61"/>
        <v>0-2</v>
      </c>
    </row>
    <row r="1020" spans="1:36" x14ac:dyDescent="0.35">
      <c r="A1020">
        <v>1019</v>
      </c>
      <c r="B1020">
        <v>36</v>
      </c>
      <c r="C1020" t="str">
        <f t="shared" si="62"/>
        <v>36-45</v>
      </c>
      <c r="D1020" t="s">
        <v>38</v>
      </c>
      <c r="E1020" t="s">
        <v>32</v>
      </c>
      <c r="F1020" s="3">
        <v>1389</v>
      </c>
      <c r="G1020" t="s">
        <v>40</v>
      </c>
      <c r="H1020" s="1">
        <v>4</v>
      </c>
      <c r="I1020" t="s">
        <v>60</v>
      </c>
      <c r="J1020" t="s">
        <v>34</v>
      </c>
      <c r="K1020" t="s">
        <v>59</v>
      </c>
      <c r="L1020" t="s">
        <v>41</v>
      </c>
      <c r="M1020" s="3">
        <v>37</v>
      </c>
      <c r="N1020" t="s">
        <v>61</v>
      </c>
      <c r="O1020" t="s">
        <v>61</v>
      </c>
      <c r="P1020" t="s">
        <v>45</v>
      </c>
      <c r="Q1020" t="s">
        <v>62</v>
      </c>
      <c r="R1020" t="s">
        <v>37</v>
      </c>
      <c r="S1020" s="3">
        <v>5810</v>
      </c>
      <c r="T1020" s="3">
        <v>22604</v>
      </c>
      <c r="U1020" s="3" t="str">
        <f t="shared" si="63"/>
        <v>Medium</v>
      </c>
      <c r="V1020">
        <v>1</v>
      </c>
      <c r="W1020" t="s">
        <v>38</v>
      </c>
      <c r="X1020" s="2">
        <v>16</v>
      </c>
      <c r="Y1020" t="s">
        <v>60</v>
      </c>
      <c r="Z1020" t="s">
        <v>60</v>
      </c>
      <c r="AA1020">
        <v>0</v>
      </c>
      <c r="AB1020">
        <v>10</v>
      </c>
      <c r="AC1020">
        <v>2</v>
      </c>
      <c r="AD1020">
        <v>2</v>
      </c>
      <c r="AE1020">
        <v>10</v>
      </c>
      <c r="AF1020">
        <v>4</v>
      </c>
      <c r="AG1020">
        <v>1</v>
      </c>
      <c r="AH1020">
        <v>8</v>
      </c>
      <c r="AI1020" t="str">
        <f t="shared" si="60"/>
        <v>6-10 Years</v>
      </c>
      <c r="AJ1020" t="str">
        <f t="shared" si="61"/>
        <v>0-2</v>
      </c>
    </row>
    <row r="1021" spans="1:36" x14ac:dyDescent="0.35">
      <c r="A1021">
        <v>1020</v>
      </c>
      <c r="B1021">
        <v>36</v>
      </c>
      <c r="C1021" t="str">
        <f t="shared" si="62"/>
        <v>36-45</v>
      </c>
      <c r="D1021" t="s">
        <v>38</v>
      </c>
      <c r="E1021" t="s">
        <v>32</v>
      </c>
      <c r="F1021" s="3">
        <v>1389</v>
      </c>
      <c r="G1021" t="s">
        <v>33</v>
      </c>
      <c r="H1021" s="1">
        <v>16</v>
      </c>
      <c r="I1021" t="s">
        <v>60</v>
      </c>
      <c r="J1021" t="s">
        <v>54</v>
      </c>
      <c r="K1021" t="s">
        <v>60</v>
      </c>
      <c r="L1021" t="s">
        <v>35</v>
      </c>
      <c r="M1021" s="3">
        <v>98</v>
      </c>
      <c r="N1021" t="s">
        <v>61</v>
      </c>
      <c r="O1021" t="s">
        <v>61</v>
      </c>
      <c r="P1021" t="s">
        <v>36</v>
      </c>
      <c r="Q1021" t="s">
        <v>59</v>
      </c>
      <c r="R1021" t="s">
        <v>43</v>
      </c>
      <c r="S1021" s="3">
        <v>5647</v>
      </c>
      <c r="T1021" s="3">
        <v>13494</v>
      </c>
      <c r="U1021" s="3" t="str">
        <f t="shared" si="63"/>
        <v>Medium</v>
      </c>
      <c r="V1021">
        <v>4</v>
      </c>
      <c r="W1021" t="s">
        <v>38</v>
      </c>
      <c r="X1021" s="2">
        <v>13</v>
      </c>
      <c r="Y1021" t="s">
        <v>60</v>
      </c>
      <c r="Z1021" t="s">
        <v>59</v>
      </c>
      <c r="AA1021">
        <v>2</v>
      </c>
      <c r="AB1021">
        <v>11</v>
      </c>
      <c r="AC1021">
        <v>3</v>
      </c>
      <c r="AD1021">
        <v>2</v>
      </c>
      <c r="AE1021">
        <v>3</v>
      </c>
      <c r="AF1021">
        <v>2</v>
      </c>
      <c r="AG1021">
        <v>0</v>
      </c>
      <c r="AH1021">
        <v>2</v>
      </c>
      <c r="AI1021" t="str">
        <f t="shared" si="60"/>
        <v>3-5 Years</v>
      </c>
      <c r="AJ1021" t="str">
        <f t="shared" si="61"/>
        <v>0-2</v>
      </c>
    </row>
    <row r="1022" spans="1:36" x14ac:dyDescent="0.35">
      <c r="A1022">
        <v>1021</v>
      </c>
      <c r="B1022">
        <v>47</v>
      </c>
      <c r="C1022" t="str">
        <f t="shared" si="62"/>
        <v>46-55</v>
      </c>
      <c r="D1022" t="s">
        <v>38</v>
      </c>
      <c r="E1022" t="s">
        <v>32</v>
      </c>
      <c r="F1022" s="3">
        <v>1389</v>
      </c>
      <c r="G1022" t="s">
        <v>40</v>
      </c>
      <c r="H1022" s="1">
        <v>1</v>
      </c>
      <c r="I1022" t="s">
        <v>61</v>
      </c>
      <c r="J1022" t="s">
        <v>55</v>
      </c>
      <c r="K1022" t="s">
        <v>59</v>
      </c>
      <c r="L1022" t="s">
        <v>41</v>
      </c>
      <c r="M1022" s="3">
        <v>74</v>
      </c>
      <c r="N1022" t="s">
        <v>60</v>
      </c>
      <c r="O1022" t="s">
        <v>59</v>
      </c>
      <c r="P1022" t="s">
        <v>42</v>
      </c>
      <c r="Q1022" t="s">
        <v>62</v>
      </c>
      <c r="R1022" t="s">
        <v>43</v>
      </c>
      <c r="S1022" s="3">
        <v>3420</v>
      </c>
      <c r="T1022" s="3">
        <v>10205</v>
      </c>
      <c r="U1022" s="3" t="str">
        <f t="shared" si="63"/>
        <v>Low</v>
      </c>
      <c r="V1022">
        <v>7</v>
      </c>
      <c r="W1022" t="s">
        <v>38</v>
      </c>
      <c r="X1022" s="2">
        <v>12</v>
      </c>
      <c r="Y1022" t="s">
        <v>60</v>
      </c>
      <c r="Z1022" t="s">
        <v>60</v>
      </c>
      <c r="AA1022">
        <v>1</v>
      </c>
      <c r="AB1022">
        <v>17</v>
      </c>
      <c r="AC1022">
        <v>2</v>
      </c>
      <c r="AD1022">
        <v>2</v>
      </c>
      <c r="AE1022">
        <v>6</v>
      </c>
      <c r="AF1022">
        <v>5</v>
      </c>
      <c r="AG1022">
        <v>1</v>
      </c>
      <c r="AH1022">
        <v>2</v>
      </c>
      <c r="AI1022" t="str">
        <f t="shared" si="60"/>
        <v>6-10 Years</v>
      </c>
      <c r="AJ1022" t="str">
        <f t="shared" si="61"/>
        <v>0-2</v>
      </c>
    </row>
    <row r="1023" spans="1:36" x14ac:dyDescent="0.35">
      <c r="A1023">
        <v>1022</v>
      </c>
      <c r="B1023">
        <v>25</v>
      </c>
      <c r="C1023" t="str">
        <f t="shared" si="62"/>
        <v>18-25</v>
      </c>
      <c r="D1023" t="s">
        <v>31</v>
      </c>
      <c r="E1023" t="s">
        <v>32</v>
      </c>
      <c r="F1023" s="3">
        <v>1389</v>
      </c>
      <c r="G1023" t="s">
        <v>33</v>
      </c>
      <c r="H1023" s="1">
        <v>9</v>
      </c>
      <c r="I1023" t="s">
        <v>58</v>
      </c>
      <c r="J1023" t="s">
        <v>34</v>
      </c>
      <c r="K1023" t="s">
        <v>59</v>
      </c>
      <c r="L1023" t="s">
        <v>41</v>
      </c>
      <c r="M1023" s="3">
        <v>68</v>
      </c>
      <c r="N1023" t="s">
        <v>61</v>
      </c>
      <c r="O1023" t="s">
        <v>59</v>
      </c>
      <c r="P1023" t="s">
        <v>52</v>
      </c>
      <c r="Q1023" t="s">
        <v>59</v>
      </c>
      <c r="R1023" t="s">
        <v>43</v>
      </c>
      <c r="S1023" s="3">
        <v>4400</v>
      </c>
      <c r="T1023" s="3">
        <v>15182</v>
      </c>
      <c r="U1023" s="3" t="str">
        <f t="shared" si="63"/>
        <v>Low</v>
      </c>
      <c r="V1023">
        <v>3</v>
      </c>
      <c r="W1023" t="s">
        <v>38</v>
      </c>
      <c r="X1023" s="2">
        <v>12</v>
      </c>
      <c r="Y1023" t="s">
        <v>60</v>
      </c>
      <c r="Z1023" t="s">
        <v>59</v>
      </c>
      <c r="AA1023">
        <v>0</v>
      </c>
      <c r="AB1023">
        <v>6</v>
      </c>
      <c r="AC1023">
        <v>2</v>
      </c>
      <c r="AD1023">
        <v>3</v>
      </c>
      <c r="AE1023">
        <v>3</v>
      </c>
      <c r="AF1023">
        <v>2</v>
      </c>
      <c r="AG1023">
        <v>2</v>
      </c>
      <c r="AH1023">
        <v>2</v>
      </c>
      <c r="AI1023" t="str">
        <f t="shared" si="60"/>
        <v>3-5 Years</v>
      </c>
      <c r="AJ1023" t="str">
        <f t="shared" si="61"/>
        <v>0-2</v>
      </c>
    </row>
    <row r="1024" spans="1:36" x14ac:dyDescent="0.35">
      <c r="A1024">
        <v>1023</v>
      </c>
      <c r="B1024">
        <v>37</v>
      </c>
      <c r="C1024" t="str">
        <f t="shared" si="62"/>
        <v>36-45</v>
      </c>
      <c r="D1024" t="s">
        <v>38</v>
      </c>
      <c r="E1024" t="s">
        <v>50</v>
      </c>
      <c r="F1024" s="3">
        <v>1389</v>
      </c>
      <c r="G1024" t="s">
        <v>40</v>
      </c>
      <c r="H1024" s="1">
        <v>5</v>
      </c>
      <c r="I1024" t="s">
        <v>58</v>
      </c>
      <c r="J1024" t="s">
        <v>55</v>
      </c>
      <c r="K1024" t="s">
        <v>60</v>
      </c>
      <c r="L1024" t="s">
        <v>41</v>
      </c>
      <c r="M1024" s="3">
        <v>84</v>
      </c>
      <c r="N1024" t="s">
        <v>62</v>
      </c>
      <c r="O1024" t="s">
        <v>59</v>
      </c>
      <c r="P1024" t="s">
        <v>45</v>
      </c>
      <c r="Q1024" t="s">
        <v>60</v>
      </c>
      <c r="R1024" t="s">
        <v>37</v>
      </c>
      <c r="S1024" s="3">
        <v>3500</v>
      </c>
      <c r="T1024" s="3">
        <v>25470</v>
      </c>
      <c r="U1024" s="3" t="str">
        <f t="shared" si="63"/>
        <v>Low</v>
      </c>
      <c r="V1024">
        <v>0</v>
      </c>
      <c r="W1024" t="s">
        <v>38</v>
      </c>
      <c r="X1024" s="2">
        <v>14</v>
      </c>
      <c r="Y1024" t="s">
        <v>60</v>
      </c>
      <c r="Z1024" t="s">
        <v>59</v>
      </c>
      <c r="AA1024">
        <v>0</v>
      </c>
      <c r="AB1024">
        <v>7</v>
      </c>
      <c r="AC1024">
        <v>2</v>
      </c>
      <c r="AD1024">
        <v>1</v>
      </c>
      <c r="AE1024">
        <v>6</v>
      </c>
      <c r="AF1024">
        <v>5</v>
      </c>
      <c r="AG1024">
        <v>1</v>
      </c>
      <c r="AH1024">
        <v>3</v>
      </c>
      <c r="AI1024" t="str">
        <f t="shared" si="60"/>
        <v>6-10 Years</v>
      </c>
      <c r="AJ1024" t="str">
        <f t="shared" si="61"/>
        <v>0-2</v>
      </c>
    </row>
    <row r="1025" spans="1:36" x14ac:dyDescent="0.35">
      <c r="A1025">
        <v>1024</v>
      </c>
      <c r="B1025">
        <v>56</v>
      </c>
      <c r="C1025" t="str">
        <f t="shared" si="62"/>
        <v>55+</v>
      </c>
      <c r="D1025" t="s">
        <v>38</v>
      </c>
      <c r="E1025" t="s">
        <v>32</v>
      </c>
      <c r="F1025" s="3">
        <v>1389</v>
      </c>
      <c r="G1025" t="s">
        <v>40</v>
      </c>
      <c r="H1025" s="1">
        <v>1</v>
      </c>
      <c r="I1025" t="s">
        <v>58</v>
      </c>
      <c r="J1025" t="s">
        <v>34</v>
      </c>
      <c r="K1025" t="s">
        <v>59</v>
      </c>
      <c r="L1025" t="s">
        <v>35</v>
      </c>
      <c r="M1025" s="3">
        <v>90</v>
      </c>
      <c r="N1025" t="s">
        <v>60</v>
      </c>
      <c r="O1025" t="s">
        <v>59</v>
      </c>
      <c r="P1025" t="s">
        <v>42</v>
      </c>
      <c r="Q1025" t="s">
        <v>59</v>
      </c>
      <c r="R1025" t="s">
        <v>43</v>
      </c>
      <c r="S1025" s="3">
        <v>2066</v>
      </c>
      <c r="T1025" s="3">
        <v>10494</v>
      </c>
      <c r="U1025" s="3" t="str">
        <f t="shared" si="63"/>
        <v>Low</v>
      </c>
      <c r="V1025">
        <v>2</v>
      </c>
      <c r="W1025" t="s">
        <v>38</v>
      </c>
      <c r="X1025" s="2">
        <v>22</v>
      </c>
      <c r="Y1025" t="s">
        <v>62</v>
      </c>
      <c r="Z1025" t="s">
        <v>62</v>
      </c>
      <c r="AA1025">
        <v>1</v>
      </c>
      <c r="AB1025">
        <v>5</v>
      </c>
      <c r="AC1025">
        <v>3</v>
      </c>
      <c r="AD1025">
        <v>4</v>
      </c>
      <c r="AE1025">
        <v>3</v>
      </c>
      <c r="AF1025">
        <v>2</v>
      </c>
      <c r="AG1025">
        <v>1</v>
      </c>
      <c r="AH1025">
        <v>0</v>
      </c>
      <c r="AI1025" t="str">
        <f t="shared" si="60"/>
        <v>3-5 Years</v>
      </c>
      <c r="AJ1025" t="str">
        <f t="shared" si="61"/>
        <v>0-2</v>
      </c>
    </row>
    <row r="1026" spans="1:36" x14ac:dyDescent="0.35">
      <c r="A1026">
        <v>1025</v>
      </c>
      <c r="B1026">
        <v>47</v>
      </c>
      <c r="C1026" t="str">
        <f t="shared" si="62"/>
        <v>46-55</v>
      </c>
      <c r="D1026" t="s">
        <v>38</v>
      </c>
      <c r="E1026" t="s">
        <v>32</v>
      </c>
      <c r="F1026" s="3">
        <v>1389</v>
      </c>
      <c r="G1026" t="s">
        <v>40</v>
      </c>
      <c r="H1026" s="1">
        <v>2</v>
      </c>
      <c r="I1026" t="s">
        <v>60</v>
      </c>
      <c r="J1026" t="s">
        <v>46</v>
      </c>
      <c r="K1026" t="s">
        <v>59</v>
      </c>
      <c r="L1026" t="s">
        <v>35</v>
      </c>
      <c r="M1026" s="3">
        <v>82</v>
      </c>
      <c r="N1026" t="s">
        <v>60</v>
      </c>
      <c r="O1026" t="s">
        <v>62</v>
      </c>
      <c r="P1026" t="s">
        <v>53</v>
      </c>
      <c r="Q1026" t="s">
        <v>60</v>
      </c>
      <c r="R1026" t="s">
        <v>43</v>
      </c>
      <c r="S1026" s="3">
        <v>17169</v>
      </c>
      <c r="T1026" s="3">
        <v>26703</v>
      </c>
      <c r="U1026" s="3" t="str">
        <f t="shared" si="63"/>
        <v>High</v>
      </c>
      <c r="V1026">
        <v>3</v>
      </c>
      <c r="W1026" t="s">
        <v>38</v>
      </c>
      <c r="X1026" s="2">
        <v>19</v>
      </c>
      <c r="Y1026" t="s">
        <v>60</v>
      </c>
      <c r="Z1026" t="s">
        <v>61</v>
      </c>
      <c r="AA1026">
        <v>2</v>
      </c>
      <c r="AB1026">
        <v>26</v>
      </c>
      <c r="AC1026">
        <v>2</v>
      </c>
      <c r="AD1026">
        <v>4</v>
      </c>
      <c r="AE1026">
        <v>20</v>
      </c>
      <c r="AF1026">
        <v>17</v>
      </c>
      <c r="AG1026">
        <v>5</v>
      </c>
      <c r="AH1026">
        <v>6</v>
      </c>
      <c r="AI1026" t="str">
        <f t="shared" ref="AI1026:AI1089" si="64">IF(AE1026&lt;=2,"0-2 Years",
IF(AE1026&lt;=5,"3-5 Years",
IF(AE1026&lt;=10,"6-10 Years","10+ Years")))</f>
        <v>10+ Years</v>
      </c>
      <c r="AJ1026" t="str">
        <f t="shared" ref="AJ1026:AJ1089" si="65">IF(AG1026&lt;=2,"0-2",
IF(AG1026&lt;=5,"3-5","6+"))</f>
        <v>3-5</v>
      </c>
    </row>
    <row r="1027" spans="1:36" x14ac:dyDescent="0.35">
      <c r="A1027">
        <v>1026</v>
      </c>
      <c r="B1027">
        <v>24</v>
      </c>
      <c r="C1027" t="str">
        <f t="shared" ref="C1027:C1090" si="66">IF(B1027&lt;=25,"18-25",
IF(B1027&lt;=35,"26-35",
IF(B1027&lt;=45,"36-45",
IF(B1027&lt;=55,"46-55","55+"))))</f>
        <v>18-25</v>
      </c>
      <c r="D1027" t="s">
        <v>38</v>
      </c>
      <c r="E1027" t="s">
        <v>32</v>
      </c>
      <c r="F1027" s="3">
        <v>1389</v>
      </c>
      <c r="G1027" t="s">
        <v>33</v>
      </c>
      <c r="H1027" s="1">
        <v>4</v>
      </c>
      <c r="I1027" t="s">
        <v>59</v>
      </c>
      <c r="J1027" t="s">
        <v>46</v>
      </c>
      <c r="K1027" t="s">
        <v>62</v>
      </c>
      <c r="L1027" t="s">
        <v>35</v>
      </c>
      <c r="M1027" s="3">
        <v>42</v>
      </c>
      <c r="N1027" t="s">
        <v>60</v>
      </c>
      <c r="O1027" t="s">
        <v>61</v>
      </c>
      <c r="P1027" t="s">
        <v>36</v>
      </c>
      <c r="Q1027" t="s">
        <v>60</v>
      </c>
      <c r="R1027" t="s">
        <v>43</v>
      </c>
      <c r="S1027" s="3">
        <v>4162</v>
      </c>
      <c r="T1027" s="3">
        <v>15211</v>
      </c>
      <c r="U1027" s="3" t="str">
        <f t="shared" ref="U1027:U1090" si="67">_xlfn.IFS(S1027&lt;5000,"Low",S1027&lt;10000,"Medium",S1027&gt;10000,"High")</f>
        <v>Low</v>
      </c>
      <c r="V1027">
        <v>1</v>
      </c>
      <c r="W1027" t="s">
        <v>31</v>
      </c>
      <c r="X1027" s="2">
        <v>12</v>
      </c>
      <c r="Y1027" t="s">
        <v>60</v>
      </c>
      <c r="Z1027" t="s">
        <v>60</v>
      </c>
      <c r="AA1027">
        <v>2</v>
      </c>
      <c r="AB1027">
        <v>5</v>
      </c>
      <c r="AC1027">
        <v>3</v>
      </c>
      <c r="AD1027">
        <v>3</v>
      </c>
      <c r="AE1027">
        <v>5</v>
      </c>
      <c r="AF1027">
        <v>4</v>
      </c>
      <c r="AG1027">
        <v>0</v>
      </c>
      <c r="AH1027">
        <v>3</v>
      </c>
      <c r="AI1027" t="str">
        <f t="shared" si="64"/>
        <v>3-5 Years</v>
      </c>
      <c r="AJ1027" t="str">
        <f t="shared" si="65"/>
        <v>0-2</v>
      </c>
    </row>
    <row r="1028" spans="1:36" x14ac:dyDescent="0.35">
      <c r="A1028">
        <v>1027</v>
      </c>
      <c r="B1028">
        <v>32</v>
      </c>
      <c r="C1028" t="str">
        <f t="shared" si="66"/>
        <v>26-35</v>
      </c>
      <c r="D1028" t="s">
        <v>38</v>
      </c>
      <c r="E1028" t="s">
        <v>32</v>
      </c>
      <c r="F1028" s="3">
        <v>1389</v>
      </c>
      <c r="G1028" t="s">
        <v>33</v>
      </c>
      <c r="H1028" s="1">
        <v>7</v>
      </c>
      <c r="I1028" t="s">
        <v>62</v>
      </c>
      <c r="J1028" t="s">
        <v>54</v>
      </c>
      <c r="K1028" t="s">
        <v>62</v>
      </c>
      <c r="L1028" t="s">
        <v>41</v>
      </c>
      <c r="M1028" s="3">
        <v>97</v>
      </c>
      <c r="N1028" t="s">
        <v>60</v>
      </c>
      <c r="O1028" t="s">
        <v>61</v>
      </c>
      <c r="P1028" t="s">
        <v>36</v>
      </c>
      <c r="Q1028" t="s">
        <v>62</v>
      </c>
      <c r="R1028" t="s">
        <v>43</v>
      </c>
      <c r="S1028" s="3">
        <v>9204</v>
      </c>
      <c r="T1028" s="3">
        <v>23343</v>
      </c>
      <c r="U1028" s="3" t="str">
        <f t="shared" si="67"/>
        <v>Medium</v>
      </c>
      <c r="V1028">
        <v>4</v>
      </c>
      <c r="W1028" t="s">
        <v>38</v>
      </c>
      <c r="X1028" s="2">
        <v>12</v>
      </c>
      <c r="Y1028" t="s">
        <v>60</v>
      </c>
      <c r="Z1028" t="s">
        <v>60</v>
      </c>
      <c r="AA1028">
        <v>1</v>
      </c>
      <c r="AB1028">
        <v>7</v>
      </c>
      <c r="AC1028">
        <v>3</v>
      </c>
      <c r="AD1028">
        <v>2</v>
      </c>
      <c r="AE1028">
        <v>4</v>
      </c>
      <c r="AF1028">
        <v>3</v>
      </c>
      <c r="AG1028">
        <v>0</v>
      </c>
      <c r="AH1028">
        <v>3</v>
      </c>
      <c r="AI1028" t="str">
        <f t="shared" si="64"/>
        <v>3-5 Years</v>
      </c>
      <c r="AJ1028" t="str">
        <f t="shared" si="65"/>
        <v>0-2</v>
      </c>
    </row>
    <row r="1029" spans="1:36" x14ac:dyDescent="0.35">
      <c r="A1029">
        <v>1028</v>
      </c>
      <c r="B1029">
        <v>34</v>
      </c>
      <c r="C1029" t="str">
        <f t="shared" si="66"/>
        <v>26-35</v>
      </c>
      <c r="D1029" t="s">
        <v>38</v>
      </c>
      <c r="E1029" t="s">
        <v>32</v>
      </c>
      <c r="F1029" s="3">
        <v>1389</v>
      </c>
      <c r="G1029" t="s">
        <v>40</v>
      </c>
      <c r="H1029" s="1">
        <v>1</v>
      </c>
      <c r="I1029" t="s">
        <v>61</v>
      </c>
      <c r="J1029" t="s">
        <v>34</v>
      </c>
      <c r="K1029" t="s">
        <v>62</v>
      </c>
      <c r="L1029" t="s">
        <v>35</v>
      </c>
      <c r="M1029" s="3">
        <v>86</v>
      </c>
      <c r="N1029" t="s">
        <v>61</v>
      </c>
      <c r="O1029" t="s">
        <v>59</v>
      </c>
      <c r="P1029" t="s">
        <v>45</v>
      </c>
      <c r="Q1029" t="s">
        <v>61</v>
      </c>
      <c r="R1029" t="s">
        <v>43</v>
      </c>
      <c r="S1029" s="3">
        <v>3294</v>
      </c>
      <c r="T1029" s="3">
        <v>3708</v>
      </c>
      <c r="U1029" s="3" t="str">
        <f t="shared" si="67"/>
        <v>Low</v>
      </c>
      <c r="V1029">
        <v>5</v>
      </c>
      <c r="W1029" t="s">
        <v>38</v>
      </c>
      <c r="X1029" s="2">
        <v>17</v>
      </c>
      <c r="Y1029" t="s">
        <v>60</v>
      </c>
      <c r="Z1029" t="s">
        <v>59</v>
      </c>
      <c r="AA1029">
        <v>1</v>
      </c>
      <c r="AB1029">
        <v>7</v>
      </c>
      <c r="AC1029">
        <v>2</v>
      </c>
      <c r="AD1029">
        <v>2</v>
      </c>
      <c r="AE1029">
        <v>5</v>
      </c>
      <c r="AF1029">
        <v>4</v>
      </c>
      <c r="AG1029">
        <v>0</v>
      </c>
      <c r="AH1029">
        <v>2</v>
      </c>
      <c r="AI1029" t="str">
        <f t="shared" si="64"/>
        <v>3-5 Years</v>
      </c>
      <c r="AJ1029" t="str">
        <f t="shared" si="65"/>
        <v>0-2</v>
      </c>
    </row>
    <row r="1030" spans="1:36" x14ac:dyDescent="0.35">
      <c r="A1030">
        <v>1029</v>
      </c>
      <c r="B1030">
        <v>41</v>
      </c>
      <c r="C1030" t="str">
        <f t="shared" si="66"/>
        <v>36-45</v>
      </c>
      <c r="D1030" t="s">
        <v>38</v>
      </c>
      <c r="E1030" t="s">
        <v>32</v>
      </c>
      <c r="F1030" s="3">
        <v>1389</v>
      </c>
      <c r="G1030" t="s">
        <v>40</v>
      </c>
      <c r="H1030" s="1">
        <v>5</v>
      </c>
      <c r="I1030" t="s">
        <v>62</v>
      </c>
      <c r="J1030" t="s">
        <v>46</v>
      </c>
      <c r="K1030" t="s">
        <v>61</v>
      </c>
      <c r="L1030" t="s">
        <v>41</v>
      </c>
      <c r="M1030" s="3">
        <v>90</v>
      </c>
      <c r="N1030" t="s">
        <v>62</v>
      </c>
      <c r="O1030" t="s">
        <v>59</v>
      </c>
      <c r="P1030" t="s">
        <v>42</v>
      </c>
      <c r="Q1030" t="s">
        <v>60</v>
      </c>
      <c r="R1030" t="s">
        <v>43</v>
      </c>
      <c r="S1030" s="3">
        <v>2127</v>
      </c>
      <c r="T1030" s="3">
        <v>5561</v>
      </c>
      <c r="U1030" s="3" t="str">
        <f t="shared" si="67"/>
        <v>Low</v>
      </c>
      <c r="V1030">
        <v>2</v>
      </c>
      <c r="W1030" t="s">
        <v>31</v>
      </c>
      <c r="X1030" s="2">
        <v>12</v>
      </c>
      <c r="Y1030" t="s">
        <v>60</v>
      </c>
      <c r="Z1030" t="s">
        <v>59</v>
      </c>
      <c r="AA1030">
        <v>0</v>
      </c>
      <c r="AB1030">
        <v>7</v>
      </c>
      <c r="AC1030">
        <v>5</v>
      </c>
      <c r="AD1030">
        <v>2</v>
      </c>
      <c r="AE1030">
        <v>4</v>
      </c>
      <c r="AF1030">
        <v>2</v>
      </c>
      <c r="AG1030">
        <v>0</v>
      </c>
      <c r="AH1030">
        <v>3</v>
      </c>
      <c r="AI1030" t="str">
        <f t="shared" si="64"/>
        <v>3-5 Years</v>
      </c>
      <c r="AJ1030" t="str">
        <f t="shared" si="65"/>
        <v>0-2</v>
      </c>
    </row>
    <row r="1031" spans="1:36" x14ac:dyDescent="0.35">
      <c r="A1031">
        <v>1030</v>
      </c>
      <c r="B1031">
        <v>40</v>
      </c>
      <c r="C1031" t="str">
        <f t="shared" si="66"/>
        <v>36-45</v>
      </c>
      <c r="D1031" t="s">
        <v>38</v>
      </c>
      <c r="E1031" t="s">
        <v>50</v>
      </c>
      <c r="F1031" s="3">
        <v>1389</v>
      </c>
      <c r="G1031" t="s">
        <v>40</v>
      </c>
      <c r="H1031" s="1">
        <v>9</v>
      </c>
      <c r="I1031" t="s">
        <v>60</v>
      </c>
      <c r="J1031" t="s">
        <v>44</v>
      </c>
      <c r="K1031" t="s">
        <v>60</v>
      </c>
      <c r="L1031" t="s">
        <v>41</v>
      </c>
      <c r="M1031" s="3">
        <v>81</v>
      </c>
      <c r="N1031" t="s">
        <v>60</v>
      </c>
      <c r="O1031" t="s">
        <v>61</v>
      </c>
      <c r="P1031" t="s">
        <v>45</v>
      </c>
      <c r="Q1031" t="s">
        <v>60</v>
      </c>
      <c r="R1031" t="s">
        <v>47</v>
      </c>
      <c r="S1031" s="3">
        <v>3975</v>
      </c>
      <c r="T1031" s="3">
        <v>23099</v>
      </c>
      <c r="U1031" s="3" t="str">
        <f t="shared" si="67"/>
        <v>Low</v>
      </c>
      <c r="V1031">
        <v>3</v>
      </c>
      <c r="W1031" t="s">
        <v>38</v>
      </c>
      <c r="X1031" s="2">
        <v>11</v>
      </c>
      <c r="Y1031" t="s">
        <v>60</v>
      </c>
      <c r="Z1031" t="s">
        <v>60</v>
      </c>
      <c r="AA1031">
        <v>2</v>
      </c>
      <c r="AB1031">
        <v>11</v>
      </c>
      <c r="AC1031">
        <v>2</v>
      </c>
      <c r="AD1031">
        <v>4</v>
      </c>
      <c r="AE1031">
        <v>8</v>
      </c>
      <c r="AF1031">
        <v>7</v>
      </c>
      <c r="AG1031">
        <v>0</v>
      </c>
      <c r="AH1031">
        <v>7</v>
      </c>
      <c r="AI1031" t="str">
        <f t="shared" si="64"/>
        <v>6-10 Years</v>
      </c>
      <c r="AJ1031" t="str">
        <f t="shared" si="65"/>
        <v>0-2</v>
      </c>
    </row>
    <row r="1032" spans="1:36" x14ac:dyDescent="0.35">
      <c r="A1032">
        <v>1031</v>
      </c>
      <c r="B1032">
        <v>31</v>
      </c>
      <c r="C1032" t="str">
        <f t="shared" si="66"/>
        <v>26-35</v>
      </c>
      <c r="D1032" t="s">
        <v>38</v>
      </c>
      <c r="E1032" t="s">
        <v>32</v>
      </c>
      <c r="F1032" s="3">
        <v>1389</v>
      </c>
      <c r="G1032" t="s">
        <v>33</v>
      </c>
      <c r="H1032" s="1">
        <v>8</v>
      </c>
      <c r="I1032" t="s">
        <v>58</v>
      </c>
      <c r="J1032" t="s">
        <v>34</v>
      </c>
      <c r="K1032" t="s">
        <v>59</v>
      </c>
      <c r="L1032" t="s">
        <v>41</v>
      </c>
      <c r="M1032" s="3">
        <v>31</v>
      </c>
      <c r="N1032" t="s">
        <v>60</v>
      </c>
      <c r="O1032" t="s">
        <v>60</v>
      </c>
      <c r="P1032" t="s">
        <v>36</v>
      </c>
      <c r="Q1032" t="s">
        <v>62</v>
      </c>
      <c r="R1032" t="s">
        <v>47</v>
      </c>
      <c r="S1032" s="3">
        <v>10793</v>
      </c>
      <c r="T1032" s="3">
        <v>8386</v>
      </c>
      <c r="U1032" s="3" t="str">
        <f t="shared" si="67"/>
        <v>High</v>
      </c>
      <c r="V1032">
        <v>1</v>
      </c>
      <c r="W1032" t="s">
        <v>38</v>
      </c>
      <c r="X1032" s="2">
        <v>18</v>
      </c>
      <c r="Y1032" t="s">
        <v>60</v>
      </c>
      <c r="Z1032" t="s">
        <v>59</v>
      </c>
      <c r="AA1032">
        <v>1</v>
      </c>
      <c r="AB1032">
        <v>13</v>
      </c>
      <c r="AC1032">
        <v>5</v>
      </c>
      <c r="AD1032">
        <v>3</v>
      </c>
      <c r="AE1032">
        <v>13</v>
      </c>
      <c r="AF1032">
        <v>7</v>
      </c>
      <c r="AG1032">
        <v>9</v>
      </c>
      <c r="AH1032">
        <v>9</v>
      </c>
      <c r="AI1032" t="str">
        <f t="shared" si="64"/>
        <v>10+ Years</v>
      </c>
      <c r="AJ1032" t="str">
        <f t="shared" si="65"/>
        <v>6+</v>
      </c>
    </row>
    <row r="1033" spans="1:36" x14ac:dyDescent="0.35">
      <c r="A1033">
        <v>1032</v>
      </c>
      <c r="B1033">
        <v>46</v>
      </c>
      <c r="C1033" t="str">
        <f t="shared" si="66"/>
        <v>46-55</v>
      </c>
      <c r="D1033" t="s">
        <v>31</v>
      </c>
      <c r="E1033" t="s">
        <v>32</v>
      </c>
      <c r="F1033" s="3">
        <v>1389</v>
      </c>
      <c r="G1033" t="s">
        <v>33</v>
      </c>
      <c r="H1033" s="1">
        <v>9</v>
      </c>
      <c r="I1033" t="s">
        <v>61</v>
      </c>
      <c r="J1033" t="s">
        <v>54</v>
      </c>
      <c r="K1033" t="s">
        <v>59</v>
      </c>
      <c r="L1033" t="s">
        <v>41</v>
      </c>
      <c r="M1033" s="3">
        <v>52</v>
      </c>
      <c r="N1033" t="s">
        <v>60</v>
      </c>
      <c r="O1033" t="s">
        <v>60</v>
      </c>
      <c r="P1033" t="s">
        <v>36</v>
      </c>
      <c r="Q1033" t="s">
        <v>62</v>
      </c>
      <c r="R1033" t="s">
        <v>47</v>
      </c>
      <c r="S1033" s="3">
        <v>10096</v>
      </c>
      <c r="T1033" s="3">
        <v>15986</v>
      </c>
      <c r="U1033" s="3" t="str">
        <f t="shared" si="67"/>
        <v>High</v>
      </c>
      <c r="V1033">
        <v>4</v>
      </c>
      <c r="W1033" t="s">
        <v>38</v>
      </c>
      <c r="X1033" s="2">
        <v>11</v>
      </c>
      <c r="Y1033" t="s">
        <v>60</v>
      </c>
      <c r="Z1033" t="s">
        <v>59</v>
      </c>
      <c r="AA1033">
        <v>1</v>
      </c>
      <c r="AB1033">
        <v>28</v>
      </c>
      <c r="AC1033">
        <v>1</v>
      </c>
      <c r="AD1033">
        <v>4</v>
      </c>
      <c r="AE1033">
        <v>7</v>
      </c>
      <c r="AF1033">
        <v>7</v>
      </c>
      <c r="AG1033">
        <v>4</v>
      </c>
      <c r="AH1033">
        <v>3</v>
      </c>
      <c r="AI1033" t="str">
        <f t="shared" si="64"/>
        <v>6-10 Years</v>
      </c>
      <c r="AJ1033" t="str">
        <f t="shared" si="65"/>
        <v>3-5</v>
      </c>
    </row>
    <row r="1034" spans="1:36" x14ac:dyDescent="0.35">
      <c r="A1034">
        <v>1033</v>
      </c>
      <c r="B1034">
        <v>39</v>
      </c>
      <c r="C1034" t="str">
        <f t="shared" si="66"/>
        <v>36-45</v>
      </c>
      <c r="D1034" t="s">
        <v>31</v>
      </c>
      <c r="E1034" t="s">
        <v>50</v>
      </c>
      <c r="F1034" s="3">
        <v>1389</v>
      </c>
      <c r="G1034" t="s">
        <v>40</v>
      </c>
      <c r="H1034" s="1">
        <v>2</v>
      </c>
      <c r="I1034" t="s">
        <v>61</v>
      </c>
      <c r="J1034" t="s">
        <v>34</v>
      </c>
      <c r="K1034" t="s">
        <v>59</v>
      </c>
      <c r="L1034" t="s">
        <v>35</v>
      </c>
      <c r="M1034" s="3">
        <v>54</v>
      </c>
      <c r="N1034" t="s">
        <v>61</v>
      </c>
      <c r="O1034" t="s">
        <v>59</v>
      </c>
      <c r="P1034" t="s">
        <v>45</v>
      </c>
      <c r="Q1034" t="s">
        <v>59</v>
      </c>
      <c r="R1034" t="s">
        <v>37</v>
      </c>
      <c r="S1034" s="3">
        <v>3646</v>
      </c>
      <c r="T1034" s="3">
        <v>17181</v>
      </c>
      <c r="U1034" s="3" t="str">
        <f t="shared" si="67"/>
        <v>Low</v>
      </c>
      <c r="V1034">
        <v>2</v>
      </c>
      <c r="W1034" t="s">
        <v>31</v>
      </c>
      <c r="X1034" s="2">
        <v>23</v>
      </c>
      <c r="Y1034" t="s">
        <v>62</v>
      </c>
      <c r="Z1034" t="s">
        <v>61</v>
      </c>
      <c r="AA1034">
        <v>0</v>
      </c>
      <c r="AB1034">
        <v>11</v>
      </c>
      <c r="AC1034">
        <v>2</v>
      </c>
      <c r="AD1034">
        <v>4</v>
      </c>
      <c r="AE1034">
        <v>1</v>
      </c>
      <c r="AF1034">
        <v>0</v>
      </c>
      <c r="AG1034">
        <v>0</v>
      </c>
      <c r="AH1034">
        <v>0</v>
      </c>
      <c r="AI1034" t="str">
        <f t="shared" si="64"/>
        <v>0-2 Years</v>
      </c>
      <c r="AJ1034" t="str">
        <f t="shared" si="65"/>
        <v>0-2</v>
      </c>
    </row>
    <row r="1035" spans="1:36" x14ac:dyDescent="0.35">
      <c r="A1035">
        <v>1034</v>
      </c>
      <c r="B1035">
        <v>31</v>
      </c>
      <c r="C1035" t="str">
        <f t="shared" si="66"/>
        <v>26-35</v>
      </c>
      <c r="D1035" t="s">
        <v>31</v>
      </c>
      <c r="E1035" t="s">
        <v>39</v>
      </c>
      <c r="F1035" s="3">
        <v>1389</v>
      </c>
      <c r="G1035" t="s">
        <v>40</v>
      </c>
      <c r="H1035" s="1">
        <v>1</v>
      </c>
      <c r="I1035" t="s">
        <v>62</v>
      </c>
      <c r="J1035" t="s">
        <v>34</v>
      </c>
      <c r="K1035" t="s">
        <v>60</v>
      </c>
      <c r="L1035" t="s">
        <v>35</v>
      </c>
      <c r="M1035" s="3">
        <v>100</v>
      </c>
      <c r="N1035" t="s">
        <v>62</v>
      </c>
      <c r="O1035" t="s">
        <v>60</v>
      </c>
      <c r="P1035" t="s">
        <v>48</v>
      </c>
      <c r="Q1035" t="s">
        <v>61</v>
      </c>
      <c r="R1035" t="s">
        <v>37</v>
      </c>
      <c r="S1035" s="3">
        <v>7446</v>
      </c>
      <c r="T1035" s="3">
        <v>8931</v>
      </c>
      <c r="U1035" s="3" t="str">
        <f t="shared" si="67"/>
        <v>Medium</v>
      </c>
      <c r="V1035">
        <v>1</v>
      </c>
      <c r="W1035" t="s">
        <v>38</v>
      </c>
      <c r="X1035" s="2">
        <v>11</v>
      </c>
      <c r="Y1035" t="s">
        <v>60</v>
      </c>
      <c r="Z1035" t="s">
        <v>59</v>
      </c>
      <c r="AA1035">
        <v>0</v>
      </c>
      <c r="AB1035">
        <v>10</v>
      </c>
      <c r="AC1035">
        <v>2</v>
      </c>
      <c r="AD1035">
        <v>3</v>
      </c>
      <c r="AE1035">
        <v>10</v>
      </c>
      <c r="AF1035">
        <v>8</v>
      </c>
      <c r="AG1035">
        <v>4</v>
      </c>
      <c r="AH1035">
        <v>7</v>
      </c>
      <c r="AI1035" t="str">
        <f t="shared" si="64"/>
        <v>6-10 Years</v>
      </c>
      <c r="AJ1035" t="str">
        <f t="shared" si="65"/>
        <v>3-5</v>
      </c>
    </row>
    <row r="1036" spans="1:36" x14ac:dyDescent="0.35">
      <c r="A1036">
        <v>1035</v>
      </c>
      <c r="B1036">
        <v>45</v>
      </c>
      <c r="C1036" t="str">
        <f t="shared" si="66"/>
        <v>36-45</v>
      </c>
      <c r="D1036" t="s">
        <v>38</v>
      </c>
      <c r="E1036" t="s">
        <v>32</v>
      </c>
      <c r="F1036" s="3">
        <v>1389</v>
      </c>
      <c r="G1036" t="s">
        <v>40</v>
      </c>
      <c r="H1036" s="1">
        <v>20</v>
      </c>
      <c r="I1036" t="s">
        <v>61</v>
      </c>
      <c r="J1036" t="s">
        <v>46</v>
      </c>
      <c r="K1036" t="s">
        <v>61</v>
      </c>
      <c r="L1036" t="s">
        <v>41</v>
      </c>
      <c r="M1036" s="3">
        <v>95</v>
      </c>
      <c r="N1036" t="s">
        <v>59</v>
      </c>
      <c r="O1036" t="s">
        <v>60</v>
      </c>
      <c r="P1036" t="s">
        <v>49</v>
      </c>
      <c r="Q1036" t="s">
        <v>59</v>
      </c>
      <c r="R1036" t="s">
        <v>47</v>
      </c>
      <c r="S1036" s="3">
        <v>10851</v>
      </c>
      <c r="T1036" s="3">
        <v>19863</v>
      </c>
      <c r="U1036" s="3" t="str">
        <f t="shared" si="67"/>
        <v>High</v>
      </c>
      <c r="V1036">
        <v>2</v>
      </c>
      <c r="W1036" t="s">
        <v>31</v>
      </c>
      <c r="X1036" s="2">
        <v>18</v>
      </c>
      <c r="Y1036" t="s">
        <v>60</v>
      </c>
      <c r="Z1036" t="s">
        <v>61</v>
      </c>
      <c r="AA1036">
        <v>1</v>
      </c>
      <c r="AB1036">
        <v>24</v>
      </c>
      <c r="AC1036">
        <v>2</v>
      </c>
      <c r="AD1036">
        <v>3</v>
      </c>
      <c r="AE1036">
        <v>7</v>
      </c>
      <c r="AF1036">
        <v>7</v>
      </c>
      <c r="AG1036">
        <v>0</v>
      </c>
      <c r="AH1036">
        <v>7</v>
      </c>
      <c r="AI1036" t="str">
        <f t="shared" si="64"/>
        <v>6-10 Years</v>
      </c>
      <c r="AJ1036" t="str">
        <f t="shared" si="65"/>
        <v>0-2</v>
      </c>
    </row>
    <row r="1037" spans="1:36" x14ac:dyDescent="0.35">
      <c r="A1037">
        <v>1036</v>
      </c>
      <c r="B1037">
        <v>31</v>
      </c>
      <c r="C1037" t="str">
        <f t="shared" si="66"/>
        <v>26-35</v>
      </c>
      <c r="D1037" t="s">
        <v>38</v>
      </c>
      <c r="E1037" t="s">
        <v>32</v>
      </c>
      <c r="F1037" s="3">
        <v>1389</v>
      </c>
      <c r="G1037" t="s">
        <v>56</v>
      </c>
      <c r="H1037" s="1">
        <v>8</v>
      </c>
      <c r="I1037" t="s">
        <v>58</v>
      </c>
      <c r="J1037" t="s">
        <v>46</v>
      </c>
      <c r="K1037" t="s">
        <v>62</v>
      </c>
      <c r="L1037" t="s">
        <v>35</v>
      </c>
      <c r="M1037" s="3">
        <v>96</v>
      </c>
      <c r="N1037" t="s">
        <v>62</v>
      </c>
      <c r="O1037" t="s">
        <v>59</v>
      </c>
      <c r="P1037" t="s">
        <v>56</v>
      </c>
      <c r="Q1037" t="s">
        <v>61</v>
      </c>
      <c r="R1037" t="s">
        <v>37</v>
      </c>
      <c r="S1037" s="3">
        <v>2109</v>
      </c>
      <c r="T1037" s="3">
        <v>24609</v>
      </c>
      <c r="U1037" s="3" t="str">
        <f t="shared" si="67"/>
        <v>Low</v>
      </c>
      <c r="V1037">
        <v>9</v>
      </c>
      <c r="W1037" t="s">
        <v>38</v>
      </c>
      <c r="X1037" s="2">
        <v>18</v>
      </c>
      <c r="Y1037" t="s">
        <v>60</v>
      </c>
      <c r="Z1037" t="s">
        <v>62</v>
      </c>
      <c r="AA1037">
        <v>0</v>
      </c>
      <c r="AB1037">
        <v>8</v>
      </c>
      <c r="AC1037">
        <v>3</v>
      </c>
      <c r="AD1037">
        <v>3</v>
      </c>
      <c r="AE1037">
        <v>3</v>
      </c>
      <c r="AF1037">
        <v>2</v>
      </c>
      <c r="AG1037">
        <v>0</v>
      </c>
      <c r="AH1037">
        <v>2</v>
      </c>
      <c r="AI1037" t="str">
        <f t="shared" si="64"/>
        <v>3-5 Years</v>
      </c>
      <c r="AJ1037" t="str">
        <f t="shared" si="65"/>
        <v>0-2</v>
      </c>
    </row>
    <row r="1038" spans="1:36" x14ac:dyDescent="0.35">
      <c r="A1038">
        <v>1037</v>
      </c>
      <c r="B1038">
        <v>31</v>
      </c>
      <c r="C1038" t="str">
        <f t="shared" si="66"/>
        <v>26-35</v>
      </c>
      <c r="D1038" t="s">
        <v>31</v>
      </c>
      <c r="E1038" t="s">
        <v>39</v>
      </c>
      <c r="F1038" s="3">
        <v>1389</v>
      </c>
      <c r="G1038" t="s">
        <v>40</v>
      </c>
      <c r="H1038" s="1">
        <v>2</v>
      </c>
      <c r="I1038" t="s">
        <v>61</v>
      </c>
      <c r="J1038" t="s">
        <v>34</v>
      </c>
      <c r="K1038" t="s">
        <v>61</v>
      </c>
      <c r="L1038" t="s">
        <v>41</v>
      </c>
      <c r="M1038" s="3">
        <v>94</v>
      </c>
      <c r="N1038" t="s">
        <v>60</v>
      </c>
      <c r="O1038" t="s">
        <v>59</v>
      </c>
      <c r="P1038" t="s">
        <v>45</v>
      </c>
      <c r="Q1038" t="s">
        <v>62</v>
      </c>
      <c r="R1038" t="s">
        <v>43</v>
      </c>
      <c r="S1038" s="3">
        <v>3722</v>
      </c>
      <c r="T1038" s="3">
        <v>21081</v>
      </c>
      <c r="U1038" s="3" t="str">
        <f t="shared" si="67"/>
        <v>Low</v>
      </c>
      <c r="V1038">
        <v>6</v>
      </c>
      <c r="W1038" t="s">
        <v>31</v>
      </c>
      <c r="X1038" s="2">
        <v>13</v>
      </c>
      <c r="Y1038" t="s">
        <v>60</v>
      </c>
      <c r="Z1038" t="s">
        <v>60</v>
      </c>
      <c r="AA1038">
        <v>1</v>
      </c>
      <c r="AB1038">
        <v>7</v>
      </c>
      <c r="AC1038">
        <v>2</v>
      </c>
      <c r="AD1038">
        <v>1</v>
      </c>
      <c r="AE1038">
        <v>2</v>
      </c>
      <c r="AF1038">
        <v>2</v>
      </c>
      <c r="AG1038">
        <v>2</v>
      </c>
      <c r="AH1038">
        <v>2</v>
      </c>
      <c r="AI1038" t="str">
        <f t="shared" si="64"/>
        <v>0-2 Years</v>
      </c>
      <c r="AJ1038" t="str">
        <f t="shared" si="65"/>
        <v>0-2</v>
      </c>
    </row>
    <row r="1039" spans="1:36" x14ac:dyDescent="0.35">
      <c r="A1039">
        <v>1038</v>
      </c>
      <c r="B1039">
        <v>45</v>
      </c>
      <c r="C1039" t="str">
        <f t="shared" si="66"/>
        <v>36-45</v>
      </c>
      <c r="D1039" t="s">
        <v>38</v>
      </c>
      <c r="E1039" t="s">
        <v>32</v>
      </c>
      <c r="F1039" s="3">
        <v>1389</v>
      </c>
      <c r="G1039" t="s">
        <v>40</v>
      </c>
      <c r="H1039" s="1">
        <v>29</v>
      </c>
      <c r="I1039" t="s">
        <v>61</v>
      </c>
      <c r="J1039" t="s">
        <v>55</v>
      </c>
      <c r="K1039" t="s">
        <v>61</v>
      </c>
      <c r="L1039" t="s">
        <v>41</v>
      </c>
      <c r="M1039" s="3">
        <v>55</v>
      </c>
      <c r="N1039" t="s">
        <v>60</v>
      </c>
      <c r="O1039" t="s">
        <v>60</v>
      </c>
      <c r="P1039" t="s">
        <v>48</v>
      </c>
      <c r="Q1039" t="s">
        <v>62</v>
      </c>
      <c r="R1039" t="s">
        <v>43</v>
      </c>
      <c r="S1039" s="3">
        <v>9380</v>
      </c>
      <c r="T1039" s="3">
        <v>14720</v>
      </c>
      <c r="U1039" s="3" t="str">
        <f t="shared" si="67"/>
        <v>Medium</v>
      </c>
      <c r="V1039">
        <v>4</v>
      </c>
      <c r="W1039" t="s">
        <v>31</v>
      </c>
      <c r="X1039" s="2">
        <v>18</v>
      </c>
      <c r="Y1039" t="s">
        <v>60</v>
      </c>
      <c r="Z1039" t="s">
        <v>62</v>
      </c>
      <c r="AA1039">
        <v>2</v>
      </c>
      <c r="AB1039">
        <v>10</v>
      </c>
      <c r="AC1039">
        <v>4</v>
      </c>
      <c r="AD1039">
        <v>4</v>
      </c>
      <c r="AE1039">
        <v>3</v>
      </c>
      <c r="AF1039">
        <v>1</v>
      </c>
      <c r="AG1039">
        <v>1</v>
      </c>
      <c r="AH1039">
        <v>2</v>
      </c>
      <c r="AI1039" t="str">
        <f t="shared" si="64"/>
        <v>3-5 Years</v>
      </c>
      <c r="AJ1039" t="str">
        <f t="shared" si="65"/>
        <v>0-2</v>
      </c>
    </row>
    <row r="1040" spans="1:36" x14ac:dyDescent="0.35">
      <c r="A1040">
        <v>1039</v>
      </c>
      <c r="B1040">
        <v>48</v>
      </c>
      <c r="C1040" t="str">
        <f t="shared" si="66"/>
        <v>46-55</v>
      </c>
      <c r="D1040" t="s">
        <v>38</v>
      </c>
      <c r="E1040" t="s">
        <v>32</v>
      </c>
      <c r="F1040" s="3">
        <v>1389</v>
      </c>
      <c r="G1040" t="s">
        <v>33</v>
      </c>
      <c r="H1040" s="1">
        <v>7</v>
      </c>
      <c r="I1040" t="s">
        <v>61</v>
      </c>
      <c r="J1040" t="s">
        <v>54</v>
      </c>
      <c r="K1040" t="s">
        <v>60</v>
      </c>
      <c r="L1040" t="s">
        <v>41</v>
      </c>
      <c r="M1040" s="3">
        <v>96</v>
      </c>
      <c r="N1040" t="s">
        <v>60</v>
      </c>
      <c r="O1040" t="s">
        <v>61</v>
      </c>
      <c r="P1040" t="s">
        <v>36</v>
      </c>
      <c r="Q1040" t="s">
        <v>59</v>
      </c>
      <c r="R1040" t="s">
        <v>47</v>
      </c>
      <c r="S1040" s="3">
        <v>5486</v>
      </c>
      <c r="T1040" s="3">
        <v>24795</v>
      </c>
      <c r="U1040" s="3" t="str">
        <f t="shared" si="67"/>
        <v>Medium</v>
      </c>
      <c r="V1040">
        <v>4</v>
      </c>
      <c r="W1040" t="s">
        <v>38</v>
      </c>
      <c r="X1040" s="2">
        <v>11</v>
      </c>
      <c r="Y1040" t="s">
        <v>60</v>
      </c>
      <c r="Z1040" t="s">
        <v>59</v>
      </c>
      <c r="AA1040">
        <v>3</v>
      </c>
      <c r="AB1040">
        <v>15</v>
      </c>
      <c r="AC1040">
        <v>3</v>
      </c>
      <c r="AD1040">
        <v>3</v>
      </c>
      <c r="AE1040">
        <v>2</v>
      </c>
      <c r="AF1040">
        <v>2</v>
      </c>
      <c r="AG1040">
        <v>2</v>
      </c>
      <c r="AH1040">
        <v>2</v>
      </c>
      <c r="AI1040" t="str">
        <f t="shared" si="64"/>
        <v>0-2 Years</v>
      </c>
      <c r="AJ1040" t="str">
        <f t="shared" si="65"/>
        <v>0-2</v>
      </c>
    </row>
    <row r="1041" spans="1:36" x14ac:dyDescent="0.35">
      <c r="A1041">
        <v>1040</v>
      </c>
      <c r="B1041">
        <v>34</v>
      </c>
      <c r="C1041" t="str">
        <f t="shared" si="66"/>
        <v>26-35</v>
      </c>
      <c r="D1041" t="s">
        <v>31</v>
      </c>
      <c r="E1041" t="s">
        <v>32</v>
      </c>
      <c r="F1041" s="3">
        <v>1389</v>
      </c>
      <c r="G1041" t="s">
        <v>56</v>
      </c>
      <c r="H1041" s="1">
        <v>9</v>
      </c>
      <c r="I1041" t="s">
        <v>60</v>
      </c>
      <c r="J1041" t="s">
        <v>55</v>
      </c>
      <c r="K1041" t="s">
        <v>59</v>
      </c>
      <c r="L1041" t="s">
        <v>35</v>
      </c>
      <c r="M1041" s="3">
        <v>52</v>
      </c>
      <c r="N1041" t="s">
        <v>60</v>
      </c>
      <c r="O1041" t="s">
        <v>59</v>
      </c>
      <c r="P1041" t="s">
        <v>56</v>
      </c>
      <c r="Q1041" t="s">
        <v>60</v>
      </c>
      <c r="R1041" t="s">
        <v>43</v>
      </c>
      <c r="S1041" s="3">
        <v>2742</v>
      </c>
      <c r="T1041" s="3">
        <v>3072</v>
      </c>
      <c r="U1041" s="3" t="str">
        <f t="shared" si="67"/>
        <v>Low</v>
      </c>
      <c r="V1041">
        <v>1</v>
      </c>
      <c r="W1041" t="s">
        <v>38</v>
      </c>
      <c r="X1041" s="2">
        <v>15</v>
      </c>
      <c r="Y1041" t="s">
        <v>60</v>
      </c>
      <c r="Z1041" t="s">
        <v>62</v>
      </c>
      <c r="AA1041">
        <v>0</v>
      </c>
      <c r="AB1041">
        <v>2</v>
      </c>
      <c r="AC1041">
        <v>0</v>
      </c>
      <c r="AD1041">
        <v>3</v>
      </c>
      <c r="AE1041">
        <v>2</v>
      </c>
      <c r="AF1041">
        <v>2</v>
      </c>
      <c r="AG1041">
        <v>2</v>
      </c>
      <c r="AH1041">
        <v>2</v>
      </c>
      <c r="AI1041" t="str">
        <f t="shared" si="64"/>
        <v>0-2 Years</v>
      </c>
      <c r="AJ1041" t="str">
        <f t="shared" si="65"/>
        <v>0-2</v>
      </c>
    </row>
    <row r="1042" spans="1:36" x14ac:dyDescent="0.35">
      <c r="A1042">
        <v>1041</v>
      </c>
      <c r="B1042">
        <v>40</v>
      </c>
      <c r="C1042" t="str">
        <f t="shared" si="66"/>
        <v>36-45</v>
      </c>
      <c r="D1042" t="s">
        <v>38</v>
      </c>
      <c r="E1042" t="s">
        <v>50</v>
      </c>
      <c r="F1042" s="3">
        <v>1389</v>
      </c>
      <c r="G1042" t="s">
        <v>40</v>
      </c>
      <c r="H1042" s="1">
        <v>8</v>
      </c>
      <c r="I1042" t="s">
        <v>59</v>
      </c>
      <c r="J1042" t="s">
        <v>46</v>
      </c>
      <c r="K1042" t="s">
        <v>62</v>
      </c>
      <c r="L1042" t="s">
        <v>41</v>
      </c>
      <c r="M1042" s="3">
        <v>55</v>
      </c>
      <c r="N1042" t="s">
        <v>61</v>
      </c>
      <c r="O1042" t="s">
        <v>60</v>
      </c>
      <c r="P1042" t="s">
        <v>53</v>
      </c>
      <c r="Q1042" t="s">
        <v>61</v>
      </c>
      <c r="R1042" t="s">
        <v>47</v>
      </c>
      <c r="S1042" s="3">
        <v>13757</v>
      </c>
      <c r="T1042" s="3">
        <v>25178</v>
      </c>
      <c r="U1042" s="3" t="str">
        <f t="shared" si="67"/>
        <v>High</v>
      </c>
      <c r="V1042">
        <v>2</v>
      </c>
      <c r="W1042" t="s">
        <v>38</v>
      </c>
      <c r="X1042" s="2">
        <v>11</v>
      </c>
      <c r="Y1042" t="s">
        <v>60</v>
      </c>
      <c r="Z1042" t="s">
        <v>60</v>
      </c>
      <c r="AA1042">
        <v>1</v>
      </c>
      <c r="AB1042">
        <v>16</v>
      </c>
      <c r="AC1042">
        <v>5</v>
      </c>
      <c r="AD1042">
        <v>3</v>
      </c>
      <c r="AE1042">
        <v>9</v>
      </c>
      <c r="AF1042">
        <v>8</v>
      </c>
      <c r="AG1042">
        <v>4</v>
      </c>
      <c r="AH1042">
        <v>8</v>
      </c>
      <c r="AI1042" t="str">
        <f t="shared" si="64"/>
        <v>6-10 Years</v>
      </c>
      <c r="AJ1042" t="str">
        <f t="shared" si="65"/>
        <v>3-5</v>
      </c>
    </row>
    <row r="1043" spans="1:36" x14ac:dyDescent="0.35">
      <c r="A1043">
        <v>1042</v>
      </c>
      <c r="B1043">
        <v>28</v>
      </c>
      <c r="C1043" t="str">
        <f t="shared" si="66"/>
        <v>26-35</v>
      </c>
      <c r="D1043" t="s">
        <v>38</v>
      </c>
      <c r="E1043" t="s">
        <v>32</v>
      </c>
      <c r="F1043" s="3">
        <v>1389</v>
      </c>
      <c r="G1043" t="s">
        <v>33</v>
      </c>
      <c r="H1043" s="1">
        <v>5</v>
      </c>
      <c r="I1043" t="s">
        <v>61</v>
      </c>
      <c r="J1043" t="s">
        <v>46</v>
      </c>
      <c r="K1043" t="s">
        <v>62</v>
      </c>
      <c r="L1043" t="s">
        <v>41</v>
      </c>
      <c r="M1043" s="3">
        <v>84</v>
      </c>
      <c r="N1043" t="s">
        <v>60</v>
      </c>
      <c r="O1043" t="s">
        <v>61</v>
      </c>
      <c r="P1043" t="s">
        <v>36</v>
      </c>
      <c r="Q1043" t="s">
        <v>59</v>
      </c>
      <c r="R1043" t="s">
        <v>37</v>
      </c>
      <c r="S1043" s="3">
        <v>8463</v>
      </c>
      <c r="T1043" s="3">
        <v>23490</v>
      </c>
      <c r="U1043" s="3" t="str">
        <f t="shared" si="67"/>
        <v>Medium</v>
      </c>
      <c r="V1043">
        <v>0</v>
      </c>
      <c r="W1043" t="s">
        <v>38</v>
      </c>
      <c r="X1043" s="2">
        <v>18</v>
      </c>
      <c r="Y1043" t="s">
        <v>60</v>
      </c>
      <c r="Z1043" t="s">
        <v>62</v>
      </c>
      <c r="AA1043">
        <v>0</v>
      </c>
      <c r="AB1043">
        <v>6</v>
      </c>
      <c r="AC1043">
        <v>4</v>
      </c>
      <c r="AD1043">
        <v>3</v>
      </c>
      <c r="AE1043">
        <v>5</v>
      </c>
      <c r="AF1043">
        <v>4</v>
      </c>
      <c r="AG1043">
        <v>1</v>
      </c>
      <c r="AH1043">
        <v>3</v>
      </c>
      <c r="AI1043" t="str">
        <f t="shared" si="64"/>
        <v>3-5 Years</v>
      </c>
      <c r="AJ1043" t="str">
        <f t="shared" si="65"/>
        <v>0-2</v>
      </c>
    </row>
    <row r="1044" spans="1:36" x14ac:dyDescent="0.35">
      <c r="A1044">
        <v>1043</v>
      </c>
      <c r="B1044">
        <v>44</v>
      </c>
      <c r="C1044" t="str">
        <f t="shared" si="66"/>
        <v>36-45</v>
      </c>
      <c r="D1044" t="s">
        <v>38</v>
      </c>
      <c r="E1044" t="s">
        <v>50</v>
      </c>
      <c r="F1044" s="3">
        <v>1389</v>
      </c>
      <c r="G1044" t="s">
        <v>40</v>
      </c>
      <c r="H1044" s="1">
        <v>5</v>
      </c>
      <c r="I1044" t="s">
        <v>61</v>
      </c>
      <c r="J1044" t="s">
        <v>34</v>
      </c>
      <c r="K1044" t="s">
        <v>60</v>
      </c>
      <c r="L1044" t="s">
        <v>41</v>
      </c>
      <c r="M1044" s="3">
        <v>90</v>
      </c>
      <c r="N1044" t="s">
        <v>61</v>
      </c>
      <c r="O1044" t="s">
        <v>59</v>
      </c>
      <c r="P1044" t="s">
        <v>45</v>
      </c>
      <c r="Q1044" t="s">
        <v>60</v>
      </c>
      <c r="R1044" t="s">
        <v>37</v>
      </c>
      <c r="S1044" s="3">
        <v>3162</v>
      </c>
      <c r="T1044" s="3">
        <v>7973</v>
      </c>
      <c r="U1044" s="3" t="str">
        <f t="shared" si="67"/>
        <v>Low</v>
      </c>
      <c r="V1044">
        <v>3</v>
      </c>
      <c r="W1044" t="s">
        <v>38</v>
      </c>
      <c r="X1044" s="2">
        <v>14</v>
      </c>
      <c r="Y1044" t="s">
        <v>60</v>
      </c>
      <c r="Z1044" t="s">
        <v>62</v>
      </c>
      <c r="AA1044">
        <v>0</v>
      </c>
      <c r="AB1044">
        <v>7</v>
      </c>
      <c r="AC1044">
        <v>5</v>
      </c>
      <c r="AD1044">
        <v>3</v>
      </c>
      <c r="AE1044">
        <v>5</v>
      </c>
      <c r="AF1044">
        <v>2</v>
      </c>
      <c r="AG1044">
        <v>0</v>
      </c>
      <c r="AH1044">
        <v>3</v>
      </c>
      <c r="AI1044" t="str">
        <f t="shared" si="64"/>
        <v>3-5 Years</v>
      </c>
      <c r="AJ1044" t="str">
        <f t="shared" si="65"/>
        <v>0-2</v>
      </c>
    </row>
    <row r="1045" spans="1:36" x14ac:dyDescent="0.35">
      <c r="A1045">
        <v>1044</v>
      </c>
      <c r="B1045">
        <v>53</v>
      </c>
      <c r="C1045" t="str">
        <f t="shared" si="66"/>
        <v>46-55</v>
      </c>
      <c r="D1045" t="s">
        <v>38</v>
      </c>
      <c r="E1045" t="s">
        <v>32</v>
      </c>
      <c r="F1045" s="3">
        <v>1389</v>
      </c>
      <c r="G1045" t="s">
        <v>40</v>
      </c>
      <c r="H1045" s="1">
        <v>2</v>
      </c>
      <c r="I1045" t="s">
        <v>61</v>
      </c>
      <c r="J1045" t="s">
        <v>46</v>
      </c>
      <c r="K1045" t="s">
        <v>62</v>
      </c>
      <c r="L1045" t="s">
        <v>41</v>
      </c>
      <c r="M1045" s="3">
        <v>39</v>
      </c>
      <c r="N1045" t="s">
        <v>62</v>
      </c>
      <c r="O1045" t="s">
        <v>62</v>
      </c>
      <c r="P1045" t="s">
        <v>53</v>
      </c>
      <c r="Q1045" t="s">
        <v>61</v>
      </c>
      <c r="R1045" t="s">
        <v>37</v>
      </c>
      <c r="S1045" s="3">
        <v>16598</v>
      </c>
      <c r="T1045" s="3">
        <v>19764</v>
      </c>
      <c r="U1045" s="3" t="str">
        <f t="shared" si="67"/>
        <v>High</v>
      </c>
      <c r="V1045">
        <v>4</v>
      </c>
      <c r="W1045" t="s">
        <v>38</v>
      </c>
      <c r="X1045" s="2">
        <v>12</v>
      </c>
      <c r="Y1045" t="s">
        <v>60</v>
      </c>
      <c r="Z1045" t="s">
        <v>61</v>
      </c>
      <c r="AA1045">
        <v>0</v>
      </c>
      <c r="AB1045">
        <v>35</v>
      </c>
      <c r="AC1045">
        <v>2</v>
      </c>
      <c r="AD1045">
        <v>2</v>
      </c>
      <c r="AE1045">
        <v>9</v>
      </c>
      <c r="AF1045">
        <v>8</v>
      </c>
      <c r="AG1045">
        <v>8</v>
      </c>
      <c r="AH1045">
        <v>8</v>
      </c>
      <c r="AI1045" t="str">
        <f t="shared" si="64"/>
        <v>6-10 Years</v>
      </c>
      <c r="AJ1045" t="str">
        <f t="shared" si="65"/>
        <v>6+</v>
      </c>
    </row>
    <row r="1046" spans="1:36" x14ac:dyDescent="0.35">
      <c r="A1046">
        <v>1045</v>
      </c>
      <c r="B1046">
        <v>49</v>
      </c>
      <c r="C1046" t="str">
        <f t="shared" si="66"/>
        <v>46-55</v>
      </c>
      <c r="D1046" t="s">
        <v>38</v>
      </c>
      <c r="E1046" t="s">
        <v>32</v>
      </c>
      <c r="F1046" s="3">
        <v>1389</v>
      </c>
      <c r="G1046" t="s">
        <v>40</v>
      </c>
      <c r="H1046" s="1">
        <v>5</v>
      </c>
      <c r="I1046" t="s">
        <v>60</v>
      </c>
      <c r="J1046" t="s">
        <v>55</v>
      </c>
      <c r="K1046" t="s">
        <v>59</v>
      </c>
      <c r="L1046" t="s">
        <v>41</v>
      </c>
      <c r="M1046" s="3">
        <v>96</v>
      </c>
      <c r="N1046" t="s">
        <v>60</v>
      </c>
      <c r="O1046" t="s">
        <v>61</v>
      </c>
      <c r="P1046" t="s">
        <v>49</v>
      </c>
      <c r="Q1046" t="s">
        <v>60</v>
      </c>
      <c r="R1046" t="s">
        <v>43</v>
      </c>
      <c r="S1046" s="3">
        <v>6651</v>
      </c>
      <c r="T1046" s="3">
        <v>21534</v>
      </c>
      <c r="U1046" s="3" t="str">
        <f t="shared" si="67"/>
        <v>Medium</v>
      </c>
      <c r="V1046">
        <v>2</v>
      </c>
      <c r="W1046" t="s">
        <v>38</v>
      </c>
      <c r="X1046" s="2">
        <v>14</v>
      </c>
      <c r="Y1046" t="s">
        <v>60</v>
      </c>
      <c r="Z1046" t="s">
        <v>61</v>
      </c>
      <c r="AA1046">
        <v>1</v>
      </c>
      <c r="AB1046">
        <v>20</v>
      </c>
      <c r="AC1046">
        <v>0</v>
      </c>
      <c r="AD1046">
        <v>2</v>
      </c>
      <c r="AE1046">
        <v>3</v>
      </c>
      <c r="AF1046">
        <v>2</v>
      </c>
      <c r="AG1046">
        <v>1</v>
      </c>
      <c r="AH1046">
        <v>2</v>
      </c>
      <c r="AI1046" t="str">
        <f t="shared" si="64"/>
        <v>3-5 Years</v>
      </c>
      <c r="AJ1046" t="str">
        <f t="shared" si="65"/>
        <v>0-2</v>
      </c>
    </row>
    <row r="1047" spans="1:36" x14ac:dyDescent="0.35">
      <c r="A1047">
        <v>1046</v>
      </c>
      <c r="B1047">
        <v>40</v>
      </c>
      <c r="C1047" t="str">
        <f t="shared" si="66"/>
        <v>36-45</v>
      </c>
      <c r="D1047" t="s">
        <v>38</v>
      </c>
      <c r="E1047" t="s">
        <v>32</v>
      </c>
      <c r="F1047" s="3">
        <v>1389</v>
      </c>
      <c r="G1047" t="s">
        <v>40</v>
      </c>
      <c r="H1047" s="1">
        <v>2</v>
      </c>
      <c r="I1047" t="s">
        <v>61</v>
      </c>
      <c r="J1047" t="s">
        <v>46</v>
      </c>
      <c r="K1047" t="s">
        <v>60</v>
      </c>
      <c r="L1047" t="s">
        <v>41</v>
      </c>
      <c r="M1047" s="3">
        <v>68</v>
      </c>
      <c r="N1047" t="s">
        <v>60</v>
      </c>
      <c r="O1047" t="s">
        <v>59</v>
      </c>
      <c r="P1047" t="s">
        <v>42</v>
      </c>
      <c r="Q1047" t="s">
        <v>60</v>
      </c>
      <c r="R1047" t="s">
        <v>47</v>
      </c>
      <c r="S1047" s="3">
        <v>2345</v>
      </c>
      <c r="T1047" s="3">
        <v>8045</v>
      </c>
      <c r="U1047" s="3" t="str">
        <f t="shared" si="67"/>
        <v>Low</v>
      </c>
      <c r="V1047">
        <v>2</v>
      </c>
      <c r="W1047" t="s">
        <v>38</v>
      </c>
      <c r="X1047" s="2">
        <v>14</v>
      </c>
      <c r="Y1047" t="s">
        <v>60</v>
      </c>
      <c r="Z1047" t="s">
        <v>60</v>
      </c>
      <c r="AA1047">
        <v>1</v>
      </c>
      <c r="AB1047">
        <v>8</v>
      </c>
      <c r="AC1047">
        <v>3</v>
      </c>
      <c r="AD1047">
        <v>4</v>
      </c>
      <c r="AE1047">
        <v>3</v>
      </c>
      <c r="AF1047">
        <v>1</v>
      </c>
      <c r="AG1047">
        <v>1</v>
      </c>
      <c r="AH1047">
        <v>2</v>
      </c>
      <c r="AI1047" t="str">
        <f t="shared" si="64"/>
        <v>3-5 Years</v>
      </c>
      <c r="AJ1047" t="str">
        <f t="shared" si="65"/>
        <v>0-2</v>
      </c>
    </row>
    <row r="1048" spans="1:36" x14ac:dyDescent="0.35">
      <c r="A1048">
        <v>1047</v>
      </c>
      <c r="B1048">
        <v>44</v>
      </c>
      <c r="C1048" t="str">
        <f t="shared" si="66"/>
        <v>36-45</v>
      </c>
      <c r="D1048" t="s">
        <v>38</v>
      </c>
      <c r="E1048" t="s">
        <v>32</v>
      </c>
      <c r="F1048" s="3">
        <v>1389</v>
      </c>
      <c r="G1048" t="s">
        <v>40</v>
      </c>
      <c r="H1048" s="1">
        <v>20</v>
      </c>
      <c r="I1048" t="s">
        <v>61</v>
      </c>
      <c r="J1048" t="s">
        <v>34</v>
      </c>
      <c r="K1048" t="s">
        <v>62</v>
      </c>
      <c r="L1048" t="s">
        <v>41</v>
      </c>
      <c r="M1048" s="3">
        <v>49</v>
      </c>
      <c r="N1048" t="s">
        <v>60</v>
      </c>
      <c r="O1048" t="s">
        <v>59</v>
      </c>
      <c r="P1048" t="s">
        <v>42</v>
      </c>
      <c r="Q1048" t="s">
        <v>61</v>
      </c>
      <c r="R1048" t="s">
        <v>37</v>
      </c>
      <c r="S1048" s="3">
        <v>3420</v>
      </c>
      <c r="T1048" s="3">
        <v>21158</v>
      </c>
      <c r="U1048" s="3" t="str">
        <f t="shared" si="67"/>
        <v>Low</v>
      </c>
      <c r="V1048">
        <v>1</v>
      </c>
      <c r="W1048" t="s">
        <v>38</v>
      </c>
      <c r="X1048" s="2">
        <v>13</v>
      </c>
      <c r="Y1048" t="s">
        <v>60</v>
      </c>
      <c r="Z1048" t="s">
        <v>60</v>
      </c>
      <c r="AA1048">
        <v>0</v>
      </c>
      <c r="AB1048">
        <v>6</v>
      </c>
      <c r="AC1048">
        <v>3</v>
      </c>
      <c r="AD1048">
        <v>2</v>
      </c>
      <c r="AE1048">
        <v>5</v>
      </c>
      <c r="AF1048">
        <v>2</v>
      </c>
      <c r="AG1048">
        <v>1</v>
      </c>
      <c r="AH1048">
        <v>3</v>
      </c>
      <c r="AI1048" t="str">
        <f t="shared" si="64"/>
        <v>3-5 Years</v>
      </c>
      <c r="AJ1048" t="str">
        <f t="shared" si="65"/>
        <v>0-2</v>
      </c>
    </row>
    <row r="1049" spans="1:36" x14ac:dyDescent="0.35">
      <c r="A1049">
        <v>1048</v>
      </c>
      <c r="B1049">
        <v>33</v>
      </c>
      <c r="C1049" t="str">
        <f t="shared" si="66"/>
        <v>26-35</v>
      </c>
      <c r="D1049" t="s">
        <v>38</v>
      </c>
      <c r="E1049" t="s">
        <v>39</v>
      </c>
      <c r="F1049" s="3">
        <v>1389</v>
      </c>
      <c r="G1049" t="s">
        <v>33</v>
      </c>
      <c r="H1049" s="1">
        <v>7</v>
      </c>
      <c r="I1049" t="s">
        <v>61</v>
      </c>
      <c r="J1049" t="s">
        <v>46</v>
      </c>
      <c r="K1049" t="s">
        <v>62</v>
      </c>
      <c r="L1049" t="s">
        <v>41</v>
      </c>
      <c r="M1049" s="3">
        <v>54</v>
      </c>
      <c r="N1049" t="s">
        <v>60</v>
      </c>
      <c r="O1049" t="s">
        <v>61</v>
      </c>
      <c r="P1049" t="s">
        <v>36</v>
      </c>
      <c r="Q1049" t="s">
        <v>59</v>
      </c>
      <c r="R1049" t="s">
        <v>43</v>
      </c>
      <c r="S1049" s="3">
        <v>4373</v>
      </c>
      <c r="T1049" s="3">
        <v>17456</v>
      </c>
      <c r="U1049" s="3" t="str">
        <f t="shared" si="67"/>
        <v>Low</v>
      </c>
      <c r="V1049">
        <v>0</v>
      </c>
      <c r="W1049" t="s">
        <v>38</v>
      </c>
      <c r="X1049" s="2">
        <v>14</v>
      </c>
      <c r="Y1049" t="s">
        <v>60</v>
      </c>
      <c r="Z1049" t="s">
        <v>59</v>
      </c>
      <c r="AA1049">
        <v>2</v>
      </c>
      <c r="AB1049">
        <v>5</v>
      </c>
      <c r="AC1049">
        <v>2</v>
      </c>
      <c r="AD1049">
        <v>3</v>
      </c>
      <c r="AE1049">
        <v>4</v>
      </c>
      <c r="AF1049">
        <v>3</v>
      </c>
      <c r="AG1049">
        <v>0</v>
      </c>
      <c r="AH1049">
        <v>3</v>
      </c>
      <c r="AI1049" t="str">
        <f t="shared" si="64"/>
        <v>3-5 Years</v>
      </c>
      <c r="AJ1049" t="str">
        <f t="shared" si="65"/>
        <v>0-2</v>
      </c>
    </row>
    <row r="1050" spans="1:36" x14ac:dyDescent="0.35">
      <c r="A1050">
        <v>1049</v>
      </c>
      <c r="B1050">
        <v>34</v>
      </c>
      <c r="C1050" t="str">
        <f t="shared" si="66"/>
        <v>26-35</v>
      </c>
      <c r="D1050" t="s">
        <v>38</v>
      </c>
      <c r="E1050" t="s">
        <v>32</v>
      </c>
      <c r="F1050" s="3">
        <v>1389</v>
      </c>
      <c r="G1050" t="s">
        <v>33</v>
      </c>
      <c r="H1050" s="1">
        <v>3</v>
      </c>
      <c r="I1050" t="s">
        <v>61</v>
      </c>
      <c r="J1050" t="s">
        <v>44</v>
      </c>
      <c r="K1050" t="s">
        <v>62</v>
      </c>
      <c r="L1050" t="s">
        <v>41</v>
      </c>
      <c r="M1050" s="3">
        <v>81</v>
      </c>
      <c r="N1050" t="s">
        <v>59</v>
      </c>
      <c r="O1050" t="s">
        <v>61</v>
      </c>
      <c r="P1050" t="s">
        <v>36</v>
      </c>
      <c r="Q1050" t="s">
        <v>59</v>
      </c>
      <c r="R1050" t="s">
        <v>37</v>
      </c>
      <c r="S1050" s="3">
        <v>4759</v>
      </c>
      <c r="T1050" s="3">
        <v>15891</v>
      </c>
      <c r="U1050" s="3" t="str">
        <f t="shared" si="67"/>
        <v>Low</v>
      </c>
      <c r="V1050">
        <v>3</v>
      </c>
      <c r="W1050" t="s">
        <v>38</v>
      </c>
      <c r="X1050" s="2">
        <v>18</v>
      </c>
      <c r="Y1050" t="s">
        <v>60</v>
      </c>
      <c r="Z1050" t="s">
        <v>62</v>
      </c>
      <c r="AA1050">
        <v>0</v>
      </c>
      <c r="AB1050">
        <v>15</v>
      </c>
      <c r="AC1050">
        <v>2</v>
      </c>
      <c r="AD1050">
        <v>3</v>
      </c>
      <c r="AE1050">
        <v>13</v>
      </c>
      <c r="AF1050">
        <v>9</v>
      </c>
      <c r="AG1050">
        <v>3</v>
      </c>
      <c r="AH1050">
        <v>12</v>
      </c>
      <c r="AI1050" t="str">
        <f t="shared" si="64"/>
        <v>10+ Years</v>
      </c>
      <c r="AJ1050" t="str">
        <f t="shared" si="65"/>
        <v>3-5</v>
      </c>
    </row>
    <row r="1051" spans="1:36" x14ac:dyDescent="0.35">
      <c r="A1051">
        <v>1050</v>
      </c>
      <c r="B1051">
        <v>30</v>
      </c>
      <c r="C1051" t="str">
        <f t="shared" si="66"/>
        <v>26-35</v>
      </c>
      <c r="D1051" t="s">
        <v>38</v>
      </c>
      <c r="E1051" t="s">
        <v>32</v>
      </c>
      <c r="F1051" s="3">
        <v>1389</v>
      </c>
      <c r="G1051" t="s">
        <v>33</v>
      </c>
      <c r="H1051" s="1">
        <v>16</v>
      </c>
      <c r="I1051" t="s">
        <v>59</v>
      </c>
      <c r="J1051" t="s">
        <v>34</v>
      </c>
      <c r="K1051" t="s">
        <v>62</v>
      </c>
      <c r="L1051" t="s">
        <v>41</v>
      </c>
      <c r="M1051" s="3">
        <v>96</v>
      </c>
      <c r="N1051" t="s">
        <v>60</v>
      </c>
      <c r="O1051" t="s">
        <v>61</v>
      </c>
      <c r="P1051" t="s">
        <v>36</v>
      </c>
      <c r="Q1051" t="s">
        <v>60</v>
      </c>
      <c r="R1051" t="s">
        <v>43</v>
      </c>
      <c r="S1051" s="3">
        <v>5301</v>
      </c>
      <c r="T1051" s="3">
        <v>2939</v>
      </c>
      <c r="U1051" s="3" t="str">
        <f t="shared" si="67"/>
        <v>Medium</v>
      </c>
      <c r="V1051">
        <v>8</v>
      </c>
      <c r="W1051" t="s">
        <v>38</v>
      </c>
      <c r="X1051" s="2">
        <v>15</v>
      </c>
      <c r="Y1051" t="s">
        <v>60</v>
      </c>
      <c r="Z1051" t="s">
        <v>60</v>
      </c>
      <c r="AA1051">
        <v>2</v>
      </c>
      <c r="AB1051">
        <v>4</v>
      </c>
      <c r="AC1051">
        <v>2</v>
      </c>
      <c r="AD1051">
        <v>2</v>
      </c>
      <c r="AE1051">
        <v>2</v>
      </c>
      <c r="AF1051">
        <v>1</v>
      </c>
      <c r="AG1051">
        <v>2</v>
      </c>
      <c r="AH1051">
        <v>2</v>
      </c>
      <c r="AI1051" t="str">
        <f t="shared" si="64"/>
        <v>0-2 Years</v>
      </c>
      <c r="AJ1051" t="str">
        <f t="shared" si="65"/>
        <v>0-2</v>
      </c>
    </row>
    <row r="1052" spans="1:36" x14ac:dyDescent="0.35">
      <c r="A1052">
        <v>1051</v>
      </c>
      <c r="B1052">
        <v>42</v>
      </c>
      <c r="C1052" t="str">
        <f t="shared" si="66"/>
        <v>36-45</v>
      </c>
      <c r="D1052" t="s">
        <v>38</v>
      </c>
      <c r="E1052" t="s">
        <v>39</v>
      </c>
      <c r="F1052" s="3">
        <v>1389</v>
      </c>
      <c r="G1052" t="s">
        <v>40</v>
      </c>
      <c r="H1052" s="1">
        <v>9</v>
      </c>
      <c r="I1052" t="s">
        <v>58</v>
      </c>
      <c r="J1052" t="s">
        <v>46</v>
      </c>
      <c r="K1052" t="s">
        <v>59</v>
      </c>
      <c r="L1052" t="s">
        <v>35</v>
      </c>
      <c r="M1052" s="3">
        <v>74</v>
      </c>
      <c r="N1052" t="s">
        <v>60</v>
      </c>
      <c r="O1052" t="s">
        <v>59</v>
      </c>
      <c r="P1052" t="s">
        <v>45</v>
      </c>
      <c r="Q1052" t="s">
        <v>62</v>
      </c>
      <c r="R1052" t="s">
        <v>37</v>
      </c>
      <c r="S1052" s="3">
        <v>3673</v>
      </c>
      <c r="T1052" s="3">
        <v>16458</v>
      </c>
      <c r="U1052" s="3" t="str">
        <f t="shared" si="67"/>
        <v>Low</v>
      </c>
      <c r="V1052">
        <v>1</v>
      </c>
      <c r="W1052" t="s">
        <v>38</v>
      </c>
      <c r="X1052" s="2">
        <v>13</v>
      </c>
      <c r="Y1052" t="s">
        <v>60</v>
      </c>
      <c r="Z1052" t="s">
        <v>60</v>
      </c>
      <c r="AA1052">
        <v>0</v>
      </c>
      <c r="AB1052">
        <v>12</v>
      </c>
      <c r="AC1052">
        <v>3</v>
      </c>
      <c r="AD1052">
        <v>3</v>
      </c>
      <c r="AE1052">
        <v>12</v>
      </c>
      <c r="AF1052">
        <v>9</v>
      </c>
      <c r="AG1052">
        <v>5</v>
      </c>
      <c r="AH1052">
        <v>8</v>
      </c>
      <c r="AI1052" t="str">
        <f t="shared" si="64"/>
        <v>10+ Years</v>
      </c>
      <c r="AJ1052" t="str">
        <f t="shared" si="65"/>
        <v>3-5</v>
      </c>
    </row>
    <row r="1053" spans="1:36" x14ac:dyDescent="0.35">
      <c r="A1053">
        <v>1052</v>
      </c>
      <c r="B1053">
        <v>44</v>
      </c>
      <c r="C1053" t="str">
        <f t="shared" si="66"/>
        <v>36-45</v>
      </c>
      <c r="D1053" t="s">
        <v>38</v>
      </c>
      <c r="E1053" t="s">
        <v>39</v>
      </c>
      <c r="F1053" s="3">
        <v>1389</v>
      </c>
      <c r="G1053" t="s">
        <v>33</v>
      </c>
      <c r="H1053" s="1">
        <v>1</v>
      </c>
      <c r="I1053" t="s">
        <v>62</v>
      </c>
      <c r="J1053" t="s">
        <v>54</v>
      </c>
      <c r="K1053" t="s">
        <v>59</v>
      </c>
      <c r="L1053" t="s">
        <v>35</v>
      </c>
      <c r="M1053" s="3">
        <v>79</v>
      </c>
      <c r="N1053" t="s">
        <v>60</v>
      </c>
      <c r="O1053" t="s">
        <v>61</v>
      </c>
      <c r="P1053" t="s">
        <v>36</v>
      </c>
      <c r="Q1053" t="s">
        <v>60</v>
      </c>
      <c r="R1053" t="s">
        <v>43</v>
      </c>
      <c r="S1053" s="3">
        <v>4768</v>
      </c>
      <c r="T1053" s="3">
        <v>9282</v>
      </c>
      <c r="U1053" s="3" t="str">
        <f t="shared" si="67"/>
        <v>Low</v>
      </c>
      <c r="V1053">
        <v>7</v>
      </c>
      <c r="W1053" t="s">
        <v>38</v>
      </c>
      <c r="X1053" s="2">
        <v>12</v>
      </c>
      <c r="Y1053" t="s">
        <v>60</v>
      </c>
      <c r="Z1053" t="s">
        <v>60</v>
      </c>
      <c r="AA1053">
        <v>1</v>
      </c>
      <c r="AB1053">
        <v>11</v>
      </c>
      <c r="AC1053">
        <v>4</v>
      </c>
      <c r="AD1053">
        <v>2</v>
      </c>
      <c r="AE1053">
        <v>1</v>
      </c>
      <c r="AF1053">
        <v>0</v>
      </c>
      <c r="AG1053">
        <v>0</v>
      </c>
      <c r="AH1053">
        <v>0</v>
      </c>
      <c r="AI1053" t="str">
        <f t="shared" si="64"/>
        <v>0-2 Years</v>
      </c>
      <c r="AJ1053" t="str">
        <f t="shared" si="65"/>
        <v>0-2</v>
      </c>
    </row>
    <row r="1054" spans="1:36" x14ac:dyDescent="0.35">
      <c r="A1054">
        <v>1053</v>
      </c>
      <c r="B1054">
        <v>30</v>
      </c>
      <c r="C1054" t="str">
        <f t="shared" si="66"/>
        <v>26-35</v>
      </c>
      <c r="D1054" t="s">
        <v>38</v>
      </c>
      <c r="E1054" t="s">
        <v>50</v>
      </c>
      <c r="F1054" s="3">
        <v>1389</v>
      </c>
      <c r="G1054" t="s">
        <v>40</v>
      </c>
      <c r="H1054" s="1">
        <v>7</v>
      </c>
      <c r="I1054" t="s">
        <v>61</v>
      </c>
      <c r="J1054" t="s">
        <v>55</v>
      </c>
      <c r="K1054" t="s">
        <v>60</v>
      </c>
      <c r="L1054" t="s">
        <v>41</v>
      </c>
      <c r="M1054" s="3">
        <v>64</v>
      </c>
      <c r="N1054" t="s">
        <v>60</v>
      </c>
      <c r="O1054" t="s">
        <v>59</v>
      </c>
      <c r="P1054" t="s">
        <v>42</v>
      </c>
      <c r="Q1054" t="s">
        <v>60</v>
      </c>
      <c r="R1054" t="s">
        <v>47</v>
      </c>
      <c r="S1054" s="3">
        <v>1274</v>
      </c>
      <c r="T1054" s="3">
        <v>7152</v>
      </c>
      <c r="U1054" s="3" t="str">
        <f t="shared" si="67"/>
        <v>Low</v>
      </c>
      <c r="V1054">
        <v>1</v>
      </c>
      <c r="W1054" t="s">
        <v>38</v>
      </c>
      <c r="X1054" s="2">
        <v>13</v>
      </c>
      <c r="Y1054" t="s">
        <v>60</v>
      </c>
      <c r="Z1054" t="s">
        <v>61</v>
      </c>
      <c r="AA1054">
        <v>2</v>
      </c>
      <c r="AB1054">
        <v>1</v>
      </c>
      <c r="AC1054">
        <v>2</v>
      </c>
      <c r="AD1054">
        <v>2</v>
      </c>
      <c r="AE1054">
        <v>1</v>
      </c>
      <c r="AF1054">
        <v>0</v>
      </c>
      <c r="AG1054">
        <v>0</v>
      </c>
      <c r="AH1054">
        <v>0</v>
      </c>
      <c r="AI1054" t="str">
        <f t="shared" si="64"/>
        <v>0-2 Years</v>
      </c>
      <c r="AJ1054" t="str">
        <f t="shared" si="65"/>
        <v>0-2</v>
      </c>
    </row>
    <row r="1055" spans="1:36" x14ac:dyDescent="0.35">
      <c r="A1055">
        <v>1054</v>
      </c>
      <c r="B1055">
        <v>57</v>
      </c>
      <c r="C1055" t="str">
        <f t="shared" si="66"/>
        <v>55+</v>
      </c>
      <c r="D1055" t="s">
        <v>38</v>
      </c>
      <c r="E1055" t="s">
        <v>32</v>
      </c>
      <c r="F1055" s="3">
        <v>1389</v>
      </c>
      <c r="G1055" t="s">
        <v>40</v>
      </c>
      <c r="H1055" s="1">
        <v>1</v>
      </c>
      <c r="I1055" t="s">
        <v>58</v>
      </c>
      <c r="J1055" t="s">
        <v>34</v>
      </c>
      <c r="K1055" t="s">
        <v>61</v>
      </c>
      <c r="L1055" t="s">
        <v>41</v>
      </c>
      <c r="M1055" s="3">
        <v>93</v>
      </c>
      <c r="N1055" t="s">
        <v>62</v>
      </c>
      <c r="O1055" t="s">
        <v>61</v>
      </c>
      <c r="P1055" t="s">
        <v>42</v>
      </c>
      <c r="Q1055" t="s">
        <v>60</v>
      </c>
      <c r="R1055" t="s">
        <v>43</v>
      </c>
      <c r="S1055" s="3">
        <v>4900</v>
      </c>
      <c r="T1055" s="3">
        <v>2721</v>
      </c>
      <c r="U1055" s="3" t="str">
        <f t="shared" si="67"/>
        <v>Low</v>
      </c>
      <c r="V1055">
        <v>0</v>
      </c>
      <c r="W1055" t="s">
        <v>38</v>
      </c>
      <c r="X1055" s="2">
        <v>24</v>
      </c>
      <c r="Y1055" t="s">
        <v>62</v>
      </c>
      <c r="Z1055" t="s">
        <v>59</v>
      </c>
      <c r="AA1055">
        <v>1</v>
      </c>
      <c r="AB1055">
        <v>13</v>
      </c>
      <c r="AC1055">
        <v>2</v>
      </c>
      <c r="AD1055">
        <v>2</v>
      </c>
      <c r="AE1055">
        <v>12</v>
      </c>
      <c r="AF1055">
        <v>9</v>
      </c>
      <c r="AG1055">
        <v>2</v>
      </c>
      <c r="AH1055">
        <v>8</v>
      </c>
      <c r="AI1055" t="str">
        <f t="shared" si="64"/>
        <v>10+ Years</v>
      </c>
      <c r="AJ1055" t="str">
        <f t="shared" si="65"/>
        <v>0-2</v>
      </c>
    </row>
    <row r="1056" spans="1:36" x14ac:dyDescent="0.35">
      <c r="A1056">
        <v>1055</v>
      </c>
      <c r="B1056">
        <v>49</v>
      </c>
      <c r="C1056" t="str">
        <f t="shared" si="66"/>
        <v>46-55</v>
      </c>
      <c r="D1056" t="s">
        <v>38</v>
      </c>
      <c r="E1056" t="s">
        <v>32</v>
      </c>
      <c r="F1056" s="3">
        <v>1389</v>
      </c>
      <c r="G1056" t="s">
        <v>40</v>
      </c>
      <c r="H1056" s="1">
        <v>7</v>
      </c>
      <c r="I1056" t="s">
        <v>60</v>
      </c>
      <c r="J1056" t="s">
        <v>34</v>
      </c>
      <c r="K1056" t="s">
        <v>60</v>
      </c>
      <c r="L1056" t="s">
        <v>41</v>
      </c>
      <c r="M1056" s="3">
        <v>35</v>
      </c>
      <c r="N1056" t="s">
        <v>60</v>
      </c>
      <c r="O1056" t="s">
        <v>60</v>
      </c>
      <c r="P1056" t="s">
        <v>49</v>
      </c>
      <c r="Q1056" t="s">
        <v>61</v>
      </c>
      <c r="R1056" t="s">
        <v>47</v>
      </c>
      <c r="S1056" s="3">
        <v>10466</v>
      </c>
      <c r="T1056" s="3">
        <v>20948</v>
      </c>
      <c r="U1056" s="3" t="str">
        <f t="shared" si="67"/>
        <v>High</v>
      </c>
      <c r="V1056">
        <v>3</v>
      </c>
      <c r="W1056" t="s">
        <v>38</v>
      </c>
      <c r="X1056" s="2">
        <v>14</v>
      </c>
      <c r="Y1056" t="s">
        <v>60</v>
      </c>
      <c r="Z1056" t="s">
        <v>61</v>
      </c>
      <c r="AA1056">
        <v>2</v>
      </c>
      <c r="AB1056">
        <v>29</v>
      </c>
      <c r="AC1056">
        <v>3</v>
      </c>
      <c r="AD1056">
        <v>3</v>
      </c>
      <c r="AE1056">
        <v>8</v>
      </c>
      <c r="AF1056">
        <v>7</v>
      </c>
      <c r="AG1056">
        <v>0</v>
      </c>
      <c r="AH1056">
        <v>7</v>
      </c>
      <c r="AI1056" t="str">
        <f t="shared" si="64"/>
        <v>6-10 Years</v>
      </c>
      <c r="AJ1056" t="str">
        <f t="shared" si="65"/>
        <v>0-2</v>
      </c>
    </row>
    <row r="1057" spans="1:36" x14ac:dyDescent="0.35">
      <c r="A1057">
        <v>1056</v>
      </c>
      <c r="B1057">
        <v>34</v>
      </c>
      <c r="C1057" t="str">
        <f t="shared" si="66"/>
        <v>26-35</v>
      </c>
      <c r="D1057" t="s">
        <v>38</v>
      </c>
      <c r="E1057" t="s">
        <v>39</v>
      </c>
      <c r="F1057" s="3">
        <v>1389</v>
      </c>
      <c r="G1057" t="s">
        <v>40</v>
      </c>
      <c r="H1057" s="1">
        <v>15</v>
      </c>
      <c r="I1057" t="s">
        <v>61</v>
      </c>
      <c r="J1057" t="s">
        <v>46</v>
      </c>
      <c r="K1057" t="s">
        <v>61</v>
      </c>
      <c r="L1057" t="s">
        <v>41</v>
      </c>
      <c r="M1057" s="3">
        <v>71</v>
      </c>
      <c r="N1057" t="s">
        <v>60</v>
      </c>
      <c r="O1057" t="s">
        <v>62</v>
      </c>
      <c r="P1057" t="s">
        <v>53</v>
      </c>
      <c r="Q1057" t="s">
        <v>59</v>
      </c>
      <c r="R1057" t="s">
        <v>47</v>
      </c>
      <c r="S1057" s="3">
        <v>17007</v>
      </c>
      <c r="T1057" s="3">
        <v>11929</v>
      </c>
      <c r="U1057" s="3" t="str">
        <f t="shared" si="67"/>
        <v>High</v>
      </c>
      <c r="V1057">
        <v>7</v>
      </c>
      <c r="W1057" t="s">
        <v>38</v>
      </c>
      <c r="X1057" s="2">
        <v>14</v>
      </c>
      <c r="Y1057" t="s">
        <v>60</v>
      </c>
      <c r="Z1057" t="s">
        <v>62</v>
      </c>
      <c r="AA1057">
        <v>2</v>
      </c>
      <c r="AB1057">
        <v>16</v>
      </c>
      <c r="AC1057">
        <v>3</v>
      </c>
      <c r="AD1057">
        <v>2</v>
      </c>
      <c r="AE1057">
        <v>14</v>
      </c>
      <c r="AF1057">
        <v>8</v>
      </c>
      <c r="AG1057">
        <v>6</v>
      </c>
      <c r="AH1057">
        <v>9</v>
      </c>
      <c r="AI1057" t="str">
        <f t="shared" si="64"/>
        <v>10+ Years</v>
      </c>
      <c r="AJ1057" t="str">
        <f t="shared" si="65"/>
        <v>6+</v>
      </c>
    </row>
    <row r="1058" spans="1:36" x14ac:dyDescent="0.35">
      <c r="A1058">
        <v>1057</v>
      </c>
      <c r="B1058">
        <v>28</v>
      </c>
      <c r="C1058" t="str">
        <f t="shared" si="66"/>
        <v>26-35</v>
      </c>
      <c r="D1058" t="s">
        <v>31</v>
      </c>
      <c r="E1058" t="s">
        <v>39</v>
      </c>
      <c r="F1058" s="3">
        <v>1389</v>
      </c>
      <c r="G1058" t="s">
        <v>33</v>
      </c>
      <c r="H1058" s="1">
        <v>1</v>
      </c>
      <c r="I1058" t="s">
        <v>61</v>
      </c>
      <c r="J1058" t="s">
        <v>55</v>
      </c>
      <c r="K1058" t="s">
        <v>59</v>
      </c>
      <c r="L1058" t="s">
        <v>41</v>
      </c>
      <c r="M1058" s="3">
        <v>92</v>
      </c>
      <c r="N1058" t="s">
        <v>60</v>
      </c>
      <c r="O1058" t="s">
        <v>59</v>
      </c>
      <c r="P1058" t="s">
        <v>52</v>
      </c>
      <c r="Q1058" t="s">
        <v>60</v>
      </c>
      <c r="R1058" t="s">
        <v>43</v>
      </c>
      <c r="S1058" s="3">
        <v>2909</v>
      </c>
      <c r="T1058" s="3">
        <v>15747</v>
      </c>
      <c r="U1058" s="3" t="str">
        <f t="shared" si="67"/>
        <v>Low</v>
      </c>
      <c r="V1058">
        <v>3</v>
      </c>
      <c r="W1058" t="s">
        <v>38</v>
      </c>
      <c r="X1058" s="2">
        <v>15</v>
      </c>
      <c r="Y1058" t="s">
        <v>60</v>
      </c>
      <c r="Z1058" t="s">
        <v>62</v>
      </c>
      <c r="AA1058">
        <v>1</v>
      </c>
      <c r="AB1058">
        <v>5</v>
      </c>
      <c r="AC1058">
        <v>3</v>
      </c>
      <c r="AD1058">
        <v>4</v>
      </c>
      <c r="AE1058">
        <v>3</v>
      </c>
      <c r="AF1058">
        <v>2</v>
      </c>
      <c r="AG1058">
        <v>1</v>
      </c>
      <c r="AH1058">
        <v>2</v>
      </c>
      <c r="AI1058" t="str">
        <f t="shared" si="64"/>
        <v>3-5 Years</v>
      </c>
      <c r="AJ1058" t="str">
        <f t="shared" si="65"/>
        <v>0-2</v>
      </c>
    </row>
    <row r="1059" spans="1:36" x14ac:dyDescent="0.35">
      <c r="A1059">
        <v>1058</v>
      </c>
      <c r="B1059">
        <v>29</v>
      </c>
      <c r="C1059" t="str">
        <f t="shared" si="66"/>
        <v>26-35</v>
      </c>
      <c r="D1059" t="s">
        <v>31</v>
      </c>
      <c r="E1059" t="s">
        <v>39</v>
      </c>
      <c r="F1059" s="3">
        <v>1389</v>
      </c>
      <c r="G1059" t="s">
        <v>33</v>
      </c>
      <c r="H1059" s="1">
        <v>13</v>
      </c>
      <c r="I1059" t="s">
        <v>61</v>
      </c>
      <c r="J1059" t="s">
        <v>55</v>
      </c>
      <c r="K1059" t="s">
        <v>59</v>
      </c>
      <c r="L1059" t="s">
        <v>35</v>
      </c>
      <c r="M1059" s="3">
        <v>51</v>
      </c>
      <c r="N1059" t="s">
        <v>60</v>
      </c>
      <c r="O1059" t="s">
        <v>61</v>
      </c>
      <c r="P1059" t="s">
        <v>36</v>
      </c>
      <c r="Q1059" t="s">
        <v>61</v>
      </c>
      <c r="R1059" t="s">
        <v>37</v>
      </c>
      <c r="S1059" s="3">
        <v>5765</v>
      </c>
      <c r="T1059" s="3">
        <v>17485</v>
      </c>
      <c r="U1059" s="3" t="str">
        <f t="shared" si="67"/>
        <v>Medium</v>
      </c>
      <c r="V1059">
        <v>5</v>
      </c>
      <c r="W1059" t="s">
        <v>38</v>
      </c>
      <c r="X1059" s="2">
        <v>11</v>
      </c>
      <c r="Y1059" t="s">
        <v>60</v>
      </c>
      <c r="Z1059" t="s">
        <v>59</v>
      </c>
      <c r="AA1059">
        <v>0</v>
      </c>
      <c r="AB1059">
        <v>7</v>
      </c>
      <c r="AC1059">
        <v>4</v>
      </c>
      <c r="AD1059">
        <v>1</v>
      </c>
      <c r="AE1059">
        <v>5</v>
      </c>
      <c r="AF1059">
        <v>3</v>
      </c>
      <c r="AG1059">
        <v>0</v>
      </c>
      <c r="AH1059">
        <v>0</v>
      </c>
      <c r="AI1059" t="str">
        <f t="shared" si="64"/>
        <v>3-5 Years</v>
      </c>
      <c r="AJ1059" t="str">
        <f t="shared" si="65"/>
        <v>0-2</v>
      </c>
    </row>
    <row r="1060" spans="1:36" x14ac:dyDescent="0.35">
      <c r="A1060">
        <v>1059</v>
      </c>
      <c r="B1060">
        <v>34</v>
      </c>
      <c r="C1060" t="str">
        <f t="shared" si="66"/>
        <v>26-35</v>
      </c>
      <c r="D1060" t="s">
        <v>31</v>
      </c>
      <c r="E1060" t="s">
        <v>32</v>
      </c>
      <c r="F1060" s="3">
        <v>1389</v>
      </c>
      <c r="G1060" t="s">
        <v>33</v>
      </c>
      <c r="H1060" s="1">
        <v>24</v>
      </c>
      <c r="I1060" t="s">
        <v>60</v>
      </c>
      <c r="J1060" t="s">
        <v>46</v>
      </c>
      <c r="K1060" t="s">
        <v>59</v>
      </c>
      <c r="L1060" t="s">
        <v>35</v>
      </c>
      <c r="M1060" s="3">
        <v>40</v>
      </c>
      <c r="N1060" t="s">
        <v>61</v>
      </c>
      <c r="O1060" t="s">
        <v>61</v>
      </c>
      <c r="P1060" t="s">
        <v>36</v>
      </c>
      <c r="Q1060" t="s">
        <v>61</v>
      </c>
      <c r="R1060" t="s">
        <v>37</v>
      </c>
      <c r="S1060" s="3">
        <v>4599</v>
      </c>
      <c r="T1060" s="3">
        <v>7815</v>
      </c>
      <c r="U1060" s="3" t="str">
        <f t="shared" si="67"/>
        <v>Low</v>
      </c>
      <c r="V1060">
        <v>0</v>
      </c>
      <c r="W1060" t="s">
        <v>31</v>
      </c>
      <c r="X1060" s="2">
        <v>23</v>
      </c>
      <c r="Y1060" t="s">
        <v>62</v>
      </c>
      <c r="Z1060" t="s">
        <v>60</v>
      </c>
      <c r="AA1060">
        <v>0</v>
      </c>
      <c r="AB1060">
        <v>16</v>
      </c>
      <c r="AC1060">
        <v>2</v>
      </c>
      <c r="AD1060">
        <v>4</v>
      </c>
      <c r="AE1060">
        <v>15</v>
      </c>
      <c r="AF1060">
        <v>9</v>
      </c>
      <c r="AG1060">
        <v>10</v>
      </c>
      <c r="AH1060">
        <v>10</v>
      </c>
      <c r="AI1060" t="str">
        <f t="shared" si="64"/>
        <v>10+ Years</v>
      </c>
      <c r="AJ1060" t="str">
        <f t="shared" si="65"/>
        <v>6+</v>
      </c>
    </row>
    <row r="1061" spans="1:36" x14ac:dyDescent="0.35">
      <c r="A1061">
        <v>1060</v>
      </c>
      <c r="B1061">
        <v>35</v>
      </c>
      <c r="C1061" t="str">
        <f t="shared" si="66"/>
        <v>26-35</v>
      </c>
      <c r="D1061" t="s">
        <v>38</v>
      </c>
      <c r="E1061" t="s">
        <v>32</v>
      </c>
      <c r="F1061" s="3">
        <v>1389</v>
      </c>
      <c r="G1061" t="s">
        <v>33</v>
      </c>
      <c r="H1061" s="1">
        <v>7</v>
      </c>
      <c r="I1061" t="s">
        <v>59</v>
      </c>
      <c r="J1061" t="s">
        <v>34</v>
      </c>
      <c r="K1061" t="s">
        <v>62</v>
      </c>
      <c r="L1061" t="s">
        <v>41</v>
      </c>
      <c r="M1061" s="3">
        <v>76</v>
      </c>
      <c r="N1061" t="s">
        <v>60</v>
      </c>
      <c r="O1061" t="s">
        <v>59</v>
      </c>
      <c r="P1061" t="s">
        <v>52</v>
      </c>
      <c r="Q1061" t="s">
        <v>60</v>
      </c>
      <c r="R1061" t="s">
        <v>43</v>
      </c>
      <c r="S1061" s="3">
        <v>2404</v>
      </c>
      <c r="T1061" s="3">
        <v>16192</v>
      </c>
      <c r="U1061" s="3" t="str">
        <f t="shared" si="67"/>
        <v>Low</v>
      </c>
      <c r="V1061">
        <v>1</v>
      </c>
      <c r="W1061" t="s">
        <v>38</v>
      </c>
      <c r="X1061" s="2">
        <v>13</v>
      </c>
      <c r="Y1061" t="s">
        <v>60</v>
      </c>
      <c r="Z1061" t="s">
        <v>59</v>
      </c>
      <c r="AA1061">
        <v>1</v>
      </c>
      <c r="AB1061">
        <v>1</v>
      </c>
      <c r="AC1061">
        <v>3</v>
      </c>
      <c r="AD1061">
        <v>3</v>
      </c>
      <c r="AE1061">
        <v>1</v>
      </c>
      <c r="AF1061">
        <v>0</v>
      </c>
      <c r="AG1061">
        <v>0</v>
      </c>
      <c r="AH1061">
        <v>0</v>
      </c>
      <c r="AI1061" t="str">
        <f t="shared" si="64"/>
        <v>0-2 Years</v>
      </c>
      <c r="AJ1061" t="str">
        <f t="shared" si="65"/>
        <v>0-2</v>
      </c>
    </row>
    <row r="1062" spans="1:36" x14ac:dyDescent="0.35">
      <c r="A1062">
        <v>1061</v>
      </c>
      <c r="B1062">
        <v>24</v>
      </c>
      <c r="C1062" t="str">
        <f t="shared" si="66"/>
        <v>18-25</v>
      </c>
      <c r="D1062" t="s">
        <v>31</v>
      </c>
      <c r="E1062" t="s">
        <v>39</v>
      </c>
      <c r="F1062" s="3">
        <v>1389</v>
      </c>
      <c r="G1062" t="s">
        <v>40</v>
      </c>
      <c r="H1062" s="1">
        <v>9</v>
      </c>
      <c r="I1062" t="s">
        <v>61</v>
      </c>
      <c r="J1062" t="s">
        <v>46</v>
      </c>
      <c r="K1062" t="s">
        <v>61</v>
      </c>
      <c r="L1062" t="s">
        <v>41</v>
      </c>
      <c r="M1062" s="3">
        <v>89</v>
      </c>
      <c r="N1062" t="s">
        <v>60</v>
      </c>
      <c r="O1062" t="s">
        <v>59</v>
      </c>
      <c r="P1062" t="s">
        <v>45</v>
      </c>
      <c r="Q1062" t="s">
        <v>59</v>
      </c>
      <c r="R1062" t="s">
        <v>37</v>
      </c>
      <c r="S1062" s="3">
        <v>3172</v>
      </c>
      <c r="T1062" s="3">
        <v>16998</v>
      </c>
      <c r="U1062" s="3" t="str">
        <f t="shared" si="67"/>
        <v>Low</v>
      </c>
      <c r="V1062">
        <v>2</v>
      </c>
      <c r="W1062" t="s">
        <v>31</v>
      </c>
      <c r="X1062" s="2">
        <v>11</v>
      </c>
      <c r="Y1062" t="s">
        <v>60</v>
      </c>
      <c r="Z1062" t="s">
        <v>60</v>
      </c>
      <c r="AA1062">
        <v>0</v>
      </c>
      <c r="AB1062">
        <v>4</v>
      </c>
      <c r="AC1062">
        <v>2</v>
      </c>
      <c r="AD1062">
        <v>2</v>
      </c>
      <c r="AE1062">
        <v>0</v>
      </c>
      <c r="AF1062">
        <v>0</v>
      </c>
      <c r="AG1062">
        <v>0</v>
      </c>
      <c r="AH1062">
        <v>0</v>
      </c>
      <c r="AI1062" t="str">
        <f t="shared" si="64"/>
        <v>0-2 Years</v>
      </c>
      <c r="AJ1062" t="str">
        <f t="shared" si="65"/>
        <v>0-2</v>
      </c>
    </row>
    <row r="1063" spans="1:36" x14ac:dyDescent="0.35">
      <c r="A1063">
        <v>1062</v>
      </c>
      <c r="B1063">
        <v>24</v>
      </c>
      <c r="C1063" t="str">
        <f t="shared" si="66"/>
        <v>18-25</v>
      </c>
      <c r="D1063" t="s">
        <v>38</v>
      </c>
      <c r="E1063" t="s">
        <v>50</v>
      </c>
      <c r="F1063" s="3">
        <v>1389</v>
      </c>
      <c r="G1063" t="s">
        <v>33</v>
      </c>
      <c r="H1063" s="1">
        <v>13</v>
      </c>
      <c r="I1063" t="s">
        <v>58</v>
      </c>
      <c r="J1063" t="s">
        <v>34</v>
      </c>
      <c r="K1063" t="s">
        <v>62</v>
      </c>
      <c r="L1063" t="s">
        <v>35</v>
      </c>
      <c r="M1063" s="3">
        <v>78</v>
      </c>
      <c r="N1063" t="s">
        <v>60</v>
      </c>
      <c r="O1063" t="s">
        <v>59</v>
      </c>
      <c r="P1063" t="s">
        <v>52</v>
      </c>
      <c r="Q1063" t="s">
        <v>61</v>
      </c>
      <c r="R1063" t="s">
        <v>43</v>
      </c>
      <c r="S1063" s="3">
        <v>2033</v>
      </c>
      <c r="T1063" s="3">
        <v>7103</v>
      </c>
      <c r="U1063" s="3" t="str">
        <f t="shared" si="67"/>
        <v>Low</v>
      </c>
      <c r="V1063">
        <v>1</v>
      </c>
      <c r="W1063" t="s">
        <v>38</v>
      </c>
      <c r="X1063" s="2">
        <v>13</v>
      </c>
      <c r="Y1063" t="s">
        <v>60</v>
      </c>
      <c r="Z1063" t="s">
        <v>60</v>
      </c>
      <c r="AA1063">
        <v>1</v>
      </c>
      <c r="AB1063">
        <v>1</v>
      </c>
      <c r="AC1063">
        <v>2</v>
      </c>
      <c r="AD1063">
        <v>3</v>
      </c>
      <c r="AE1063">
        <v>1</v>
      </c>
      <c r="AF1063">
        <v>0</v>
      </c>
      <c r="AG1063">
        <v>0</v>
      </c>
      <c r="AH1063">
        <v>0</v>
      </c>
      <c r="AI1063" t="str">
        <f t="shared" si="64"/>
        <v>0-2 Years</v>
      </c>
      <c r="AJ1063" t="str">
        <f t="shared" si="65"/>
        <v>0-2</v>
      </c>
    </row>
    <row r="1064" spans="1:36" x14ac:dyDescent="0.35">
      <c r="A1064">
        <v>1063</v>
      </c>
      <c r="B1064">
        <v>44</v>
      </c>
      <c r="C1064" t="str">
        <f t="shared" si="66"/>
        <v>36-45</v>
      </c>
      <c r="D1064" t="s">
        <v>38</v>
      </c>
      <c r="E1064" t="s">
        <v>39</v>
      </c>
      <c r="F1064" s="3">
        <v>1389</v>
      </c>
      <c r="G1064" t="s">
        <v>40</v>
      </c>
      <c r="H1064" s="1">
        <v>2</v>
      </c>
      <c r="I1064" t="s">
        <v>59</v>
      </c>
      <c r="J1064" t="s">
        <v>46</v>
      </c>
      <c r="K1064" t="s">
        <v>61</v>
      </c>
      <c r="L1064" t="s">
        <v>41</v>
      </c>
      <c r="M1064" s="3">
        <v>86</v>
      </c>
      <c r="N1064" t="s">
        <v>60</v>
      </c>
      <c r="O1064" t="s">
        <v>60</v>
      </c>
      <c r="P1064" t="s">
        <v>48</v>
      </c>
      <c r="Q1064" t="s">
        <v>60</v>
      </c>
      <c r="R1064" t="s">
        <v>37</v>
      </c>
      <c r="S1064" s="3">
        <v>10209</v>
      </c>
      <c r="T1064" s="3">
        <v>19719</v>
      </c>
      <c r="U1064" s="3" t="str">
        <f t="shared" si="67"/>
        <v>High</v>
      </c>
      <c r="V1064">
        <v>5</v>
      </c>
      <c r="W1064" t="s">
        <v>31</v>
      </c>
      <c r="X1064" s="2">
        <v>18</v>
      </c>
      <c r="Y1064" t="s">
        <v>60</v>
      </c>
      <c r="Z1064" t="s">
        <v>61</v>
      </c>
      <c r="AA1064">
        <v>0</v>
      </c>
      <c r="AB1064">
        <v>16</v>
      </c>
      <c r="AC1064">
        <v>2</v>
      </c>
      <c r="AD1064">
        <v>2</v>
      </c>
      <c r="AE1064">
        <v>2</v>
      </c>
      <c r="AF1064">
        <v>2</v>
      </c>
      <c r="AG1064">
        <v>2</v>
      </c>
      <c r="AH1064">
        <v>2</v>
      </c>
      <c r="AI1064" t="str">
        <f t="shared" si="64"/>
        <v>0-2 Years</v>
      </c>
      <c r="AJ1064" t="str">
        <f t="shared" si="65"/>
        <v>0-2</v>
      </c>
    </row>
    <row r="1065" spans="1:36" x14ac:dyDescent="0.35">
      <c r="A1065">
        <v>1064</v>
      </c>
      <c r="B1065">
        <v>29</v>
      </c>
      <c r="C1065" t="str">
        <f t="shared" si="66"/>
        <v>26-35</v>
      </c>
      <c r="D1065" t="s">
        <v>38</v>
      </c>
      <c r="E1065" t="s">
        <v>32</v>
      </c>
      <c r="F1065" s="3">
        <v>1389</v>
      </c>
      <c r="G1065" t="s">
        <v>33</v>
      </c>
      <c r="H1065" s="1">
        <v>19</v>
      </c>
      <c r="I1065" t="s">
        <v>61</v>
      </c>
      <c r="J1065" t="s">
        <v>34</v>
      </c>
      <c r="K1065" t="s">
        <v>60</v>
      </c>
      <c r="L1065" t="s">
        <v>41</v>
      </c>
      <c r="M1065" s="3">
        <v>77</v>
      </c>
      <c r="N1065" t="s">
        <v>61</v>
      </c>
      <c r="O1065" t="s">
        <v>61</v>
      </c>
      <c r="P1065" t="s">
        <v>36</v>
      </c>
      <c r="Q1065" t="s">
        <v>60</v>
      </c>
      <c r="R1065" t="s">
        <v>47</v>
      </c>
      <c r="S1065" s="3">
        <v>8620</v>
      </c>
      <c r="T1065" s="3">
        <v>23757</v>
      </c>
      <c r="U1065" s="3" t="str">
        <f t="shared" si="67"/>
        <v>Medium</v>
      </c>
      <c r="V1065">
        <v>1</v>
      </c>
      <c r="W1065" t="s">
        <v>38</v>
      </c>
      <c r="X1065" s="2">
        <v>14</v>
      </c>
      <c r="Y1065" t="s">
        <v>60</v>
      </c>
      <c r="Z1065" t="s">
        <v>60</v>
      </c>
      <c r="AA1065">
        <v>2</v>
      </c>
      <c r="AB1065">
        <v>10</v>
      </c>
      <c r="AC1065">
        <v>3</v>
      </c>
      <c r="AD1065">
        <v>3</v>
      </c>
      <c r="AE1065">
        <v>10</v>
      </c>
      <c r="AF1065">
        <v>7</v>
      </c>
      <c r="AG1065">
        <v>0</v>
      </c>
      <c r="AH1065">
        <v>4</v>
      </c>
      <c r="AI1065" t="str">
        <f t="shared" si="64"/>
        <v>6-10 Years</v>
      </c>
      <c r="AJ1065" t="str">
        <f t="shared" si="65"/>
        <v>0-2</v>
      </c>
    </row>
    <row r="1066" spans="1:36" x14ac:dyDescent="0.35">
      <c r="A1066">
        <v>1065</v>
      </c>
      <c r="B1066">
        <v>30</v>
      </c>
      <c r="C1066" t="str">
        <f t="shared" si="66"/>
        <v>26-35</v>
      </c>
      <c r="D1066" t="s">
        <v>38</v>
      </c>
      <c r="E1066" t="s">
        <v>32</v>
      </c>
      <c r="F1066" s="3">
        <v>1389</v>
      </c>
      <c r="G1066" t="s">
        <v>56</v>
      </c>
      <c r="H1066" s="1">
        <v>1</v>
      </c>
      <c r="I1066" t="s">
        <v>61</v>
      </c>
      <c r="J1066" t="s">
        <v>34</v>
      </c>
      <c r="K1066" t="s">
        <v>60</v>
      </c>
      <c r="L1066" t="s">
        <v>41</v>
      </c>
      <c r="M1066" s="3">
        <v>46</v>
      </c>
      <c r="N1066" t="s">
        <v>60</v>
      </c>
      <c r="O1066" t="s">
        <v>59</v>
      </c>
      <c r="P1066" t="s">
        <v>56</v>
      </c>
      <c r="Q1066" t="s">
        <v>60</v>
      </c>
      <c r="R1066" t="s">
        <v>47</v>
      </c>
      <c r="S1066" s="3">
        <v>2064</v>
      </c>
      <c r="T1066" s="3">
        <v>15428</v>
      </c>
      <c r="U1066" s="3" t="str">
        <f t="shared" si="67"/>
        <v>Low</v>
      </c>
      <c r="V1066">
        <v>0</v>
      </c>
      <c r="W1066" t="s">
        <v>38</v>
      </c>
      <c r="X1066" s="2">
        <v>21</v>
      </c>
      <c r="Y1066" t="s">
        <v>62</v>
      </c>
      <c r="Z1066" t="s">
        <v>59</v>
      </c>
      <c r="AA1066">
        <v>1</v>
      </c>
      <c r="AB1066">
        <v>6</v>
      </c>
      <c r="AC1066">
        <v>3</v>
      </c>
      <c r="AD1066">
        <v>4</v>
      </c>
      <c r="AE1066">
        <v>5</v>
      </c>
      <c r="AF1066">
        <v>3</v>
      </c>
      <c r="AG1066">
        <v>1</v>
      </c>
      <c r="AH1066">
        <v>3</v>
      </c>
      <c r="AI1066" t="str">
        <f t="shared" si="64"/>
        <v>3-5 Years</v>
      </c>
      <c r="AJ1066" t="str">
        <f t="shared" si="65"/>
        <v>0-2</v>
      </c>
    </row>
    <row r="1067" spans="1:36" x14ac:dyDescent="0.35">
      <c r="A1067">
        <v>1066</v>
      </c>
      <c r="B1067">
        <v>55</v>
      </c>
      <c r="C1067" t="str">
        <f t="shared" si="66"/>
        <v>46-55</v>
      </c>
      <c r="D1067" t="s">
        <v>38</v>
      </c>
      <c r="E1067" t="s">
        <v>32</v>
      </c>
      <c r="F1067" s="3">
        <v>1389</v>
      </c>
      <c r="G1067" t="s">
        <v>40</v>
      </c>
      <c r="H1067" s="1">
        <v>4</v>
      </c>
      <c r="I1067" t="s">
        <v>60</v>
      </c>
      <c r="J1067" t="s">
        <v>34</v>
      </c>
      <c r="K1067" t="s">
        <v>62</v>
      </c>
      <c r="L1067" t="s">
        <v>41</v>
      </c>
      <c r="M1067" s="3">
        <v>30</v>
      </c>
      <c r="N1067" t="s">
        <v>60</v>
      </c>
      <c r="O1067" t="s">
        <v>61</v>
      </c>
      <c r="P1067" t="s">
        <v>49</v>
      </c>
      <c r="Q1067" t="s">
        <v>60</v>
      </c>
      <c r="R1067" t="s">
        <v>43</v>
      </c>
      <c r="S1067" s="3">
        <v>4035</v>
      </c>
      <c r="T1067" s="3">
        <v>16143</v>
      </c>
      <c r="U1067" s="3" t="str">
        <f t="shared" si="67"/>
        <v>Low</v>
      </c>
      <c r="V1067">
        <v>0</v>
      </c>
      <c r="W1067" t="s">
        <v>31</v>
      </c>
      <c r="X1067" s="2">
        <v>16</v>
      </c>
      <c r="Y1067" t="s">
        <v>60</v>
      </c>
      <c r="Z1067" t="s">
        <v>61</v>
      </c>
      <c r="AA1067">
        <v>0</v>
      </c>
      <c r="AB1067">
        <v>4</v>
      </c>
      <c r="AC1067">
        <v>2</v>
      </c>
      <c r="AD1067">
        <v>3</v>
      </c>
      <c r="AE1067">
        <v>3</v>
      </c>
      <c r="AF1067">
        <v>2</v>
      </c>
      <c r="AG1067">
        <v>1</v>
      </c>
      <c r="AH1067">
        <v>2</v>
      </c>
      <c r="AI1067" t="str">
        <f t="shared" si="64"/>
        <v>3-5 Years</v>
      </c>
      <c r="AJ1067" t="str">
        <f t="shared" si="65"/>
        <v>0-2</v>
      </c>
    </row>
    <row r="1068" spans="1:36" x14ac:dyDescent="0.35">
      <c r="A1068">
        <v>1067</v>
      </c>
      <c r="B1068">
        <v>33</v>
      </c>
      <c r="C1068" t="str">
        <f t="shared" si="66"/>
        <v>26-35</v>
      </c>
      <c r="D1068" t="s">
        <v>38</v>
      </c>
      <c r="E1068" t="s">
        <v>32</v>
      </c>
      <c r="F1068" s="3">
        <v>1389</v>
      </c>
      <c r="G1068" t="s">
        <v>40</v>
      </c>
      <c r="H1068" s="1">
        <v>4</v>
      </c>
      <c r="I1068" t="s">
        <v>60</v>
      </c>
      <c r="J1068" t="s">
        <v>46</v>
      </c>
      <c r="K1068" t="s">
        <v>59</v>
      </c>
      <c r="L1068" t="s">
        <v>35</v>
      </c>
      <c r="M1068" s="3">
        <v>82</v>
      </c>
      <c r="N1068" t="s">
        <v>61</v>
      </c>
      <c r="O1068" t="s">
        <v>59</v>
      </c>
      <c r="P1068" t="s">
        <v>45</v>
      </c>
      <c r="Q1068" t="s">
        <v>61</v>
      </c>
      <c r="R1068" t="s">
        <v>43</v>
      </c>
      <c r="S1068" s="3">
        <v>3838</v>
      </c>
      <c r="T1068" s="3">
        <v>8192</v>
      </c>
      <c r="U1068" s="3" t="str">
        <f t="shared" si="67"/>
        <v>Low</v>
      </c>
      <c r="V1068">
        <v>8</v>
      </c>
      <c r="W1068" t="s">
        <v>38</v>
      </c>
      <c r="X1068" s="2">
        <v>11</v>
      </c>
      <c r="Y1068" t="s">
        <v>60</v>
      </c>
      <c r="Z1068" t="s">
        <v>62</v>
      </c>
      <c r="AA1068">
        <v>0</v>
      </c>
      <c r="AB1068">
        <v>8</v>
      </c>
      <c r="AC1068">
        <v>5</v>
      </c>
      <c r="AD1068">
        <v>3</v>
      </c>
      <c r="AE1068">
        <v>5</v>
      </c>
      <c r="AF1068">
        <v>4</v>
      </c>
      <c r="AG1068">
        <v>0</v>
      </c>
      <c r="AH1068">
        <v>2</v>
      </c>
      <c r="AI1068" t="str">
        <f t="shared" si="64"/>
        <v>3-5 Years</v>
      </c>
      <c r="AJ1068" t="str">
        <f t="shared" si="65"/>
        <v>0-2</v>
      </c>
    </row>
    <row r="1069" spans="1:36" x14ac:dyDescent="0.35">
      <c r="A1069">
        <v>1068</v>
      </c>
      <c r="B1069">
        <v>47</v>
      </c>
      <c r="C1069" t="str">
        <f t="shared" si="66"/>
        <v>46-55</v>
      </c>
      <c r="D1069" t="s">
        <v>38</v>
      </c>
      <c r="E1069" t="s">
        <v>32</v>
      </c>
      <c r="F1069" s="3">
        <v>1389</v>
      </c>
      <c r="G1069" t="s">
        <v>33</v>
      </c>
      <c r="H1069" s="1">
        <v>14</v>
      </c>
      <c r="I1069" t="s">
        <v>61</v>
      </c>
      <c r="J1069" t="s">
        <v>46</v>
      </c>
      <c r="K1069" t="s">
        <v>60</v>
      </c>
      <c r="L1069" t="s">
        <v>35</v>
      </c>
      <c r="M1069" s="3">
        <v>78</v>
      </c>
      <c r="N1069" t="s">
        <v>60</v>
      </c>
      <c r="O1069" t="s">
        <v>61</v>
      </c>
      <c r="P1069" t="s">
        <v>36</v>
      </c>
      <c r="Q1069" t="s">
        <v>60</v>
      </c>
      <c r="R1069" t="s">
        <v>43</v>
      </c>
      <c r="S1069" s="3">
        <v>4591</v>
      </c>
      <c r="T1069" s="3">
        <v>24200</v>
      </c>
      <c r="U1069" s="3" t="str">
        <f t="shared" si="67"/>
        <v>Low</v>
      </c>
      <c r="V1069">
        <v>3</v>
      </c>
      <c r="W1069" t="s">
        <v>31</v>
      </c>
      <c r="X1069" s="2">
        <v>17</v>
      </c>
      <c r="Y1069" t="s">
        <v>60</v>
      </c>
      <c r="Z1069" t="s">
        <v>60</v>
      </c>
      <c r="AA1069">
        <v>1</v>
      </c>
      <c r="AB1069">
        <v>11</v>
      </c>
      <c r="AC1069">
        <v>4</v>
      </c>
      <c r="AD1069">
        <v>2</v>
      </c>
      <c r="AE1069">
        <v>5</v>
      </c>
      <c r="AF1069">
        <v>4</v>
      </c>
      <c r="AG1069">
        <v>1</v>
      </c>
      <c r="AH1069">
        <v>2</v>
      </c>
      <c r="AI1069" t="str">
        <f t="shared" si="64"/>
        <v>3-5 Years</v>
      </c>
      <c r="AJ1069" t="str">
        <f t="shared" si="65"/>
        <v>0-2</v>
      </c>
    </row>
    <row r="1070" spans="1:36" x14ac:dyDescent="0.35">
      <c r="A1070">
        <v>1069</v>
      </c>
      <c r="B1070">
        <v>28</v>
      </c>
      <c r="C1070" t="str">
        <f t="shared" si="66"/>
        <v>26-35</v>
      </c>
      <c r="D1070" t="s">
        <v>31</v>
      </c>
      <c r="E1070" t="s">
        <v>39</v>
      </c>
      <c r="F1070" s="3">
        <v>1389</v>
      </c>
      <c r="G1070" t="s">
        <v>40</v>
      </c>
      <c r="H1070" s="1">
        <v>2</v>
      </c>
      <c r="I1070" t="s">
        <v>58</v>
      </c>
      <c r="J1070" t="s">
        <v>46</v>
      </c>
      <c r="K1070" t="s">
        <v>60</v>
      </c>
      <c r="L1070" t="s">
        <v>41</v>
      </c>
      <c r="M1070" s="3">
        <v>38</v>
      </c>
      <c r="N1070" t="s">
        <v>61</v>
      </c>
      <c r="O1070" t="s">
        <v>59</v>
      </c>
      <c r="P1070" t="s">
        <v>45</v>
      </c>
      <c r="Q1070" t="s">
        <v>59</v>
      </c>
      <c r="R1070" t="s">
        <v>37</v>
      </c>
      <c r="S1070" s="3">
        <v>2561</v>
      </c>
      <c r="T1070" s="3">
        <v>5355</v>
      </c>
      <c r="U1070" s="3" t="str">
        <f t="shared" si="67"/>
        <v>Low</v>
      </c>
      <c r="V1070">
        <v>7</v>
      </c>
      <c r="W1070" t="s">
        <v>38</v>
      </c>
      <c r="X1070" s="2">
        <v>11</v>
      </c>
      <c r="Y1070" t="s">
        <v>60</v>
      </c>
      <c r="Z1070" t="s">
        <v>60</v>
      </c>
      <c r="AA1070">
        <v>0</v>
      </c>
      <c r="AB1070">
        <v>8</v>
      </c>
      <c r="AC1070">
        <v>2</v>
      </c>
      <c r="AD1070">
        <v>2</v>
      </c>
      <c r="AE1070">
        <v>0</v>
      </c>
      <c r="AF1070">
        <v>0</v>
      </c>
      <c r="AG1070">
        <v>0</v>
      </c>
      <c r="AH1070">
        <v>0</v>
      </c>
      <c r="AI1070" t="str">
        <f t="shared" si="64"/>
        <v>0-2 Years</v>
      </c>
      <c r="AJ1070" t="str">
        <f t="shared" si="65"/>
        <v>0-2</v>
      </c>
    </row>
    <row r="1071" spans="1:36" x14ac:dyDescent="0.35">
      <c r="A1071">
        <v>1070</v>
      </c>
      <c r="B1071">
        <v>28</v>
      </c>
      <c r="C1071" t="str">
        <f t="shared" si="66"/>
        <v>26-35</v>
      </c>
      <c r="D1071" t="s">
        <v>38</v>
      </c>
      <c r="E1071" t="s">
        <v>32</v>
      </c>
      <c r="F1071" s="3">
        <v>1389</v>
      </c>
      <c r="G1071" t="s">
        <v>40</v>
      </c>
      <c r="H1071" s="1">
        <v>1</v>
      </c>
      <c r="I1071" t="s">
        <v>61</v>
      </c>
      <c r="J1071" t="s">
        <v>34</v>
      </c>
      <c r="K1071" t="s">
        <v>59</v>
      </c>
      <c r="L1071" t="s">
        <v>41</v>
      </c>
      <c r="M1071" s="3">
        <v>72</v>
      </c>
      <c r="N1071" t="s">
        <v>61</v>
      </c>
      <c r="O1071" t="s">
        <v>59</v>
      </c>
      <c r="P1071" t="s">
        <v>42</v>
      </c>
      <c r="Q1071" t="s">
        <v>60</v>
      </c>
      <c r="R1071" t="s">
        <v>47</v>
      </c>
      <c r="S1071" s="3">
        <v>1563</v>
      </c>
      <c r="T1071" s="3">
        <v>12530</v>
      </c>
      <c r="U1071" s="3" t="str">
        <f t="shared" si="67"/>
        <v>Low</v>
      </c>
      <c r="V1071">
        <v>1</v>
      </c>
      <c r="W1071" t="s">
        <v>38</v>
      </c>
      <c r="X1071" s="2">
        <v>14</v>
      </c>
      <c r="Y1071" t="s">
        <v>60</v>
      </c>
      <c r="Z1071" t="s">
        <v>62</v>
      </c>
      <c r="AA1071">
        <v>1</v>
      </c>
      <c r="AB1071">
        <v>1</v>
      </c>
      <c r="AC1071">
        <v>2</v>
      </c>
      <c r="AD1071">
        <v>1</v>
      </c>
      <c r="AE1071">
        <v>1</v>
      </c>
      <c r="AF1071">
        <v>0</v>
      </c>
      <c r="AG1071">
        <v>0</v>
      </c>
      <c r="AH1071">
        <v>0</v>
      </c>
      <c r="AI1071" t="str">
        <f t="shared" si="64"/>
        <v>0-2 Years</v>
      </c>
      <c r="AJ1071" t="str">
        <f t="shared" si="65"/>
        <v>0-2</v>
      </c>
    </row>
    <row r="1072" spans="1:36" x14ac:dyDescent="0.35">
      <c r="A1072">
        <v>1071</v>
      </c>
      <c r="B1072">
        <v>28</v>
      </c>
      <c r="C1072" t="str">
        <f t="shared" si="66"/>
        <v>26-35</v>
      </c>
      <c r="D1072" t="s">
        <v>38</v>
      </c>
      <c r="E1072" t="s">
        <v>39</v>
      </c>
      <c r="F1072" s="3">
        <v>1389</v>
      </c>
      <c r="G1072" t="s">
        <v>33</v>
      </c>
      <c r="H1072" s="1">
        <v>7</v>
      </c>
      <c r="I1072" t="s">
        <v>61</v>
      </c>
      <c r="J1072" t="s">
        <v>34</v>
      </c>
      <c r="K1072" t="s">
        <v>60</v>
      </c>
      <c r="L1072" t="s">
        <v>41</v>
      </c>
      <c r="M1072" s="3">
        <v>55</v>
      </c>
      <c r="N1072" t="s">
        <v>60</v>
      </c>
      <c r="O1072" t="s">
        <v>61</v>
      </c>
      <c r="P1072" t="s">
        <v>36</v>
      </c>
      <c r="Q1072" t="s">
        <v>59</v>
      </c>
      <c r="R1072" t="s">
        <v>37</v>
      </c>
      <c r="S1072" s="3">
        <v>4898</v>
      </c>
      <c r="T1072" s="3">
        <v>11827</v>
      </c>
      <c r="U1072" s="3" t="str">
        <f t="shared" si="67"/>
        <v>Low</v>
      </c>
      <c r="V1072">
        <v>0</v>
      </c>
      <c r="W1072" t="s">
        <v>38</v>
      </c>
      <c r="X1072" s="2">
        <v>14</v>
      </c>
      <c r="Y1072" t="s">
        <v>60</v>
      </c>
      <c r="Z1072" t="s">
        <v>62</v>
      </c>
      <c r="AA1072">
        <v>0</v>
      </c>
      <c r="AB1072">
        <v>5</v>
      </c>
      <c r="AC1072">
        <v>5</v>
      </c>
      <c r="AD1072">
        <v>3</v>
      </c>
      <c r="AE1072">
        <v>4</v>
      </c>
      <c r="AF1072">
        <v>2</v>
      </c>
      <c r="AG1072">
        <v>1</v>
      </c>
      <c r="AH1072">
        <v>3</v>
      </c>
      <c r="AI1072" t="str">
        <f t="shared" si="64"/>
        <v>3-5 Years</v>
      </c>
      <c r="AJ1072" t="str">
        <f t="shared" si="65"/>
        <v>0-2</v>
      </c>
    </row>
    <row r="1073" spans="1:36" x14ac:dyDescent="0.35">
      <c r="A1073">
        <v>1072</v>
      </c>
      <c r="B1073">
        <v>49</v>
      </c>
      <c r="C1073" t="str">
        <f t="shared" si="66"/>
        <v>46-55</v>
      </c>
      <c r="D1073" t="s">
        <v>38</v>
      </c>
      <c r="E1073" t="s">
        <v>32</v>
      </c>
      <c r="F1073" s="3">
        <v>1389</v>
      </c>
      <c r="G1073" t="s">
        <v>40</v>
      </c>
      <c r="H1073" s="1">
        <v>3</v>
      </c>
      <c r="I1073" t="s">
        <v>58</v>
      </c>
      <c r="J1073" t="s">
        <v>46</v>
      </c>
      <c r="K1073" t="s">
        <v>60</v>
      </c>
      <c r="L1073" t="s">
        <v>35</v>
      </c>
      <c r="M1073" s="3">
        <v>43</v>
      </c>
      <c r="N1073" t="s">
        <v>61</v>
      </c>
      <c r="O1073" t="s">
        <v>61</v>
      </c>
      <c r="P1073" t="s">
        <v>45</v>
      </c>
      <c r="Q1073" t="s">
        <v>59</v>
      </c>
      <c r="R1073" t="s">
        <v>43</v>
      </c>
      <c r="S1073" s="3">
        <v>4789</v>
      </c>
      <c r="T1073" s="3">
        <v>23070</v>
      </c>
      <c r="U1073" s="3" t="str">
        <f t="shared" si="67"/>
        <v>Low</v>
      </c>
      <c r="V1073">
        <v>4</v>
      </c>
      <c r="W1073" t="s">
        <v>38</v>
      </c>
      <c r="X1073" s="2">
        <v>25</v>
      </c>
      <c r="Y1073" t="s">
        <v>62</v>
      </c>
      <c r="Z1073" t="s">
        <v>59</v>
      </c>
      <c r="AA1073">
        <v>1</v>
      </c>
      <c r="AB1073">
        <v>10</v>
      </c>
      <c r="AC1073">
        <v>3</v>
      </c>
      <c r="AD1073">
        <v>3</v>
      </c>
      <c r="AE1073">
        <v>3</v>
      </c>
      <c r="AF1073">
        <v>2</v>
      </c>
      <c r="AG1073">
        <v>1</v>
      </c>
      <c r="AH1073">
        <v>2</v>
      </c>
      <c r="AI1073" t="str">
        <f t="shared" si="64"/>
        <v>3-5 Years</v>
      </c>
      <c r="AJ1073" t="str">
        <f t="shared" si="65"/>
        <v>0-2</v>
      </c>
    </row>
    <row r="1074" spans="1:36" x14ac:dyDescent="0.35">
      <c r="A1074">
        <v>1073</v>
      </c>
      <c r="B1074">
        <v>29</v>
      </c>
      <c r="C1074" t="str">
        <f t="shared" si="66"/>
        <v>26-35</v>
      </c>
      <c r="D1074" t="s">
        <v>38</v>
      </c>
      <c r="E1074" t="s">
        <v>39</v>
      </c>
      <c r="F1074" s="3">
        <v>1389</v>
      </c>
      <c r="G1074" t="s">
        <v>40</v>
      </c>
      <c r="H1074" s="1">
        <v>2</v>
      </c>
      <c r="I1074" t="s">
        <v>59</v>
      </c>
      <c r="J1074" t="s">
        <v>34</v>
      </c>
      <c r="K1074" t="s">
        <v>62</v>
      </c>
      <c r="L1074" t="s">
        <v>35</v>
      </c>
      <c r="M1074" s="3">
        <v>97</v>
      </c>
      <c r="N1074" t="s">
        <v>60</v>
      </c>
      <c r="O1074" t="s">
        <v>59</v>
      </c>
      <c r="P1074" t="s">
        <v>45</v>
      </c>
      <c r="Q1074" t="s">
        <v>61</v>
      </c>
      <c r="R1074" t="s">
        <v>43</v>
      </c>
      <c r="S1074" s="3">
        <v>3180</v>
      </c>
      <c r="T1074" s="3">
        <v>4668</v>
      </c>
      <c r="U1074" s="3" t="str">
        <f t="shared" si="67"/>
        <v>Low</v>
      </c>
      <c r="V1074">
        <v>0</v>
      </c>
      <c r="W1074" t="s">
        <v>38</v>
      </c>
      <c r="X1074" s="2">
        <v>13</v>
      </c>
      <c r="Y1074" t="s">
        <v>60</v>
      </c>
      <c r="Z1074" t="s">
        <v>60</v>
      </c>
      <c r="AA1074">
        <v>3</v>
      </c>
      <c r="AB1074">
        <v>4</v>
      </c>
      <c r="AC1074">
        <v>3</v>
      </c>
      <c r="AD1074">
        <v>3</v>
      </c>
      <c r="AE1074">
        <v>3</v>
      </c>
      <c r="AF1074">
        <v>2</v>
      </c>
      <c r="AG1074">
        <v>0</v>
      </c>
      <c r="AH1074">
        <v>2</v>
      </c>
      <c r="AI1074" t="str">
        <f t="shared" si="64"/>
        <v>3-5 Years</v>
      </c>
      <c r="AJ1074" t="str">
        <f t="shared" si="65"/>
        <v>0-2</v>
      </c>
    </row>
    <row r="1075" spans="1:36" x14ac:dyDescent="0.35">
      <c r="A1075">
        <v>1074</v>
      </c>
      <c r="B1075">
        <v>28</v>
      </c>
      <c r="C1075" t="str">
        <f t="shared" si="66"/>
        <v>26-35</v>
      </c>
      <c r="D1075" t="s">
        <v>38</v>
      </c>
      <c r="E1075" t="s">
        <v>32</v>
      </c>
      <c r="F1075" s="3">
        <v>1389</v>
      </c>
      <c r="G1075" t="s">
        <v>40</v>
      </c>
      <c r="H1075" s="1">
        <v>29</v>
      </c>
      <c r="I1075" t="s">
        <v>59</v>
      </c>
      <c r="J1075" t="s">
        <v>34</v>
      </c>
      <c r="K1075" t="s">
        <v>60</v>
      </c>
      <c r="L1075" t="s">
        <v>41</v>
      </c>
      <c r="M1075" s="3">
        <v>96</v>
      </c>
      <c r="N1075" t="s">
        <v>59</v>
      </c>
      <c r="O1075" t="s">
        <v>61</v>
      </c>
      <c r="P1075" t="s">
        <v>48</v>
      </c>
      <c r="Q1075" t="s">
        <v>61</v>
      </c>
      <c r="R1075" t="s">
        <v>43</v>
      </c>
      <c r="S1075" s="3">
        <v>6549</v>
      </c>
      <c r="T1075" s="3">
        <v>3173</v>
      </c>
      <c r="U1075" s="3" t="str">
        <f t="shared" si="67"/>
        <v>Medium</v>
      </c>
      <c r="V1075">
        <v>1</v>
      </c>
      <c r="W1075" t="s">
        <v>38</v>
      </c>
      <c r="X1075" s="2">
        <v>14</v>
      </c>
      <c r="Y1075" t="s">
        <v>60</v>
      </c>
      <c r="Z1075" t="s">
        <v>61</v>
      </c>
      <c r="AA1075">
        <v>2</v>
      </c>
      <c r="AB1075">
        <v>8</v>
      </c>
      <c r="AC1075">
        <v>2</v>
      </c>
      <c r="AD1075">
        <v>2</v>
      </c>
      <c r="AE1075">
        <v>8</v>
      </c>
      <c r="AF1075">
        <v>6</v>
      </c>
      <c r="AG1075">
        <v>1</v>
      </c>
      <c r="AH1075">
        <v>7</v>
      </c>
      <c r="AI1075" t="str">
        <f t="shared" si="64"/>
        <v>6-10 Years</v>
      </c>
      <c r="AJ1075" t="str">
        <f t="shared" si="65"/>
        <v>0-2</v>
      </c>
    </row>
    <row r="1076" spans="1:36" x14ac:dyDescent="0.35">
      <c r="A1076">
        <v>1075</v>
      </c>
      <c r="B1076">
        <v>33</v>
      </c>
      <c r="C1076" t="str">
        <f t="shared" si="66"/>
        <v>26-35</v>
      </c>
      <c r="D1076" t="s">
        <v>38</v>
      </c>
      <c r="E1076" t="s">
        <v>32</v>
      </c>
      <c r="F1076" s="3">
        <v>1389</v>
      </c>
      <c r="G1076" t="s">
        <v>40</v>
      </c>
      <c r="H1076" s="1">
        <v>8</v>
      </c>
      <c r="I1076" t="s">
        <v>62</v>
      </c>
      <c r="J1076" t="s">
        <v>34</v>
      </c>
      <c r="K1076" t="s">
        <v>62</v>
      </c>
      <c r="L1076" t="s">
        <v>41</v>
      </c>
      <c r="M1076" s="3">
        <v>69</v>
      </c>
      <c r="N1076" t="s">
        <v>60</v>
      </c>
      <c r="O1076" t="s">
        <v>61</v>
      </c>
      <c r="P1076" t="s">
        <v>49</v>
      </c>
      <c r="Q1076" t="s">
        <v>60</v>
      </c>
      <c r="R1076" t="s">
        <v>37</v>
      </c>
      <c r="S1076" s="3">
        <v>6388</v>
      </c>
      <c r="T1076" s="3">
        <v>22049</v>
      </c>
      <c r="U1076" s="3" t="str">
        <f t="shared" si="67"/>
        <v>Medium</v>
      </c>
      <c r="V1076">
        <v>2</v>
      </c>
      <c r="W1076" t="s">
        <v>31</v>
      </c>
      <c r="X1076" s="2">
        <v>17</v>
      </c>
      <c r="Y1076" t="s">
        <v>60</v>
      </c>
      <c r="Z1076" t="s">
        <v>59</v>
      </c>
      <c r="AA1076">
        <v>0</v>
      </c>
      <c r="AB1076">
        <v>14</v>
      </c>
      <c r="AC1076">
        <v>6</v>
      </c>
      <c r="AD1076">
        <v>3</v>
      </c>
      <c r="AE1076">
        <v>0</v>
      </c>
      <c r="AF1076">
        <v>0</v>
      </c>
      <c r="AG1076">
        <v>0</v>
      </c>
      <c r="AH1076">
        <v>0</v>
      </c>
      <c r="AI1076" t="str">
        <f t="shared" si="64"/>
        <v>0-2 Years</v>
      </c>
      <c r="AJ1076" t="str">
        <f t="shared" si="65"/>
        <v>0-2</v>
      </c>
    </row>
    <row r="1077" spans="1:36" x14ac:dyDescent="0.35">
      <c r="A1077">
        <v>1076</v>
      </c>
      <c r="B1077">
        <v>32</v>
      </c>
      <c r="C1077" t="str">
        <f t="shared" si="66"/>
        <v>26-35</v>
      </c>
      <c r="D1077" t="s">
        <v>38</v>
      </c>
      <c r="E1077" t="s">
        <v>32</v>
      </c>
      <c r="F1077" s="3">
        <v>1389</v>
      </c>
      <c r="G1077" t="s">
        <v>40</v>
      </c>
      <c r="H1077" s="1">
        <v>10</v>
      </c>
      <c r="I1077" t="s">
        <v>61</v>
      </c>
      <c r="J1077" t="s">
        <v>46</v>
      </c>
      <c r="K1077" t="s">
        <v>60</v>
      </c>
      <c r="L1077" t="s">
        <v>41</v>
      </c>
      <c r="M1077" s="3">
        <v>64</v>
      </c>
      <c r="N1077" t="s">
        <v>60</v>
      </c>
      <c r="O1077" t="s">
        <v>60</v>
      </c>
      <c r="P1077" t="s">
        <v>51</v>
      </c>
      <c r="Q1077" t="s">
        <v>62</v>
      </c>
      <c r="R1077" t="s">
        <v>37</v>
      </c>
      <c r="S1077" s="3">
        <v>11244</v>
      </c>
      <c r="T1077" s="3">
        <v>21072</v>
      </c>
      <c r="U1077" s="3" t="str">
        <f t="shared" si="67"/>
        <v>High</v>
      </c>
      <c r="V1077">
        <v>2</v>
      </c>
      <c r="W1077" t="s">
        <v>38</v>
      </c>
      <c r="X1077" s="2">
        <v>25</v>
      </c>
      <c r="Y1077" t="s">
        <v>62</v>
      </c>
      <c r="Z1077" t="s">
        <v>61</v>
      </c>
      <c r="AA1077">
        <v>0</v>
      </c>
      <c r="AB1077">
        <v>10</v>
      </c>
      <c r="AC1077">
        <v>5</v>
      </c>
      <c r="AD1077">
        <v>4</v>
      </c>
      <c r="AE1077">
        <v>5</v>
      </c>
      <c r="AF1077">
        <v>2</v>
      </c>
      <c r="AG1077">
        <v>0</v>
      </c>
      <c r="AH1077">
        <v>0</v>
      </c>
      <c r="AI1077" t="str">
        <f t="shared" si="64"/>
        <v>3-5 Years</v>
      </c>
      <c r="AJ1077" t="str">
        <f t="shared" si="65"/>
        <v>0-2</v>
      </c>
    </row>
    <row r="1078" spans="1:36" x14ac:dyDescent="0.35">
      <c r="A1078">
        <v>1077</v>
      </c>
      <c r="B1078">
        <v>54</v>
      </c>
      <c r="C1078" t="str">
        <f t="shared" si="66"/>
        <v>46-55</v>
      </c>
      <c r="D1078" t="s">
        <v>38</v>
      </c>
      <c r="E1078" t="s">
        <v>39</v>
      </c>
      <c r="F1078" s="3">
        <v>1389</v>
      </c>
      <c r="G1078" t="s">
        <v>40</v>
      </c>
      <c r="H1078" s="1">
        <v>11</v>
      </c>
      <c r="I1078" t="s">
        <v>60</v>
      </c>
      <c r="J1078" t="s">
        <v>46</v>
      </c>
      <c r="K1078" t="s">
        <v>61</v>
      </c>
      <c r="L1078" t="s">
        <v>35</v>
      </c>
      <c r="M1078" s="3">
        <v>87</v>
      </c>
      <c r="N1078" t="s">
        <v>60</v>
      </c>
      <c r="O1078" t="s">
        <v>62</v>
      </c>
      <c r="P1078" t="s">
        <v>51</v>
      </c>
      <c r="Q1078" t="s">
        <v>62</v>
      </c>
      <c r="R1078" t="s">
        <v>47</v>
      </c>
      <c r="S1078" s="3">
        <v>16032</v>
      </c>
      <c r="T1078" s="3">
        <v>24456</v>
      </c>
      <c r="U1078" s="3" t="str">
        <f t="shared" si="67"/>
        <v>High</v>
      </c>
      <c r="V1078">
        <v>3</v>
      </c>
      <c r="W1078" t="s">
        <v>38</v>
      </c>
      <c r="X1078" s="2">
        <v>20</v>
      </c>
      <c r="Y1078" t="s">
        <v>62</v>
      </c>
      <c r="Z1078" t="s">
        <v>59</v>
      </c>
      <c r="AA1078">
        <v>1</v>
      </c>
      <c r="AB1078">
        <v>26</v>
      </c>
      <c r="AC1078">
        <v>2</v>
      </c>
      <c r="AD1078">
        <v>3</v>
      </c>
      <c r="AE1078">
        <v>14</v>
      </c>
      <c r="AF1078">
        <v>9</v>
      </c>
      <c r="AG1078">
        <v>1</v>
      </c>
      <c r="AH1078">
        <v>12</v>
      </c>
      <c r="AI1078" t="str">
        <f t="shared" si="64"/>
        <v>10+ Years</v>
      </c>
      <c r="AJ1078" t="str">
        <f t="shared" si="65"/>
        <v>0-2</v>
      </c>
    </row>
    <row r="1079" spans="1:36" x14ac:dyDescent="0.35">
      <c r="A1079">
        <v>1078</v>
      </c>
      <c r="B1079">
        <v>29</v>
      </c>
      <c r="C1079" t="str">
        <f t="shared" si="66"/>
        <v>26-35</v>
      </c>
      <c r="D1079" t="s">
        <v>31</v>
      </c>
      <c r="E1079" t="s">
        <v>32</v>
      </c>
      <c r="F1079" s="3">
        <v>1389</v>
      </c>
      <c r="G1079" t="s">
        <v>40</v>
      </c>
      <c r="H1079" s="1">
        <v>1</v>
      </c>
      <c r="I1079" t="s">
        <v>60</v>
      </c>
      <c r="J1079" t="s">
        <v>55</v>
      </c>
      <c r="K1079" t="s">
        <v>59</v>
      </c>
      <c r="L1079" t="s">
        <v>41</v>
      </c>
      <c r="M1079" s="3">
        <v>100</v>
      </c>
      <c r="N1079" t="s">
        <v>61</v>
      </c>
      <c r="O1079" t="s">
        <v>59</v>
      </c>
      <c r="P1079" t="s">
        <v>42</v>
      </c>
      <c r="Q1079" t="s">
        <v>59</v>
      </c>
      <c r="R1079" t="s">
        <v>37</v>
      </c>
      <c r="S1079" s="3">
        <v>2362</v>
      </c>
      <c r="T1079" s="3">
        <v>7568</v>
      </c>
      <c r="U1079" s="3" t="str">
        <f t="shared" si="67"/>
        <v>Low</v>
      </c>
      <c r="V1079">
        <v>6</v>
      </c>
      <c r="W1079" t="s">
        <v>38</v>
      </c>
      <c r="X1079" s="2">
        <v>13</v>
      </c>
      <c r="Y1079" t="s">
        <v>60</v>
      </c>
      <c r="Z1079" t="s">
        <v>60</v>
      </c>
      <c r="AA1079">
        <v>0</v>
      </c>
      <c r="AB1079">
        <v>11</v>
      </c>
      <c r="AC1079">
        <v>2</v>
      </c>
      <c r="AD1079">
        <v>1</v>
      </c>
      <c r="AE1079">
        <v>9</v>
      </c>
      <c r="AF1079">
        <v>7</v>
      </c>
      <c r="AG1079">
        <v>0</v>
      </c>
      <c r="AH1079">
        <v>7</v>
      </c>
      <c r="AI1079" t="str">
        <f t="shared" si="64"/>
        <v>6-10 Years</v>
      </c>
      <c r="AJ1079" t="str">
        <f t="shared" si="65"/>
        <v>0-2</v>
      </c>
    </row>
    <row r="1080" spans="1:36" x14ac:dyDescent="0.35">
      <c r="A1080">
        <v>1079</v>
      </c>
      <c r="B1080">
        <v>44</v>
      </c>
      <c r="C1080" t="str">
        <f t="shared" si="66"/>
        <v>36-45</v>
      </c>
      <c r="D1080" t="s">
        <v>38</v>
      </c>
      <c r="E1080" t="s">
        <v>32</v>
      </c>
      <c r="F1080" s="3">
        <v>1389</v>
      </c>
      <c r="G1080" t="s">
        <v>40</v>
      </c>
      <c r="H1080" s="1">
        <v>28</v>
      </c>
      <c r="I1080" t="s">
        <v>61</v>
      </c>
      <c r="J1080" t="s">
        <v>34</v>
      </c>
      <c r="K1080" t="s">
        <v>62</v>
      </c>
      <c r="L1080" t="s">
        <v>41</v>
      </c>
      <c r="M1080" s="3">
        <v>32</v>
      </c>
      <c r="N1080" t="s">
        <v>60</v>
      </c>
      <c r="O1080" t="s">
        <v>62</v>
      </c>
      <c r="P1080" t="s">
        <v>53</v>
      </c>
      <c r="Q1080" t="s">
        <v>59</v>
      </c>
      <c r="R1080" t="s">
        <v>43</v>
      </c>
      <c r="S1080" s="3">
        <v>16328</v>
      </c>
      <c r="T1080" s="3">
        <v>22074</v>
      </c>
      <c r="U1080" s="3" t="str">
        <f t="shared" si="67"/>
        <v>High</v>
      </c>
      <c r="V1080">
        <v>3</v>
      </c>
      <c r="W1080" t="s">
        <v>38</v>
      </c>
      <c r="X1080" s="2">
        <v>13</v>
      </c>
      <c r="Y1080" t="s">
        <v>60</v>
      </c>
      <c r="Z1080" t="s">
        <v>60</v>
      </c>
      <c r="AA1080">
        <v>1</v>
      </c>
      <c r="AB1080">
        <v>24</v>
      </c>
      <c r="AC1080">
        <v>1</v>
      </c>
      <c r="AD1080">
        <v>4</v>
      </c>
      <c r="AE1080">
        <v>20</v>
      </c>
      <c r="AF1080">
        <v>6</v>
      </c>
      <c r="AG1080">
        <v>14</v>
      </c>
      <c r="AH1080">
        <v>17</v>
      </c>
      <c r="AI1080" t="str">
        <f t="shared" si="64"/>
        <v>10+ Years</v>
      </c>
      <c r="AJ1080" t="str">
        <f t="shared" si="65"/>
        <v>6+</v>
      </c>
    </row>
    <row r="1081" spans="1:36" x14ac:dyDescent="0.35">
      <c r="A1081">
        <v>1080</v>
      </c>
      <c r="B1081">
        <v>39</v>
      </c>
      <c r="C1081" t="str">
        <f t="shared" si="66"/>
        <v>36-45</v>
      </c>
      <c r="D1081" t="s">
        <v>38</v>
      </c>
      <c r="E1081" t="s">
        <v>32</v>
      </c>
      <c r="F1081" s="3">
        <v>1389</v>
      </c>
      <c r="G1081" t="s">
        <v>40</v>
      </c>
      <c r="H1081" s="1">
        <v>6</v>
      </c>
      <c r="I1081" t="s">
        <v>61</v>
      </c>
      <c r="J1081" t="s">
        <v>34</v>
      </c>
      <c r="K1081" t="s">
        <v>61</v>
      </c>
      <c r="L1081" t="s">
        <v>35</v>
      </c>
      <c r="M1081" s="3">
        <v>32</v>
      </c>
      <c r="N1081" t="s">
        <v>60</v>
      </c>
      <c r="O1081" t="s">
        <v>60</v>
      </c>
      <c r="P1081" t="s">
        <v>48</v>
      </c>
      <c r="Q1081" t="s">
        <v>61</v>
      </c>
      <c r="R1081" t="s">
        <v>37</v>
      </c>
      <c r="S1081" s="3">
        <v>8376</v>
      </c>
      <c r="T1081" s="3">
        <v>9150</v>
      </c>
      <c r="U1081" s="3" t="str">
        <f t="shared" si="67"/>
        <v>Medium</v>
      </c>
      <c r="V1081">
        <v>4</v>
      </c>
      <c r="W1081" t="s">
        <v>38</v>
      </c>
      <c r="X1081" s="2">
        <v>18</v>
      </c>
      <c r="Y1081" t="s">
        <v>60</v>
      </c>
      <c r="Z1081" t="s">
        <v>62</v>
      </c>
      <c r="AA1081">
        <v>0</v>
      </c>
      <c r="AB1081">
        <v>9</v>
      </c>
      <c r="AC1081">
        <v>3</v>
      </c>
      <c r="AD1081">
        <v>3</v>
      </c>
      <c r="AE1081">
        <v>2</v>
      </c>
      <c r="AF1081">
        <v>0</v>
      </c>
      <c r="AG1081">
        <v>2</v>
      </c>
      <c r="AH1081">
        <v>2</v>
      </c>
      <c r="AI1081" t="str">
        <f t="shared" si="64"/>
        <v>0-2 Years</v>
      </c>
      <c r="AJ1081" t="str">
        <f t="shared" si="65"/>
        <v>0-2</v>
      </c>
    </row>
    <row r="1082" spans="1:36" x14ac:dyDescent="0.35">
      <c r="A1082">
        <v>1081</v>
      </c>
      <c r="B1082">
        <v>46</v>
      </c>
      <c r="C1082" t="str">
        <f t="shared" si="66"/>
        <v>46-55</v>
      </c>
      <c r="D1082" t="s">
        <v>38</v>
      </c>
      <c r="E1082" t="s">
        <v>32</v>
      </c>
      <c r="F1082" s="3">
        <v>1389</v>
      </c>
      <c r="G1082" t="s">
        <v>33</v>
      </c>
      <c r="H1082" s="1">
        <v>3</v>
      </c>
      <c r="I1082" t="s">
        <v>61</v>
      </c>
      <c r="J1082" t="s">
        <v>34</v>
      </c>
      <c r="K1082" t="s">
        <v>60</v>
      </c>
      <c r="L1082" t="s">
        <v>35</v>
      </c>
      <c r="M1082" s="3">
        <v>51</v>
      </c>
      <c r="N1082" t="s">
        <v>60</v>
      </c>
      <c r="O1082" t="s">
        <v>62</v>
      </c>
      <c r="P1082" t="s">
        <v>51</v>
      </c>
      <c r="Q1082" t="s">
        <v>61</v>
      </c>
      <c r="R1082" t="s">
        <v>43</v>
      </c>
      <c r="S1082" s="3">
        <v>16606</v>
      </c>
      <c r="T1082" s="3">
        <v>11380</v>
      </c>
      <c r="U1082" s="3" t="str">
        <f t="shared" si="67"/>
        <v>High</v>
      </c>
      <c r="V1082">
        <v>8</v>
      </c>
      <c r="W1082" t="s">
        <v>38</v>
      </c>
      <c r="X1082" s="2">
        <v>12</v>
      </c>
      <c r="Y1082" t="s">
        <v>60</v>
      </c>
      <c r="Z1082" t="s">
        <v>62</v>
      </c>
      <c r="AA1082">
        <v>1</v>
      </c>
      <c r="AB1082">
        <v>23</v>
      </c>
      <c r="AC1082">
        <v>2</v>
      </c>
      <c r="AD1082">
        <v>4</v>
      </c>
      <c r="AE1082">
        <v>13</v>
      </c>
      <c r="AF1082">
        <v>12</v>
      </c>
      <c r="AG1082">
        <v>5</v>
      </c>
      <c r="AH1082">
        <v>1</v>
      </c>
      <c r="AI1082" t="str">
        <f t="shared" si="64"/>
        <v>10+ Years</v>
      </c>
      <c r="AJ1082" t="str">
        <f t="shared" si="65"/>
        <v>3-5</v>
      </c>
    </row>
    <row r="1083" spans="1:36" x14ac:dyDescent="0.35">
      <c r="A1083">
        <v>1082</v>
      </c>
      <c r="B1083">
        <v>35</v>
      </c>
      <c r="C1083" t="str">
        <f t="shared" si="66"/>
        <v>26-35</v>
      </c>
      <c r="D1083" t="s">
        <v>38</v>
      </c>
      <c r="E1083" t="s">
        <v>32</v>
      </c>
      <c r="F1083" s="3">
        <v>1389</v>
      </c>
      <c r="G1083" t="s">
        <v>40</v>
      </c>
      <c r="H1083" s="1">
        <v>16</v>
      </c>
      <c r="I1083" t="s">
        <v>61</v>
      </c>
      <c r="J1083" t="s">
        <v>34</v>
      </c>
      <c r="K1083" t="s">
        <v>62</v>
      </c>
      <c r="L1083" t="s">
        <v>35</v>
      </c>
      <c r="M1083" s="3">
        <v>91</v>
      </c>
      <c r="N1083" t="s">
        <v>61</v>
      </c>
      <c r="O1083" t="s">
        <v>60</v>
      </c>
      <c r="P1083" t="s">
        <v>49</v>
      </c>
      <c r="Q1083" t="s">
        <v>61</v>
      </c>
      <c r="R1083" t="s">
        <v>37</v>
      </c>
      <c r="S1083" s="3">
        <v>8606</v>
      </c>
      <c r="T1083" s="3">
        <v>21195</v>
      </c>
      <c r="U1083" s="3" t="str">
        <f t="shared" si="67"/>
        <v>Medium</v>
      </c>
      <c r="V1083">
        <v>1</v>
      </c>
      <c r="W1083" t="s">
        <v>38</v>
      </c>
      <c r="X1083" s="2">
        <v>19</v>
      </c>
      <c r="Y1083" t="s">
        <v>60</v>
      </c>
      <c r="Z1083" t="s">
        <v>62</v>
      </c>
      <c r="AA1083">
        <v>0</v>
      </c>
      <c r="AB1083">
        <v>11</v>
      </c>
      <c r="AC1083">
        <v>3</v>
      </c>
      <c r="AD1083">
        <v>1</v>
      </c>
      <c r="AE1083">
        <v>11</v>
      </c>
      <c r="AF1083">
        <v>8</v>
      </c>
      <c r="AG1083">
        <v>3</v>
      </c>
      <c r="AH1083">
        <v>3</v>
      </c>
      <c r="AI1083" t="str">
        <f t="shared" si="64"/>
        <v>10+ Years</v>
      </c>
      <c r="AJ1083" t="str">
        <f t="shared" si="65"/>
        <v>3-5</v>
      </c>
    </row>
    <row r="1084" spans="1:36" x14ac:dyDescent="0.35">
      <c r="A1084">
        <v>1083</v>
      </c>
      <c r="B1084">
        <v>23</v>
      </c>
      <c r="C1084" t="str">
        <f t="shared" si="66"/>
        <v>18-25</v>
      </c>
      <c r="D1084" t="s">
        <v>38</v>
      </c>
      <c r="E1084" t="s">
        <v>32</v>
      </c>
      <c r="F1084" s="3">
        <v>1389</v>
      </c>
      <c r="G1084" t="s">
        <v>40</v>
      </c>
      <c r="H1084" s="1">
        <v>20</v>
      </c>
      <c r="I1084" t="s">
        <v>59</v>
      </c>
      <c r="J1084" t="s">
        <v>34</v>
      </c>
      <c r="K1084" t="s">
        <v>59</v>
      </c>
      <c r="L1084" t="s">
        <v>41</v>
      </c>
      <c r="M1084" s="3">
        <v>97</v>
      </c>
      <c r="N1084" t="s">
        <v>60</v>
      </c>
      <c r="O1084" t="s">
        <v>61</v>
      </c>
      <c r="P1084" t="s">
        <v>45</v>
      </c>
      <c r="Q1084" t="s">
        <v>60</v>
      </c>
      <c r="R1084" t="s">
        <v>37</v>
      </c>
      <c r="S1084" s="3">
        <v>2272</v>
      </c>
      <c r="T1084" s="3">
        <v>24812</v>
      </c>
      <c r="U1084" s="3" t="str">
        <f t="shared" si="67"/>
        <v>Low</v>
      </c>
      <c r="V1084">
        <v>0</v>
      </c>
      <c r="W1084" t="s">
        <v>38</v>
      </c>
      <c r="X1084" s="2">
        <v>14</v>
      </c>
      <c r="Y1084" t="s">
        <v>60</v>
      </c>
      <c r="Z1084" t="s">
        <v>61</v>
      </c>
      <c r="AA1084">
        <v>0</v>
      </c>
      <c r="AB1084">
        <v>5</v>
      </c>
      <c r="AC1084">
        <v>2</v>
      </c>
      <c r="AD1084">
        <v>3</v>
      </c>
      <c r="AE1084">
        <v>4</v>
      </c>
      <c r="AF1084">
        <v>3</v>
      </c>
      <c r="AG1084">
        <v>1</v>
      </c>
      <c r="AH1084">
        <v>2</v>
      </c>
      <c r="AI1084" t="str">
        <f t="shared" si="64"/>
        <v>3-5 Years</v>
      </c>
      <c r="AJ1084" t="str">
        <f t="shared" si="65"/>
        <v>0-2</v>
      </c>
    </row>
    <row r="1085" spans="1:36" x14ac:dyDescent="0.35">
      <c r="A1085">
        <v>1084</v>
      </c>
      <c r="B1085">
        <v>40</v>
      </c>
      <c r="C1085" t="str">
        <f t="shared" si="66"/>
        <v>36-45</v>
      </c>
      <c r="D1085" t="s">
        <v>31</v>
      </c>
      <c r="E1085" t="s">
        <v>32</v>
      </c>
      <c r="F1085" s="3">
        <v>1389</v>
      </c>
      <c r="G1085" t="s">
        <v>40</v>
      </c>
      <c r="H1085" s="1">
        <v>9</v>
      </c>
      <c r="I1085" t="s">
        <v>60</v>
      </c>
      <c r="J1085" t="s">
        <v>34</v>
      </c>
      <c r="K1085" t="s">
        <v>62</v>
      </c>
      <c r="L1085" t="s">
        <v>41</v>
      </c>
      <c r="M1085" s="3">
        <v>86</v>
      </c>
      <c r="N1085" t="s">
        <v>60</v>
      </c>
      <c r="O1085" t="s">
        <v>59</v>
      </c>
      <c r="P1085" t="s">
        <v>45</v>
      </c>
      <c r="Q1085" t="s">
        <v>59</v>
      </c>
      <c r="R1085" t="s">
        <v>37</v>
      </c>
      <c r="S1085" s="3">
        <v>2018</v>
      </c>
      <c r="T1085" s="3">
        <v>21831</v>
      </c>
      <c r="U1085" s="3" t="str">
        <f t="shared" si="67"/>
        <v>Low</v>
      </c>
      <c r="V1085">
        <v>3</v>
      </c>
      <c r="W1085" t="s">
        <v>38</v>
      </c>
      <c r="X1085" s="2">
        <v>14</v>
      </c>
      <c r="Y1085" t="s">
        <v>60</v>
      </c>
      <c r="Z1085" t="s">
        <v>61</v>
      </c>
      <c r="AA1085">
        <v>0</v>
      </c>
      <c r="AB1085">
        <v>15</v>
      </c>
      <c r="AC1085">
        <v>3</v>
      </c>
      <c r="AD1085">
        <v>1</v>
      </c>
      <c r="AE1085">
        <v>5</v>
      </c>
      <c r="AF1085">
        <v>4</v>
      </c>
      <c r="AG1085">
        <v>1</v>
      </c>
      <c r="AH1085">
        <v>0</v>
      </c>
      <c r="AI1085" t="str">
        <f t="shared" si="64"/>
        <v>3-5 Years</v>
      </c>
      <c r="AJ1085" t="str">
        <f t="shared" si="65"/>
        <v>0-2</v>
      </c>
    </row>
    <row r="1086" spans="1:36" x14ac:dyDescent="0.35">
      <c r="A1086">
        <v>1085</v>
      </c>
      <c r="B1086">
        <v>34</v>
      </c>
      <c r="C1086" t="str">
        <f t="shared" si="66"/>
        <v>26-35</v>
      </c>
      <c r="D1086" t="s">
        <v>38</v>
      </c>
      <c r="E1086" t="s">
        <v>32</v>
      </c>
      <c r="F1086" s="3">
        <v>1389</v>
      </c>
      <c r="G1086" t="s">
        <v>33</v>
      </c>
      <c r="H1086" s="1">
        <v>1</v>
      </c>
      <c r="I1086" t="s">
        <v>61</v>
      </c>
      <c r="J1086" t="s">
        <v>55</v>
      </c>
      <c r="K1086" t="s">
        <v>62</v>
      </c>
      <c r="L1086" t="s">
        <v>41</v>
      </c>
      <c r="M1086" s="3">
        <v>64</v>
      </c>
      <c r="N1086" t="s">
        <v>61</v>
      </c>
      <c r="O1086" t="s">
        <v>60</v>
      </c>
      <c r="P1086" t="s">
        <v>36</v>
      </c>
      <c r="Q1086" t="s">
        <v>60</v>
      </c>
      <c r="R1086" t="s">
        <v>43</v>
      </c>
      <c r="S1086" s="3">
        <v>7083</v>
      </c>
      <c r="T1086" s="3">
        <v>12288</v>
      </c>
      <c r="U1086" s="3" t="str">
        <f t="shared" si="67"/>
        <v>Medium</v>
      </c>
      <c r="V1086">
        <v>1</v>
      </c>
      <c r="W1086" t="s">
        <v>31</v>
      </c>
      <c r="X1086" s="2">
        <v>14</v>
      </c>
      <c r="Y1086" t="s">
        <v>60</v>
      </c>
      <c r="Z1086" t="s">
        <v>62</v>
      </c>
      <c r="AA1086">
        <v>0</v>
      </c>
      <c r="AB1086">
        <v>10</v>
      </c>
      <c r="AC1086">
        <v>3</v>
      </c>
      <c r="AD1086">
        <v>3</v>
      </c>
      <c r="AE1086">
        <v>10</v>
      </c>
      <c r="AF1086">
        <v>9</v>
      </c>
      <c r="AG1086">
        <v>8</v>
      </c>
      <c r="AH1086">
        <v>6</v>
      </c>
      <c r="AI1086" t="str">
        <f t="shared" si="64"/>
        <v>6-10 Years</v>
      </c>
      <c r="AJ1086" t="str">
        <f t="shared" si="65"/>
        <v>6+</v>
      </c>
    </row>
    <row r="1087" spans="1:36" x14ac:dyDescent="0.35">
      <c r="A1087">
        <v>1086</v>
      </c>
      <c r="B1087">
        <v>31</v>
      </c>
      <c r="C1087" t="str">
        <f t="shared" si="66"/>
        <v>26-35</v>
      </c>
      <c r="D1087" t="s">
        <v>31</v>
      </c>
      <c r="E1087" t="s">
        <v>39</v>
      </c>
      <c r="F1087" s="3">
        <v>1389</v>
      </c>
      <c r="G1087" t="s">
        <v>40</v>
      </c>
      <c r="H1087" s="1">
        <v>3</v>
      </c>
      <c r="I1087" t="s">
        <v>61</v>
      </c>
      <c r="J1087" t="s">
        <v>34</v>
      </c>
      <c r="K1087" t="s">
        <v>62</v>
      </c>
      <c r="L1087" t="s">
        <v>35</v>
      </c>
      <c r="M1087" s="3">
        <v>33</v>
      </c>
      <c r="N1087" t="s">
        <v>60</v>
      </c>
      <c r="O1087" t="s">
        <v>59</v>
      </c>
      <c r="P1087" t="s">
        <v>42</v>
      </c>
      <c r="Q1087" t="s">
        <v>60</v>
      </c>
      <c r="R1087" t="s">
        <v>37</v>
      </c>
      <c r="S1087" s="3">
        <v>4084</v>
      </c>
      <c r="T1087" s="3">
        <v>4156</v>
      </c>
      <c r="U1087" s="3" t="str">
        <f t="shared" si="67"/>
        <v>Low</v>
      </c>
      <c r="V1087">
        <v>1</v>
      </c>
      <c r="W1087" t="s">
        <v>38</v>
      </c>
      <c r="X1087" s="2">
        <v>12</v>
      </c>
      <c r="Y1087" t="s">
        <v>60</v>
      </c>
      <c r="Z1087" t="s">
        <v>59</v>
      </c>
      <c r="AA1087">
        <v>0</v>
      </c>
      <c r="AB1087">
        <v>7</v>
      </c>
      <c r="AC1087">
        <v>2</v>
      </c>
      <c r="AD1087">
        <v>1</v>
      </c>
      <c r="AE1087">
        <v>7</v>
      </c>
      <c r="AF1087">
        <v>2</v>
      </c>
      <c r="AG1087">
        <v>7</v>
      </c>
      <c r="AH1087">
        <v>7</v>
      </c>
      <c r="AI1087" t="str">
        <f t="shared" si="64"/>
        <v>6-10 Years</v>
      </c>
      <c r="AJ1087" t="str">
        <f t="shared" si="65"/>
        <v>6+</v>
      </c>
    </row>
    <row r="1088" spans="1:36" x14ac:dyDescent="0.35">
      <c r="A1088">
        <v>1087</v>
      </c>
      <c r="B1088">
        <v>50</v>
      </c>
      <c r="C1088" t="str">
        <f t="shared" si="66"/>
        <v>46-55</v>
      </c>
      <c r="D1088" t="s">
        <v>38</v>
      </c>
      <c r="E1088" t="s">
        <v>39</v>
      </c>
      <c r="F1088" s="3">
        <v>1389</v>
      </c>
      <c r="G1088" t="s">
        <v>40</v>
      </c>
      <c r="H1088" s="1">
        <v>22</v>
      </c>
      <c r="I1088" t="s">
        <v>62</v>
      </c>
      <c r="J1088" t="s">
        <v>46</v>
      </c>
      <c r="K1088" t="s">
        <v>60</v>
      </c>
      <c r="L1088" t="s">
        <v>41</v>
      </c>
      <c r="M1088" s="3">
        <v>88</v>
      </c>
      <c r="N1088" t="s">
        <v>59</v>
      </c>
      <c r="O1088" t="s">
        <v>62</v>
      </c>
      <c r="P1088" t="s">
        <v>53</v>
      </c>
      <c r="Q1088" t="s">
        <v>62</v>
      </c>
      <c r="R1088" t="s">
        <v>37</v>
      </c>
      <c r="S1088" s="3">
        <v>14411</v>
      </c>
      <c r="T1088" s="3">
        <v>24450</v>
      </c>
      <c r="U1088" s="3" t="str">
        <f t="shared" si="67"/>
        <v>High</v>
      </c>
      <c r="V1088">
        <v>1</v>
      </c>
      <c r="W1088" t="s">
        <v>31</v>
      </c>
      <c r="X1088" s="2">
        <v>13</v>
      </c>
      <c r="Y1088" t="s">
        <v>60</v>
      </c>
      <c r="Z1088" t="s">
        <v>62</v>
      </c>
      <c r="AA1088">
        <v>0</v>
      </c>
      <c r="AB1088">
        <v>32</v>
      </c>
      <c r="AC1088">
        <v>2</v>
      </c>
      <c r="AD1088">
        <v>3</v>
      </c>
      <c r="AE1088">
        <v>32</v>
      </c>
      <c r="AF1088">
        <v>6</v>
      </c>
      <c r="AG1088">
        <v>13</v>
      </c>
      <c r="AH1088">
        <v>9</v>
      </c>
      <c r="AI1088" t="str">
        <f t="shared" si="64"/>
        <v>10+ Years</v>
      </c>
      <c r="AJ1088" t="str">
        <f t="shared" si="65"/>
        <v>6+</v>
      </c>
    </row>
    <row r="1089" spans="1:36" x14ac:dyDescent="0.35">
      <c r="A1089">
        <v>1088</v>
      </c>
      <c r="B1089">
        <v>34</v>
      </c>
      <c r="C1089" t="str">
        <f t="shared" si="66"/>
        <v>26-35</v>
      </c>
      <c r="D1089" t="s">
        <v>38</v>
      </c>
      <c r="E1089" t="s">
        <v>32</v>
      </c>
      <c r="F1089" s="3">
        <v>1389</v>
      </c>
      <c r="G1089" t="s">
        <v>33</v>
      </c>
      <c r="H1089" s="1">
        <v>7</v>
      </c>
      <c r="I1089" t="s">
        <v>58</v>
      </c>
      <c r="J1089" t="s">
        <v>55</v>
      </c>
      <c r="K1089" t="s">
        <v>61</v>
      </c>
      <c r="L1089" t="s">
        <v>41</v>
      </c>
      <c r="M1089" s="3">
        <v>55</v>
      </c>
      <c r="N1089" t="s">
        <v>60</v>
      </c>
      <c r="O1089" t="s">
        <v>59</v>
      </c>
      <c r="P1089" t="s">
        <v>52</v>
      </c>
      <c r="Q1089" t="s">
        <v>60</v>
      </c>
      <c r="R1089" t="s">
        <v>43</v>
      </c>
      <c r="S1089" s="3">
        <v>2308</v>
      </c>
      <c r="T1089" s="3">
        <v>4944</v>
      </c>
      <c r="U1089" s="3" t="str">
        <f t="shared" si="67"/>
        <v>Low</v>
      </c>
      <c r="V1089">
        <v>0</v>
      </c>
      <c r="W1089" t="s">
        <v>31</v>
      </c>
      <c r="X1089" s="2">
        <v>25</v>
      </c>
      <c r="Y1089" t="s">
        <v>62</v>
      </c>
      <c r="Z1089" t="s">
        <v>61</v>
      </c>
      <c r="AA1089">
        <v>1</v>
      </c>
      <c r="AB1089">
        <v>12</v>
      </c>
      <c r="AC1089">
        <v>4</v>
      </c>
      <c r="AD1089">
        <v>3</v>
      </c>
      <c r="AE1089">
        <v>11</v>
      </c>
      <c r="AF1089">
        <v>10</v>
      </c>
      <c r="AG1089">
        <v>5</v>
      </c>
      <c r="AH1089">
        <v>7</v>
      </c>
      <c r="AI1089" t="str">
        <f t="shared" si="64"/>
        <v>10+ Years</v>
      </c>
      <c r="AJ1089" t="str">
        <f t="shared" si="65"/>
        <v>3-5</v>
      </c>
    </row>
    <row r="1090" spans="1:36" x14ac:dyDescent="0.35">
      <c r="A1090">
        <v>1089</v>
      </c>
      <c r="B1090">
        <v>42</v>
      </c>
      <c r="C1090" t="str">
        <f t="shared" si="66"/>
        <v>36-45</v>
      </c>
      <c r="D1090" t="s">
        <v>38</v>
      </c>
      <c r="E1090" t="s">
        <v>32</v>
      </c>
      <c r="F1090" s="3">
        <v>1389</v>
      </c>
      <c r="G1090" t="s">
        <v>40</v>
      </c>
      <c r="H1090" s="1">
        <v>2</v>
      </c>
      <c r="I1090" t="s">
        <v>61</v>
      </c>
      <c r="J1090" t="s">
        <v>46</v>
      </c>
      <c r="K1090" t="s">
        <v>60</v>
      </c>
      <c r="L1090" t="s">
        <v>41</v>
      </c>
      <c r="M1090" s="3">
        <v>68</v>
      </c>
      <c r="N1090" t="s">
        <v>61</v>
      </c>
      <c r="O1090" t="s">
        <v>59</v>
      </c>
      <c r="P1090" t="s">
        <v>45</v>
      </c>
      <c r="Q1090" t="s">
        <v>61</v>
      </c>
      <c r="R1090" t="s">
        <v>43</v>
      </c>
      <c r="S1090" s="3">
        <v>4841</v>
      </c>
      <c r="T1090" s="3">
        <v>24052</v>
      </c>
      <c r="U1090" s="3" t="str">
        <f t="shared" si="67"/>
        <v>Low</v>
      </c>
      <c r="V1090">
        <v>4</v>
      </c>
      <c r="W1090" t="s">
        <v>38</v>
      </c>
      <c r="X1090" s="2">
        <v>14</v>
      </c>
      <c r="Y1090" t="s">
        <v>60</v>
      </c>
      <c r="Z1090" t="s">
        <v>61</v>
      </c>
      <c r="AA1090">
        <v>1</v>
      </c>
      <c r="AB1090">
        <v>4</v>
      </c>
      <c r="AC1090">
        <v>3</v>
      </c>
      <c r="AD1090">
        <v>3</v>
      </c>
      <c r="AE1090">
        <v>1</v>
      </c>
      <c r="AF1090">
        <v>0</v>
      </c>
      <c r="AG1090">
        <v>0</v>
      </c>
      <c r="AH1090">
        <v>0</v>
      </c>
      <c r="AI1090" t="str">
        <f t="shared" ref="AI1090:AI1153" si="68">IF(AE1090&lt;=2,"0-2 Years",
IF(AE1090&lt;=5,"3-5 Years",
IF(AE1090&lt;=10,"6-10 Years","10+ Years")))</f>
        <v>0-2 Years</v>
      </c>
      <c r="AJ1090" t="str">
        <f t="shared" ref="AJ1090:AJ1153" si="69">IF(AG1090&lt;=2,"0-2",
IF(AG1090&lt;=5,"3-5","6+"))</f>
        <v>0-2</v>
      </c>
    </row>
    <row r="1091" spans="1:36" x14ac:dyDescent="0.35">
      <c r="A1091">
        <v>1090</v>
      </c>
      <c r="B1091">
        <v>37</v>
      </c>
      <c r="C1091" t="str">
        <f t="shared" ref="C1091:C1154" si="70">IF(B1091&lt;=25,"18-25",
IF(B1091&lt;=35,"26-35",
IF(B1091&lt;=45,"36-45",
IF(B1091&lt;=55,"46-55","55+"))))</f>
        <v>36-45</v>
      </c>
      <c r="D1091" t="s">
        <v>38</v>
      </c>
      <c r="E1091" t="s">
        <v>32</v>
      </c>
      <c r="F1091" s="3">
        <v>1389</v>
      </c>
      <c r="G1091" t="s">
        <v>40</v>
      </c>
      <c r="H1091" s="1">
        <v>13</v>
      </c>
      <c r="I1091" t="s">
        <v>61</v>
      </c>
      <c r="J1091" t="s">
        <v>46</v>
      </c>
      <c r="K1091" t="s">
        <v>59</v>
      </c>
      <c r="L1091" t="s">
        <v>41</v>
      </c>
      <c r="M1091" s="3">
        <v>47</v>
      </c>
      <c r="N1091" t="s">
        <v>60</v>
      </c>
      <c r="O1091" t="s">
        <v>61</v>
      </c>
      <c r="P1091" t="s">
        <v>42</v>
      </c>
      <c r="Q1091" t="s">
        <v>62</v>
      </c>
      <c r="R1091" t="s">
        <v>43</v>
      </c>
      <c r="S1091" s="3">
        <v>4285</v>
      </c>
      <c r="T1091" s="3">
        <v>3031</v>
      </c>
      <c r="U1091" s="3" t="str">
        <f t="shared" ref="U1091:U1154" si="71">_xlfn.IFS(S1091&lt;5000,"Low",S1091&lt;10000,"Medium",S1091&gt;10000,"High")</f>
        <v>Low</v>
      </c>
      <c r="V1091">
        <v>1</v>
      </c>
      <c r="W1091" t="s">
        <v>38</v>
      </c>
      <c r="X1091" s="2">
        <v>17</v>
      </c>
      <c r="Y1091" t="s">
        <v>60</v>
      </c>
      <c r="Z1091" t="s">
        <v>59</v>
      </c>
      <c r="AA1091">
        <v>0</v>
      </c>
      <c r="AB1091">
        <v>10</v>
      </c>
      <c r="AC1091">
        <v>2</v>
      </c>
      <c r="AD1091">
        <v>3</v>
      </c>
      <c r="AE1091">
        <v>10</v>
      </c>
      <c r="AF1091">
        <v>8</v>
      </c>
      <c r="AG1091">
        <v>3</v>
      </c>
      <c r="AH1091">
        <v>7</v>
      </c>
      <c r="AI1091" t="str">
        <f t="shared" si="68"/>
        <v>6-10 Years</v>
      </c>
      <c r="AJ1091" t="str">
        <f t="shared" si="69"/>
        <v>3-5</v>
      </c>
    </row>
    <row r="1092" spans="1:36" x14ac:dyDescent="0.35">
      <c r="A1092">
        <v>1091</v>
      </c>
      <c r="B1092">
        <v>29</v>
      </c>
      <c r="C1092" t="str">
        <f t="shared" si="70"/>
        <v>26-35</v>
      </c>
      <c r="D1092" t="s">
        <v>38</v>
      </c>
      <c r="E1092" t="s">
        <v>32</v>
      </c>
      <c r="F1092" s="3">
        <v>1389</v>
      </c>
      <c r="G1092" t="s">
        <v>40</v>
      </c>
      <c r="H1092" s="1">
        <v>8</v>
      </c>
      <c r="I1092" t="s">
        <v>59</v>
      </c>
      <c r="J1092" t="s">
        <v>44</v>
      </c>
      <c r="K1092" t="s">
        <v>60</v>
      </c>
      <c r="L1092" t="s">
        <v>35</v>
      </c>
      <c r="M1092" s="3">
        <v>39</v>
      </c>
      <c r="N1092" t="s">
        <v>59</v>
      </c>
      <c r="O1092" t="s">
        <v>61</v>
      </c>
      <c r="P1092" t="s">
        <v>49</v>
      </c>
      <c r="Q1092" t="s">
        <v>59</v>
      </c>
      <c r="R1092" t="s">
        <v>43</v>
      </c>
      <c r="S1092" s="3">
        <v>9715</v>
      </c>
      <c r="T1092" s="3">
        <v>7288</v>
      </c>
      <c r="U1092" s="3" t="str">
        <f t="shared" si="71"/>
        <v>Medium</v>
      </c>
      <c r="V1092">
        <v>3</v>
      </c>
      <c r="W1092" t="s">
        <v>38</v>
      </c>
      <c r="X1092" s="2">
        <v>13</v>
      </c>
      <c r="Y1092" t="s">
        <v>60</v>
      </c>
      <c r="Z1092" t="s">
        <v>60</v>
      </c>
      <c r="AA1092">
        <v>1</v>
      </c>
      <c r="AB1092">
        <v>9</v>
      </c>
      <c r="AC1092">
        <v>3</v>
      </c>
      <c r="AD1092">
        <v>3</v>
      </c>
      <c r="AE1092">
        <v>7</v>
      </c>
      <c r="AF1092">
        <v>7</v>
      </c>
      <c r="AG1092">
        <v>0</v>
      </c>
      <c r="AH1092">
        <v>7</v>
      </c>
      <c r="AI1092" t="str">
        <f t="shared" si="68"/>
        <v>6-10 Years</v>
      </c>
      <c r="AJ1092" t="str">
        <f t="shared" si="69"/>
        <v>0-2</v>
      </c>
    </row>
    <row r="1093" spans="1:36" x14ac:dyDescent="0.35">
      <c r="A1093">
        <v>1092</v>
      </c>
      <c r="B1093">
        <v>33</v>
      </c>
      <c r="C1093" t="str">
        <f t="shared" si="70"/>
        <v>26-35</v>
      </c>
      <c r="D1093" t="s">
        <v>38</v>
      </c>
      <c r="E1093" t="s">
        <v>32</v>
      </c>
      <c r="F1093" s="3">
        <v>1389</v>
      </c>
      <c r="G1093" t="s">
        <v>40</v>
      </c>
      <c r="H1093" s="1">
        <v>25</v>
      </c>
      <c r="I1093" t="s">
        <v>61</v>
      </c>
      <c r="J1093" t="s">
        <v>34</v>
      </c>
      <c r="K1093" t="s">
        <v>62</v>
      </c>
      <c r="L1093" t="s">
        <v>41</v>
      </c>
      <c r="M1093" s="3">
        <v>44</v>
      </c>
      <c r="N1093" t="s">
        <v>61</v>
      </c>
      <c r="O1093" t="s">
        <v>61</v>
      </c>
      <c r="P1093" t="s">
        <v>48</v>
      </c>
      <c r="Q1093" t="s">
        <v>61</v>
      </c>
      <c r="R1093" t="s">
        <v>37</v>
      </c>
      <c r="S1093" s="3">
        <v>4320</v>
      </c>
      <c r="T1093" s="3">
        <v>24152</v>
      </c>
      <c r="U1093" s="3" t="str">
        <f t="shared" si="71"/>
        <v>Low</v>
      </c>
      <c r="V1093">
        <v>1</v>
      </c>
      <c r="W1093" t="s">
        <v>38</v>
      </c>
      <c r="X1093" s="2">
        <v>13</v>
      </c>
      <c r="Y1093" t="s">
        <v>60</v>
      </c>
      <c r="Z1093" t="s">
        <v>62</v>
      </c>
      <c r="AA1093">
        <v>0</v>
      </c>
      <c r="AB1093">
        <v>5</v>
      </c>
      <c r="AC1093">
        <v>2</v>
      </c>
      <c r="AD1093">
        <v>3</v>
      </c>
      <c r="AE1093">
        <v>5</v>
      </c>
      <c r="AF1093">
        <v>3</v>
      </c>
      <c r="AG1093">
        <v>0</v>
      </c>
      <c r="AH1093">
        <v>2</v>
      </c>
      <c r="AI1093" t="str">
        <f t="shared" si="68"/>
        <v>3-5 Years</v>
      </c>
      <c r="AJ1093" t="str">
        <f t="shared" si="69"/>
        <v>0-2</v>
      </c>
    </row>
    <row r="1094" spans="1:36" x14ac:dyDescent="0.35">
      <c r="A1094">
        <v>1093</v>
      </c>
      <c r="B1094">
        <v>45</v>
      </c>
      <c r="C1094" t="str">
        <f t="shared" si="70"/>
        <v>36-45</v>
      </c>
      <c r="D1094" t="s">
        <v>38</v>
      </c>
      <c r="E1094" t="s">
        <v>32</v>
      </c>
      <c r="F1094" s="3">
        <v>1389</v>
      </c>
      <c r="G1094" t="s">
        <v>40</v>
      </c>
      <c r="H1094" s="1">
        <v>28</v>
      </c>
      <c r="I1094" t="s">
        <v>61</v>
      </c>
      <c r="J1094" t="s">
        <v>55</v>
      </c>
      <c r="K1094" t="s">
        <v>62</v>
      </c>
      <c r="L1094" t="s">
        <v>41</v>
      </c>
      <c r="M1094" s="3">
        <v>97</v>
      </c>
      <c r="N1094" t="s">
        <v>60</v>
      </c>
      <c r="O1094" t="s">
        <v>59</v>
      </c>
      <c r="P1094" t="s">
        <v>42</v>
      </c>
      <c r="Q1094" t="s">
        <v>62</v>
      </c>
      <c r="R1094" t="s">
        <v>43</v>
      </c>
      <c r="S1094" s="3">
        <v>2132</v>
      </c>
      <c r="T1094" s="3">
        <v>4585</v>
      </c>
      <c r="U1094" s="3" t="str">
        <f t="shared" si="71"/>
        <v>Low</v>
      </c>
      <c r="V1094">
        <v>4</v>
      </c>
      <c r="W1094" t="s">
        <v>38</v>
      </c>
      <c r="X1094" s="2">
        <v>20</v>
      </c>
      <c r="Y1094" t="s">
        <v>62</v>
      </c>
      <c r="Z1094" t="s">
        <v>62</v>
      </c>
      <c r="AA1094">
        <v>1</v>
      </c>
      <c r="AB1094">
        <v>8</v>
      </c>
      <c r="AC1094">
        <v>3</v>
      </c>
      <c r="AD1094">
        <v>3</v>
      </c>
      <c r="AE1094">
        <v>5</v>
      </c>
      <c r="AF1094">
        <v>4</v>
      </c>
      <c r="AG1094">
        <v>0</v>
      </c>
      <c r="AH1094">
        <v>3</v>
      </c>
      <c r="AI1094" t="str">
        <f t="shared" si="68"/>
        <v>3-5 Years</v>
      </c>
      <c r="AJ1094" t="str">
        <f t="shared" si="69"/>
        <v>0-2</v>
      </c>
    </row>
    <row r="1095" spans="1:36" x14ac:dyDescent="0.35">
      <c r="A1095">
        <v>1094</v>
      </c>
      <c r="B1095">
        <v>42</v>
      </c>
      <c r="C1095" t="str">
        <f t="shared" si="70"/>
        <v>36-45</v>
      </c>
      <c r="D1095" t="s">
        <v>38</v>
      </c>
      <c r="E1095" t="s">
        <v>39</v>
      </c>
      <c r="F1095" s="3">
        <v>1389</v>
      </c>
      <c r="G1095" t="s">
        <v>40</v>
      </c>
      <c r="H1095" s="1">
        <v>2</v>
      </c>
      <c r="I1095" t="s">
        <v>61</v>
      </c>
      <c r="J1095" t="s">
        <v>34</v>
      </c>
      <c r="K1095" t="s">
        <v>62</v>
      </c>
      <c r="L1095" t="s">
        <v>41</v>
      </c>
      <c r="M1095" s="3">
        <v>40</v>
      </c>
      <c r="N1095" t="s">
        <v>60</v>
      </c>
      <c r="O1095" t="s">
        <v>60</v>
      </c>
      <c r="P1095" t="s">
        <v>49</v>
      </c>
      <c r="Q1095" t="s">
        <v>62</v>
      </c>
      <c r="R1095" t="s">
        <v>43</v>
      </c>
      <c r="S1095" s="3">
        <v>10124</v>
      </c>
      <c r="T1095" s="3">
        <v>18611</v>
      </c>
      <c r="U1095" s="3" t="str">
        <f t="shared" si="71"/>
        <v>High</v>
      </c>
      <c r="V1095">
        <v>2</v>
      </c>
      <c r="W1095" t="s">
        <v>31</v>
      </c>
      <c r="X1095" s="2">
        <v>14</v>
      </c>
      <c r="Y1095" t="s">
        <v>60</v>
      </c>
      <c r="Z1095" t="s">
        <v>60</v>
      </c>
      <c r="AA1095">
        <v>1</v>
      </c>
      <c r="AB1095">
        <v>24</v>
      </c>
      <c r="AC1095">
        <v>3</v>
      </c>
      <c r="AD1095">
        <v>1</v>
      </c>
      <c r="AE1095">
        <v>20</v>
      </c>
      <c r="AF1095">
        <v>8</v>
      </c>
      <c r="AG1095">
        <v>13</v>
      </c>
      <c r="AH1095">
        <v>9</v>
      </c>
      <c r="AI1095" t="str">
        <f t="shared" si="68"/>
        <v>10+ Years</v>
      </c>
      <c r="AJ1095" t="str">
        <f t="shared" si="69"/>
        <v>6+</v>
      </c>
    </row>
    <row r="1096" spans="1:36" x14ac:dyDescent="0.35">
      <c r="A1096">
        <v>1095</v>
      </c>
      <c r="B1096">
        <v>40</v>
      </c>
      <c r="C1096" t="str">
        <f t="shared" si="70"/>
        <v>36-45</v>
      </c>
      <c r="D1096" t="s">
        <v>38</v>
      </c>
      <c r="E1096" t="s">
        <v>32</v>
      </c>
      <c r="F1096" s="3">
        <v>1389</v>
      </c>
      <c r="G1096" t="s">
        <v>33</v>
      </c>
      <c r="H1096" s="1">
        <v>9</v>
      </c>
      <c r="I1096" t="s">
        <v>58</v>
      </c>
      <c r="J1096" t="s">
        <v>46</v>
      </c>
      <c r="K1096" t="s">
        <v>59</v>
      </c>
      <c r="L1096" t="s">
        <v>41</v>
      </c>
      <c r="M1096" s="3">
        <v>47</v>
      </c>
      <c r="N1096" t="s">
        <v>60</v>
      </c>
      <c r="O1096" t="s">
        <v>61</v>
      </c>
      <c r="P1096" t="s">
        <v>36</v>
      </c>
      <c r="Q1096" t="s">
        <v>59</v>
      </c>
      <c r="R1096" t="s">
        <v>43</v>
      </c>
      <c r="S1096" s="3">
        <v>5473</v>
      </c>
      <c r="T1096" s="3">
        <v>19345</v>
      </c>
      <c r="U1096" s="3" t="str">
        <f t="shared" si="71"/>
        <v>Medium</v>
      </c>
      <c r="V1096">
        <v>0</v>
      </c>
      <c r="W1096" t="s">
        <v>38</v>
      </c>
      <c r="X1096" s="2">
        <v>12</v>
      </c>
      <c r="Y1096" t="s">
        <v>60</v>
      </c>
      <c r="Z1096" t="s">
        <v>62</v>
      </c>
      <c r="AA1096">
        <v>0</v>
      </c>
      <c r="AB1096">
        <v>9</v>
      </c>
      <c r="AC1096">
        <v>5</v>
      </c>
      <c r="AD1096">
        <v>4</v>
      </c>
      <c r="AE1096">
        <v>8</v>
      </c>
      <c r="AF1096">
        <v>4</v>
      </c>
      <c r="AG1096">
        <v>7</v>
      </c>
      <c r="AH1096">
        <v>1</v>
      </c>
      <c r="AI1096" t="str">
        <f t="shared" si="68"/>
        <v>6-10 Years</v>
      </c>
      <c r="AJ1096" t="str">
        <f t="shared" si="69"/>
        <v>6+</v>
      </c>
    </row>
    <row r="1097" spans="1:36" x14ac:dyDescent="0.35">
      <c r="A1097">
        <v>1096</v>
      </c>
      <c r="B1097">
        <v>33</v>
      </c>
      <c r="C1097" t="str">
        <f t="shared" si="70"/>
        <v>26-35</v>
      </c>
      <c r="D1097" t="s">
        <v>38</v>
      </c>
      <c r="E1097" t="s">
        <v>32</v>
      </c>
      <c r="F1097" s="3">
        <v>1389</v>
      </c>
      <c r="G1097" t="s">
        <v>40</v>
      </c>
      <c r="H1097" s="1">
        <v>28</v>
      </c>
      <c r="I1097" t="s">
        <v>60</v>
      </c>
      <c r="J1097" t="s">
        <v>34</v>
      </c>
      <c r="K1097" t="s">
        <v>61</v>
      </c>
      <c r="L1097" t="s">
        <v>41</v>
      </c>
      <c r="M1097" s="3">
        <v>79</v>
      </c>
      <c r="N1097" t="s">
        <v>60</v>
      </c>
      <c r="O1097" t="s">
        <v>61</v>
      </c>
      <c r="P1097" t="s">
        <v>45</v>
      </c>
      <c r="Q1097" t="s">
        <v>60</v>
      </c>
      <c r="R1097" t="s">
        <v>43</v>
      </c>
      <c r="S1097" s="3">
        <v>5207</v>
      </c>
      <c r="T1097" s="3">
        <v>22949</v>
      </c>
      <c r="U1097" s="3" t="str">
        <f t="shared" si="71"/>
        <v>Medium</v>
      </c>
      <c r="V1097">
        <v>1</v>
      </c>
      <c r="W1097" t="s">
        <v>31</v>
      </c>
      <c r="X1097" s="2">
        <v>12</v>
      </c>
      <c r="Y1097" t="s">
        <v>60</v>
      </c>
      <c r="Z1097" t="s">
        <v>61</v>
      </c>
      <c r="AA1097">
        <v>1</v>
      </c>
      <c r="AB1097">
        <v>15</v>
      </c>
      <c r="AC1097">
        <v>3</v>
      </c>
      <c r="AD1097">
        <v>3</v>
      </c>
      <c r="AE1097">
        <v>15</v>
      </c>
      <c r="AF1097">
        <v>14</v>
      </c>
      <c r="AG1097">
        <v>5</v>
      </c>
      <c r="AH1097">
        <v>7</v>
      </c>
      <c r="AI1097" t="str">
        <f t="shared" si="68"/>
        <v>10+ Years</v>
      </c>
      <c r="AJ1097" t="str">
        <f t="shared" si="69"/>
        <v>3-5</v>
      </c>
    </row>
    <row r="1098" spans="1:36" x14ac:dyDescent="0.35">
      <c r="A1098">
        <v>1097</v>
      </c>
      <c r="B1098">
        <v>40</v>
      </c>
      <c r="C1098" t="str">
        <f t="shared" si="70"/>
        <v>36-45</v>
      </c>
      <c r="D1098" t="s">
        <v>38</v>
      </c>
      <c r="E1098" t="s">
        <v>32</v>
      </c>
      <c r="F1098" s="3">
        <v>1389</v>
      </c>
      <c r="G1098" t="s">
        <v>56</v>
      </c>
      <c r="H1098" s="1">
        <v>6</v>
      </c>
      <c r="I1098" t="s">
        <v>58</v>
      </c>
      <c r="J1098" t="s">
        <v>46</v>
      </c>
      <c r="K1098" t="s">
        <v>60</v>
      </c>
      <c r="L1098" t="s">
        <v>41</v>
      </c>
      <c r="M1098" s="3">
        <v>38</v>
      </c>
      <c r="N1098" t="s">
        <v>60</v>
      </c>
      <c r="O1098" t="s">
        <v>62</v>
      </c>
      <c r="P1098" t="s">
        <v>51</v>
      </c>
      <c r="Q1098" t="s">
        <v>62</v>
      </c>
      <c r="R1098" t="s">
        <v>37</v>
      </c>
      <c r="S1098" s="3">
        <v>16437</v>
      </c>
      <c r="T1098" s="3">
        <v>17381</v>
      </c>
      <c r="U1098" s="3" t="str">
        <f t="shared" si="71"/>
        <v>High</v>
      </c>
      <c r="V1098">
        <v>1</v>
      </c>
      <c r="W1098" t="s">
        <v>31</v>
      </c>
      <c r="X1098" s="2">
        <v>21</v>
      </c>
      <c r="Y1098" t="s">
        <v>62</v>
      </c>
      <c r="Z1098" t="s">
        <v>62</v>
      </c>
      <c r="AA1098">
        <v>0</v>
      </c>
      <c r="AB1098">
        <v>21</v>
      </c>
      <c r="AC1098">
        <v>2</v>
      </c>
      <c r="AD1098">
        <v>3</v>
      </c>
      <c r="AE1098">
        <v>21</v>
      </c>
      <c r="AF1098">
        <v>7</v>
      </c>
      <c r="AG1098">
        <v>7</v>
      </c>
      <c r="AH1098">
        <v>7</v>
      </c>
      <c r="AI1098" t="str">
        <f t="shared" si="68"/>
        <v>10+ Years</v>
      </c>
      <c r="AJ1098" t="str">
        <f t="shared" si="69"/>
        <v>6+</v>
      </c>
    </row>
    <row r="1099" spans="1:36" x14ac:dyDescent="0.35">
      <c r="A1099">
        <v>1098</v>
      </c>
      <c r="B1099">
        <v>24</v>
      </c>
      <c r="C1099" t="str">
        <f t="shared" si="70"/>
        <v>18-25</v>
      </c>
      <c r="D1099" t="s">
        <v>38</v>
      </c>
      <c r="E1099" t="s">
        <v>32</v>
      </c>
      <c r="F1099" s="3">
        <v>1389</v>
      </c>
      <c r="G1099" t="s">
        <v>40</v>
      </c>
      <c r="H1099" s="1">
        <v>21</v>
      </c>
      <c r="I1099" t="s">
        <v>58</v>
      </c>
      <c r="J1099" t="s">
        <v>55</v>
      </c>
      <c r="K1099" t="s">
        <v>60</v>
      </c>
      <c r="L1099" t="s">
        <v>41</v>
      </c>
      <c r="M1099" s="3">
        <v>57</v>
      </c>
      <c r="N1099" t="s">
        <v>61</v>
      </c>
      <c r="O1099" t="s">
        <v>59</v>
      </c>
      <c r="P1099" t="s">
        <v>45</v>
      </c>
      <c r="Q1099" t="s">
        <v>59</v>
      </c>
      <c r="R1099" t="s">
        <v>47</v>
      </c>
      <c r="S1099" s="3">
        <v>2296</v>
      </c>
      <c r="T1099" s="3">
        <v>10036</v>
      </c>
      <c r="U1099" s="3" t="str">
        <f t="shared" si="71"/>
        <v>Low</v>
      </c>
      <c r="V1099">
        <v>0</v>
      </c>
      <c r="W1099" t="s">
        <v>38</v>
      </c>
      <c r="X1099" s="2">
        <v>14</v>
      </c>
      <c r="Y1099" t="s">
        <v>60</v>
      </c>
      <c r="Z1099" t="s">
        <v>61</v>
      </c>
      <c r="AA1099">
        <v>3</v>
      </c>
      <c r="AB1099">
        <v>2</v>
      </c>
      <c r="AC1099">
        <v>3</v>
      </c>
      <c r="AD1099">
        <v>3</v>
      </c>
      <c r="AE1099">
        <v>1</v>
      </c>
      <c r="AF1099">
        <v>1</v>
      </c>
      <c r="AG1099">
        <v>0</v>
      </c>
      <c r="AH1099">
        <v>0</v>
      </c>
      <c r="AI1099" t="str">
        <f t="shared" si="68"/>
        <v>0-2 Years</v>
      </c>
      <c r="AJ1099" t="str">
        <f t="shared" si="69"/>
        <v>0-2</v>
      </c>
    </row>
    <row r="1100" spans="1:36" x14ac:dyDescent="0.35">
      <c r="A1100">
        <v>1099</v>
      </c>
      <c r="B1100">
        <v>40</v>
      </c>
      <c r="C1100" t="str">
        <f t="shared" si="70"/>
        <v>36-45</v>
      </c>
      <c r="D1100" t="s">
        <v>38</v>
      </c>
      <c r="E1100" t="s">
        <v>50</v>
      </c>
      <c r="F1100" s="3">
        <v>1389</v>
      </c>
      <c r="G1100" t="s">
        <v>40</v>
      </c>
      <c r="H1100" s="1">
        <v>8</v>
      </c>
      <c r="I1100" t="s">
        <v>58</v>
      </c>
      <c r="J1100" t="s">
        <v>34</v>
      </c>
      <c r="K1100" t="s">
        <v>62</v>
      </c>
      <c r="L1100" t="s">
        <v>41</v>
      </c>
      <c r="M1100" s="3">
        <v>72</v>
      </c>
      <c r="N1100" t="s">
        <v>60</v>
      </c>
      <c r="O1100" t="s">
        <v>61</v>
      </c>
      <c r="P1100" t="s">
        <v>49</v>
      </c>
      <c r="Q1100" t="s">
        <v>62</v>
      </c>
      <c r="R1100" t="s">
        <v>47</v>
      </c>
      <c r="S1100" s="3">
        <v>4069</v>
      </c>
      <c r="T1100" s="3">
        <v>8841</v>
      </c>
      <c r="U1100" s="3" t="str">
        <f t="shared" si="71"/>
        <v>Low</v>
      </c>
      <c r="V1100">
        <v>3</v>
      </c>
      <c r="W1100" t="s">
        <v>31</v>
      </c>
      <c r="X1100" s="2">
        <v>18</v>
      </c>
      <c r="Y1100" t="s">
        <v>60</v>
      </c>
      <c r="Z1100" t="s">
        <v>60</v>
      </c>
      <c r="AA1100">
        <v>0</v>
      </c>
      <c r="AB1100">
        <v>8</v>
      </c>
      <c r="AC1100">
        <v>2</v>
      </c>
      <c r="AD1100">
        <v>3</v>
      </c>
      <c r="AE1100">
        <v>2</v>
      </c>
      <c r="AF1100">
        <v>2</v>
      </c>
      <c r="AG1100">
        <v>2</v>
      </c>
      <c r="AH1100">
        <v>2</v>
      </c>
      <c r="AI1100" t="str">
        <f t="shared" si="68"/>
        <v>0-2 Years</v>
      </c>
      <c r="AJ1100" t="str">
        <f t="shared" si="69"/>
        <v>0-2</v>
      </c>
    </row>
    <row r="1101" spans="1:36" x14ac:dyDescent="0.35">
      <c r="A1101">
        <v>1100</v>
      </c>
      <c r="B1101">
        <v>45</v>
      </c>
      <c r="C1101" t="str">
        <f t="shared" si="70"/>
        <v>36-45</v>
      </c>
      <c r="D1101" t="s">
        <v>38</v>
      </c>
      <c r="E1101" t="s">
        <v>32</v>
      </c>
      <c r="F1101" s="3">
        <v>1389</v>
      </c>
      <c r="G1101" t="s">
        <v>40</v>
      </c>
      <c r="H1101" s="1">
        <v>1</v>
      </c>
      <c r="I1101" t="s">
        <v>60</v>
      </c>
      <c r="J1101" t="s">
        <v>55</v>
      </c>
      <c r="K1101" t="s">
        <v>59</v>
      </c>
      <c r="L1101" t="s">
        <v>41</v>
      </c>
      <c r="M1101" s="3">
        <v>66</v>
      </c>
      <c r="N1101" t="s">
        <v>60</v>
      </c>
      <c r="O1101" t="s">
        <v>60</v>
      </c>
      <c r="P1101" t="s">
        <v>49</v>
      </c>
      <c r="Q1101" t="s">
        <v>61</v>
      </c>
      <c r="R1101" t="s">
        <v>47</v>
      </c>
      <c r="S1101" s="3">
        <v>7441</v>
      </c>
      <c r="T1101" s="3">
        <v>20933</v>
      </c>
      <c r="U1101" s="3" t="str">
        <f t="shared" si="71"/>
        <v>Medium</v>
      </c>
      <c r="V1101">
        <v>1</v>
      </c>
      <c r="W1101" t="s">
        <v>38</v>
      </c>
      <c r="X1101" s="2">
        <v>12</v>
      </c>
      <c r="Y1101" t="s">
        <v>60</v>
      </c>
      <c r="Z1101" t="s">
        <v>59</v>
      </c>
      <c r="AA1101">
        <v>3</v>
      </c>
      <c r="AB1101">
        <v>10</v>
      </c>
      <c r="AC1101">
        <v>4</v>
      </c>
      <c r="AD1101">
        <v>3</v>
      </c>
      <c r="AE1101">
        <v>10</v>
      </c>
      <c r="AF1101">
        <v>8</v>
      </c>
      <c r="AG1101">
        <v>7</v>
      </c>
      <c r="AH1101">
        <v>7</v>
      </c>
      <c r="AI1101" t="str">
        <f t="shared" si="68"/>
        <v>6-10 Years</v>
      </c>
      <c r="AJ1101" t="str">
        <f t="shared" si="69"/>
        <v>6+</v>
      </c>
    </row>
    <row r="1102" spans="1:36" x14ac:dyDescent="0.35">
      <c r="A1102">
        <v>1101</v>
      </c>
      <c r="B1102">
        <v>35</v>
      </c>
      <c r="C1102" t="str">
        <f t="shared" si="70"/>
        <v>26-35</v>
      </c>
      <c r="D1102" t="s">
        <v>38</v>
      </c>
      <c r="E1102" t="s">
        <v>32</v>
      </c>
      <c r="F1102" s="3">
        <v>1389</v>
      </c>
      <c r="G1102" t="s">
        <v>33</v>
      </c>
      <c r="H1102" s="1">
        <v>28</v>
      </c>
      <c r="I1102" t="s">
        <v>60</v>
      </c>
      <c r="J1102" t="s">
        <v>34</v>
      </c>
      <c r="K1102" t="s">
        <v>61</v>
      </c>
      <c r="L1102" t="s">
        <v>35</v>
      </c>
      <c r="M1102" s="3">
        <v>98</v>
      </c>
      <c r="N1102" t="s">
        <v>61</v>
      </c>
      <c r="O1102" t="s">
        <v>59</v>
      </c>
      <c r="P1102" t="s">
        <v>52</v>
      </c>
      <c r="Q1102" t="s">
        <v>60</v>
      </c>
      <c r="R1102" t="s">
        <v>43</v>
      </c>
      <c r="S1102" s="3">
        <v>2430</v>
      </c>
      <c r="T1102" s="3">
        <v>26204</v>
      </c>
      <c r="U1102" s="3" t="str">
        <f t="shared" si="71"/>
        <v>Low</v>
      </c>
      <c r="V1102">
        <v>0</v>
      </c>
      <c r="W1102" t="s">
        <v>38</v>
      </c>
      <c r="X1102" s="2">
        <v>23</v>
      </c>
      <c r="Y1102" t="s">
        <v>62</v>
      </c>
      <c r="Z1102" t="s">
        <v>59</v>
      </c>
      <c r="AA1102">
        <v>2</v>
      </c>
      <c r="AB1102">
        <v>6</v>
      </c>
      <c r="AC1102">
        <v>5</v>
      </c>
      <c r="AD1102">
        <v>3</v>
      </c>
      <c r="AE1102">
        <v>5</v>
      </c>
      <c r="AF1102">
        <v>3</v>
      </c>
      <c r="AG1102">
        <v>4</v>
      </c>
      <c r="AH1102">
        <v>2</v>
      </c>
      <c r="AI1102" t="str">
        <f t="shared" si="68"/>
        <v>3-5 Years</v>
      </c>
      <c r="AJ1102" t="str">
        <f t="shared" si="69"/>
        <v>3-5</v>
      </c>
    </row>
    <row r="1103" spans="1:36" x14ac:dyDescent="0.35">
      <c r="A1103">
        <v>1102</v>
      </c>
      <c r="B1103">
        <v>32</v>
      </c>
      <c r="C1103" t="str">
        <f t="shared" si="70"/>
        <v>26-35</v>
      </c>
      <c r="D1103" t="s">
        <v>38</v>
      </c>
      <c r="E1103" t="s">
        <v>32</v>
      </c>
      <c r="F1103" s="3">
        <v>1389</v>
      </c>
      <c r="G1103" t="s">
        <v>40</v>
      </c>
      <c r="H1103" s="1">
        <v>5</v>
      </c>
      <c r="I1103" t="s">
        <v>58</v>
      </c>
      <c r="J1103" t="s">
        <v>34</v>
      </c>
      <c r="K1103" t="s">
        <v>62</v>
      </c>
      <c r="L1103" t="s">
        <v>35</v>
      </c>
      <c r="M1103" s="3">
        <v>67</v>
      </c>
      <c r="N1103" t="s">
        <v>61</v>
      </c>
      <c r="O1103" t="s">
        <v>61</v>
      </c>
      <c r="P1103" t="s">
        <v>42</v>
      </c>
      <c r="Q1103" t="s">
        <v>61</v>
      </c>
      <c r="R1103" t="s">
        <v>43</v>
      </c>
      <c r="S1103" s="3">
        <v>5878</v>
      </c>
      <c r="T1103" s="3">
        <v>15624</v>
      </c>
      <c r="U1103" s="3" t="str">
        <f t="shared" si="71"/>
        <v>Medium</v>
      </c>
      <c r="V1103">
        <v>3</v>
      </c>
      <c r="W1103" t="s">
        <v>38</v>
      </c>
      <c r="X1103" s="2">
        <v>12</v>
      </c>
      <c r="Y1103" t="s">
        <v>60</v>
      </c>
      <c r="Z1103" t="s">
        <v>59</v>
      </c>
      <c r="AA1103">
        <v>1</v>
      </c>
      <c r="AB1103">
        <v>12</v>
      </c>
      <c r="AC1103">
        <v>2</v>
      </c>
      <c r="AD1103">
        <v>3</v>
      </c>
      <c r="AE1103">
        <v>7</v>
      </c>
      <c r="AF1103">
        <v>1</v>
      </c>
      <c r="AG1103">
        <v>2</v>
      </c>
      <c r="AH1103">
        <v>5</v>
      </c>
      <c r="AI1103" t="str">
        <f t="shared" si="68"/>
        <v>6-10 Years</v>
      </c>
      <c r="AJ1103" t="str">
        <f t="shared" si="69"/>
        <v>0-2</v>
      </c>
    </row>
    <row r="1104" spans="1:36" x14ac:dyDescent="0.35">
      <c r="A1104">
        <v>1103</v>
      </c>
      <c r="B1104">
        <v>36</v>
      </c>
      <c r="C1104" t="str">
        <f t="shared" si="70"/>
        <v>36-45</v>
      </c>
      <c r="D1104" t="s">
        <v>38</v>
      </c>
      <c r="E1104" t="s">
        <v>32</v>
      </c>
      <c r="F1104" s="3">
        <v>1389</v>
      </c>
      <c r="G1104" t="s">
        <v>33</v>
      </c>
      <c r="H1104" s="1">
        <v>2</v>
      </c>
      <c r="I1104" t="s">
        <v>60</v>
      </c>
      <c r="J1104" t="s">
        <v>34</v>
      </c>
      <c r="K1104" t="s">
        <v>60</v>
      </c>
      <c r="L1104" t="s">
        <v>41</v>
      </c>
      <c r="M1104" s="3">
        <v>70</v>
      </c>
      <c r="N1104" t="s">
        <v>60</v>
      </c>
      <c r="O1104" t="s">
        <v>59</v>
      </c>
      <c r="P1104" t="s">
        <v>52</v>
      </c>
      <c r="Q1104" t="s">
        <v>62</v>
      </c>
      <c r="R1104" t="s">
        <v>37</v>
      </c>
      <c r="S1104" s="3">
        <v>2644</v>
      </c>
      <c r="T1104" s="3">
        <v>17001</v>
      </c>
      <c r="U1104" s="3" t="str">
        <f t="shared" si="71"/>
        <v>Low</v>
      </c>
      <c r="V1104">
        <v>3</v>
      </c>
      <c r="W1104" t="s">
        <v>31</v>
      </c>
      <c r="X1104" s="2">
        <v>21</v>
      </c>
      <c r="Y1104" t="s">
        <v>62</v>
      </c>
      <c r="Z1104" t="s">
        <v>62</v>
      </c>
      <c r="AA1104">
        <v>0</v>
      </c>
      <c r="AB1104">
        <v>7</v>
      </c>
      <c r="AC1104">
        <v>3</v>
      </c>
      <c r="AD1104">
        <v>2</v>
      </c>
      <c r="AE1104">
        <v>3</v>
      </c>
      <c r="AF1104">
        <v>2</v>
      </c>
      <c r="AG1104">
        <v>1</v>
      </c>
      <c r="AH1104">
        <v>2</v>
      </c>
      <c r="AI1104" t="str">
        <f t="shared" si="68"/>
        <v>3-5 Years</v>
      </c>
      <c r="AJ1104" t="str">
        <f t="shared" si="69"/>
        <v>0-2</v>
      </c>
    </row>
    <row r="1105" spans="1:36" x14ac:dyDescent="0.35">
      <c r="A1105">
        <v>1104</v>
      </c>
      <c r="B1105">
        <v>48</v>
      </c>
      <c r="C1105" t="str">
        <f t="shared" si="70"/>
        <v>46-55</v>
      </c>
      <c r="D1105" t="s">
        <v>38</v>
      </c>
      <c r="E1105" t="s">
        <v>32</v>
      </c>
      <c r="F1105" s="3">
        <v>1389</v>
      </c>
      <c r="G1105" t="s">
        <v>33</v>
      </c>
      <c r="H1105" s="1">
        <v>16</v>
      </c>
      <c r="I1105" t="s">
        <v>60</v>
      </c>
      <c r="J1105" t="s">
        <v>34</v>
      </c>
      <c r="K1105" t="s">
        <v>60</v>
      </c>
      <c r="L1105" t="s">
        <v>35</v>
      </c>
      <c r="M1105" s="3">
        <v>96</v>
      </c>
      <c r="N1105" t="s">
        <v>60</v>
      </c>
      <c r="O1105" t="s">
        <v>61</v>
      </c>
      <c r="P1105" t="s">
        <v>36</v>
      </c>
      <c r="Q1105" t="s">
        <v>60</v>
      </c>
      <c r="R1105" t="s">
        <v>47</v>
      </c>
      <c r="S1105" s="3">
        <v>6439</v>
      </c>
      <c r="T1105" s="3">
        <v>13693</v>
      </c>
      <c r="U1105" s="3" t="str">
        <f t="shared" si="71"/>
        <v>Medium</v>
      </c>
      <c r="V1105">
        <v>8</v>
      </c>
      <c r="W1105" t="s">
        <v>38</v>
      </c>
      <c r="X1105" s="2">
        <v>14</v>
      </c>
      <c r="Y1105" t="s">
        <v>60</v>
      </c>
      <c r="Z1105" t="s">
        <v>60</v>
      </c>
      <c r="AA1105">
        <v>1</v>
      </c>
      <c r="AB1105">
        <v>18</v>
      </c>
      <c r="AC1105">
        <v>2</v>
      </c>
      <c r="AD1105">
        <v>3</v>
      </c>
      <c r="AE1105">
        <v>8</v>
      </c>
      <c r="AF1105">
        <v>7</v>
      </c>
      <c r="AG1105">
        <v>7</v>
      </c>
      <c r="AH1105">
        <v>7</v>
      </c>
      <c r="AI1105" t="str">
        <f t="shared" si="68"/>
        <v>6-10 Years</v>
      </c>
      <c r="AJ1105" t="str">
        <f t="shared" si="69"/>
        <v>6+</v>
      </c>
    </row>
    <row r="1106" spans="1:36" x14ac:dyDescent="0.35">
      <c r="A1106">
        <v>1105</v>
      </c>
      <c r="B1106">
        <v>29</v>
      </c>
      <c r="C1106" t="str">
        <f t="shared" si="70"/>
        <v>26-35</v>
      </c>
      <c r="D1106" t="s">
        <v>38</v>
      </c>
      <c r="E1106" t="s">
        <v>32</v>
      </c>
      <c r="F1106" s="3">
        <v>1389</v>
      </c>
      <c r="G1106" t="s">
        <v>40</v>
      </c>
      <c r="H1106" s="1">
        <v>9</v>
      </c>
      <c r="I1106" t="s">
        <v>61</v>
      </c>
      <c r="J1106" t="s">
        <v>34</v>
      </c>
      <c r="K1106" t="s">
        <v>60</v>
      </c>
      <c r="L1106" t="s">
        <v>41</v>
      </c>
      <c r="M1106" s="3">
        <v>91</v>
      </c>
      <c r="N1106" t="s">
        <v>62</v>
      </c>
      <c r="O1106" t="s">
        <v>59</v>
      </c>
      <c r="P1106" t="s">
        <v>42</v>
      </c>
      <c r="Q1106" t="s">
        <v>60</v>
      </c>
      <c r="R1106" t="s">
        <v>43</v>
      </c>
      <c r="S1106" s="3">
        <v>2451</v>
      </c>
      <c r="T1106" s="3">
        <v>22376</v>
      </c>
      <c r="U1106" s="3" t="str">
        <f t="shared" si="71"/>
        <v>Low</v>
      </c>
      <c r="V1106">
        <v>6</v>
      </c>
      <c r="W1106" t="s">
        <v>38</v>
      </c>
      <c r="X1106" s="2">
        <v>18</v>
      </c>
      <c r="Y1106" t="s">
        <v>60</v>
      </c>
      <c r="Z1106" t="s">
        <v>59</v>
      </c>
      <c r="AA1106">
        <v>2</v>
      </c>
      <c r="AB1106">
        <v>5</v>
      </c>
      <c r="AC1106">
        <v>2</v>
      </c>
      <c r="AD1106">
        <v>2</v>
      </c>
      <c r="AE1106">
        <v>1</v>
      </c>
      <c r="AF1106">
        <v>0</v>
      </c>
      <c r="AG1106">
        <v>0</v>
      </c>
      <c r="AH1106">
        <v>0</v>
      </c>
      <c r="AI1106" t="str">
        <f t="shared" si="68"/>
        <v>0-2 Years</v>
      </c>
      <c r="AJ1106" t="str">
        <f t="shared" si="69"/>
        <v>0-2</v>
      </c>
    </row>
    <row r="1107" spans="1:36" x14ac:dyDescent="0.35">
      <c r="A1107">
        <v>1106</v>
      </c>
      <c r="B1107">
        <v>33</v>
      </c>
      <c r="C1107" t="str">
        <f t="shared" si="70"/>
        <v>26-35</v>
      </c>
      <c r="D1107" t="s">
        <v>38</v>
      </c>
      <c r="E1107" t="s">
        <v>32</v>
      </c>
      <c r="F1107" s="3">
        <v>1389</v>
      </c>
      <c r="G1107" t="s">
        <v>33</v>
      </c>
      <c r="H1107" s="1">
        <v>8</v>
      </c>
      <c r="I1107" t="s">
        <v>60</v>
      </c>
      <c r="J1107" t="s">
        <v>34</v>
      </c>
      <c r="K1107" t="s">
        <v>59</v>
      </c>
      <c r="L1107" t="s">
        <v>41</v>
      </c>
      <c r="M1107" s="3">
        <v>46</v>
      </c>
      <c r="N1107" t="s">
        <v>60</v>
      </c>
      <c r="O1107" t="s">
        <v>61</v>
      </c>
      <c r="P1107" t="s">
        <v>36</v>
      </c>
      <c r="Q1107" t="s">
        <v>59</v>
      </c>
      <c r="R1107" t="s">
        <v>43</v>
      </c>
      <c r="S1107" s="3">
        <v>6392</v>
      </c>
      <c r="T1107" s="3">
        <v>10589</v>
      </c>
      <c r="U1107" s="3" t="str">
        <f t="shared" si="71"/>
        <v>Medium</v>
      </c>
      <c r="V1107">
        <v>2</v>
      </c>
      <c r="W1107" t="s">
        <v>38</v>
      </c>
      <c r="X1107" s="2">
        <v>13</v>
      </c>
      <c r="Y1107" t="s">
        <v>60</v>
      </c>
      <c r="Z1107" t="s">
        <v>62</v>
      </c>
      <c r="AA1107">
        <v>1</v>
      </c>
      <c r="AB1107">
        <v>8</v>
      </c>
      <c r="AC1107">
        <v>6</v>
      </c>
      <c r="AD1107">
        <v>1</v>
      </c>
      <c r="AE1107">
        <v>2</v>
      </c>
      <c r="AF1107">
        <v>2</v>
      </c>
      <c r="AG1107">
        <v>2</v>
      </c>
      <c r="AH1107">
        <v>2</v>
      </c>
      <c r="AI1107" t="str">
        <f t="shared" si="68"/>
        <v>0-2 Years</v>
      </c>
      <c r="AJ1107" t="str">
        <f t="shared" si="69"/>
        <v>0-2</v>
      </c>
    </row>
    <row r="1108" spans="1:36" x14ac:dyDescent="0.35">
      <c r="A1108">
        <v>1107</v>
      </c>
      <c r="B1108">
        <v>30</v>
      </c>
      <c r="C1108" t="str">
        <f t="shared" si="70"/>
        <v>26-35</v>
      </c>
      <c r="D1108" t="s">
        <v>31</v>
      </c>
      <c r="E1108" t="s">
        <v>32</v>
      </c>
      <c r="F1108" s="3">
        <v>1389</v>
      </c>
      <c r="G1108" t="s">
        <v>33</v>
      </c>
      <c r="H1108" s="1">
        <v>1</v>
      </c>
      <c r="I1108" t="s">
        <v>61</v>
      </c>
      <c r="J1108" t="s">
        <v>34</v>
      </c>
      <c r="K1108" t="s">
        <v>61</v>
      </c>
      <c r="L1108" t="s">
        <v>41</v>
      </c>
      <c r="M1108" s="3">
        <v>64</v>
      </c>
      <c r="N1108" t="s">
        <v>61</v>
      </c>
      <c r="O1108" t="s">
        <v>61</v>
      </c>
      <c r="P1108" t="s">
        <v>36</v>
      </c>
      <c r="Q1108" t="s">
        <v>59</v>
      </c>
      <c r="R1108" t="s">
        <v>43</v>
      </c>
      <c r="S1108" s="3">
        <v>9714</v>
      </c>
      <c r="T1108" s="3">
        <v>5323</v>
      </c>
      <c r="U1108" s="3" t="str">
        <f t="shared" si="71"/>
        <v>Medium</v>
      </c>
      <c r="V1108">
        <v>1</v>
      </c>
      <c r="W1108" t="s">
        <v>38</v>
      </c>
      <c r="X1108" s="2">
        <v>11</v>
      </c>
      <c r="Y1108" t="s">
        <v>60</v>
      </c>
      <c r="Z1108" t="s">
        <v>62</v>
      </c>
      <c r="AA1108">
        <v>1</v>
      </c>
      <c r="AB1108">
        <v>10</v>
      </c>
      <c r="AC1108">
        <v>4</v>
      </c>
      <c r="AD1108">
        <v>3</v>
      </c>
      <c r="AE1108">
        <v>10</v>
      </c>
      <c r="AF1108">
        <v>8</v>
      </c>
      <c r="AG1108">
        <v>6</v>
      </c>
      <c r="AH1108">
        <v>7</v>
      </c>
      <c r="AI1108" t="str">
        <f t="shared" si="68"/>
        <v>6-10 Years</v>
      </c>
      <c r="AJ1108" t="str">
        <f t="shared" si="69"/>
        <v>6+</v>
      </c>
    </row>
    <row r="1109" spans="1:36" x14ac:dyDescent="0.35">
      <c r="A1109">
        <v>1108</v>
      </c>
      <c r="B1109">
        <v>38</v>
      </c>
      <c r="C1109" t="str">
        <f t="shared" si="70"/>
        <v>36-45</v>
      </c>
      <c r="D1109" t="s">
        <v>38</v>
      </c>
      <c r="E1109" t="s">
        <v>39</v>
      </c>
      <c r="F1109" s="3">
        <v>1389</v>
      </c>
      <c r="G1109" t="s">
        <v>56</v>
      </c>
      <c r="H1109" s="1">
        <v>10</v>
      </c>
      <c r="I1109" t="s">
        <v>60</v>
      </c>
      <c r="J1109" t="s">
        <v>56</v>
      </c>
      <c r="K1109" t="s">
        <v>60</v>
      </c>
      <c r="L1109" t="s">
        <v>41</v>
      </c>
      <c r="M1109" s="3">
        <v>71</v>
      </c>
      <c r="N1109" t="s">
        <v>60</v>
      </c>
      <c r="O1109" t="s">
        <v>61</v>
      </c>
      <c r="P1109" t="s">
        <v>56</v>
      </c>
      <c r="Q1109" t="s">
        <v>60</v>
      </c>
      <c r="R1109" t="s">
        <v>43</v>
      </c>
      <c r="S1109" s="3">
        <v>6077</v>
      </c>
      <c r="T1109" s="3">
        <v>14814</v>
      </c>
      <c r="U1109" s="3" t="str">
        <f t="shared" si="71"/>
        <v>Medium</v>
      </c>
      <c r="V1109">
        <v>3</v>
      </c>
      <c r="W1109" t="s">
        <v>38</v>
      </c>
      <c r="X1109" s="2">
        <v>11</v>
      </c>
      <c r="Y1109" t="s">
        <v>60</v>
      </c>
      <c r="Z1109" t="s">
        <v>60</v>
      </c>
      <c r="AA1109">
        <v>0</v>
      </c>
      <c r="AB1109">
        <v>10</v>
      </c>
      <c r="AC1109">
        <v>2</v>
      </c>
      <c r="AD1109">
        <v>3</v>
      </c>
      <c r="AE1109">
        <v>6</v>
      </c>
      <c r="AF1109">
        <v>3</v>
      </c>
      <c r="AG1109">
        <v>1</v>
      </c>
      <c r="AH1109">
        <v>2</v>
      </c>
      <c r="AI1109" t="str">
        <f t="shared" si="68"/>
        <v>6-10 Years</v>
      </c>
      <c r="AJ1109" t="str">
        <f t="shared" si="69"/>
        <v>0-2</v>
      </c>
    </row>
    <row r="1110" spans="1:36" x14ac:dyDescent="0.35">
      <c r="A1110">
        <v>1109</v>
      </c>
      <c r="B1110">
        <v>35</v>
      </c>
      <c r="C1110" t="str">
        <f t="shared" si="70"/>
        <v>26-35</v>
      </c>
      <c r="D1110" t="s">
        <v>38</v>
      </c>
      <c r="E1110" t="s">
        <v>32</v>
      </c>
      <c r="F1110" s="3">
        <v>1389</v>
      </c>
      <c r="G1110" t="s">
        <v>40</v>
      </c>
      <c r="H1110" s="1">
        <v>1</v>
      </c>
      <c r="I1110" t="s">
        <v>61</v>
      </c>
      <c r="J1110" t="s">
        <v>46</v>
      </c>
      <c r="K1110" t="s">
        <v>62</v>
      </c>
      <c r="L1110" t="s">
        <v>41</v>
      </c>
      <c r="M1110" s="3">
        <v>68</v>
      </c>
      <c r="N1110" t="s">
        <v>61</v>
      </c>
      <c r="O1110" t="s">
        <v>59</v>
      </c>
      <c r="P1110" t="s">
        <v>45</v>
      </c>
      <c r="Q1110" t="s">
        <v>59</v>
      </c>
      <c r="R1110" t="s">
        <v>37</v>
      </c>
      <c r="S1110" s="3">
        <v>2450</v>
      </c>
      <c r="T1110" s="3">
        <v>21731</v>
      </c>
      <c r="U1110" s="3" t="str">
        <f t="shared" si="71"/>
        <v>Low</v>
      </c>
      <c r="V1110">
        <v>1</v>
      </c>
      <c r="W1110" t="s">
        <v>38</v>
      </c>
      <c r="X1110" s="2">
        <v>19</v>
      </c>
      <c r="Y1110" t="s">
        <v>60</v>
      </c>
      <c r="Z1110" t="s">
        <v>61</v>
      </c>
      <c r="AA1110">
        <v>0</v>
      </c>
      <c r="AB1110">
        <v>3</v>
      </c>
      <c r="AC1110">
        <v>3</v>
      </c>
      <c r="AD1110">
        <v>3</v>
      </c>
      <c r="AE1110">
        <v>3</v>
      </c>
      <c r="AF1110">
        <v>0</v>
      </c>
      <c r="AG1110">
        <v>1</v>
      </c>
      <c r="AH1110">
        <v>2</v>
      </c>
      <c r="AI1110" t="str">
        <f t="shared" si="68"/>
        <v>3-5 Years</v>
      </c>
      <c r="AJ1110" t="str">
        <f t="shared" si="69"/>
        <v>0-2</v>
      </c>
    </row>
    <row r="1111" spans="1:36" x14ac:dyDescent="0.35">
      <c r="A1111">
        <v>1110</v>
      </c>
      <c r="B1111">
        <v>30</v>
      </c>
      <c r="C1111" t="str">
        <f t="shared" si="70"/>
        <v>26-35</v>
      </c>
      <c r="D1111" t="s">
        <v>38</v>
      </c>
      <c r="E1111" t="s">
        <v>32</v>
      </c>
      <c r="F1111" s="3">
        <v>1389</v>
      </c>
      <c r="G1111" t="s">
        <v>33</v>
      </c>
      <c r="H1111" s="1">
        <v>29</v>
      </c>
      <c r="I1111" t="s">
        <v>60</v>
      </c>
      <c r="J1111" t="s">
        <v>55</v>
      </c>
      <c r="K1111" t="s">
        <v>60</v>
      </c>
      <c r="L1111" t="s">
        <v>41</v>
      </c>
      <c r="M1111" s="3">
        <v>33</v>
      </c>
      <c r="N1111" t="s">
        <v>60</v>
      </c>
      <c r="O1111" t="s">
        <v>60</v>
      </c>
      <c r="P1111" t="s">
        <v>36</v>
      </c>
      <c r="Q1111" t="s">
        <v>61</v>
      </c>
      <c r="R1111" t="s">
        <v>43</v>
      </c>
      <c r="S1111" s="3">
        <v>9250</v>
      </c>
      <c r="T1111" s="3">
        <v>17799</v>
      </c>
      <c r="U1111" s="3" t="str">
        <f t="shared" si="71"/>
        <v>Medium</v>
      </c>
      <c r="V1111">
        <v>3</v>
      </c>
      <c r="W1111" t="s">
        <v>38</v>
      </c>
      <c r="X1111" s="2">
        <v>12</v>
      </c>
      <c r="Y1111" t="s">
        <v>60</v>
      </c>
      <c r="Z1111" t="s">
        <v>61</v>
      </c>
      <c r="AA1111">
        <v>1</v>
      </c>
      <c r="AB1111">
        <v>9</v>
      </c>
      <c r="AC1111">
        <v>3</v>
      </c>
      <c r="AD1111">
        <v>3</v>
      </c>
      <c r="AE1111">
        <v>4</v>
      </c>
      <c r="AF1111">
        <v>2</v>
      </c>
      <c r="AG1111">
        <v>1</v>
      </c>
      <c r="AH1111">
        <v>3</v>
      </c>
      <c r="AI1111" t="str">
        <f t="shared" si="68"/>
        <v>3-5 Years</v>
      </c>
      <c r="AJ1111" t="str">
        <f t="shared" si="69"/>
        <v>0-2</v>
      </c>
    </row>
    <row r="1112" spans="1:36" x14ac:dyDescent="0.35">
      <c r="A1112">
        <v>1111</v>
      </c>
      <c r="B1112">
        <v>35</v>
      </c>
      <c r="C1112" t="str">
        <f t="shared" si="70"/>
        <v>26-35</v>
      </c>
      <c r="D1112" t="s">
        <v>31</v>
      </c>
      <c r="E1112" t="s">
        <v>32</v>
      </c>
      <c r="F1112" s="3">
        <v>1389</v>
      </c>
      <c r="G1112" t="s">
        <v>40</v>
      </c>
      <c r="H1112" s="1">
        <v>2</v>
      </c>
      <c r="I1112" t="s">
        <v>61</v>
      </c>
      <c r="J1112" t="s">
        <v>34</v>
      </c>
      <c r="K1112" t="s">
        <v>59</v>
      </c>
      <c r="L1112" t="s">
        <v>35</v>
      </c>
      <c r="M1112" s="3">
        <v>69</v>
      </c>
      <c r="N1112" t="s">
        <v>60</v>
      </c>
      <c r="O1112" t="s">
        <v>59</v>
      </c>
      <c r="P1112" t="s">
        <v>45</v>
      </c>
      <c r="Q1112" t="s">
        <v>59</v>
      </c>
      <c r="R1112" t="s">
        <v>47</v>
      </c>
      <c r="S1112" s="3">
        <v>2074</v>
      </c>
      <c r="T1112" s="3">
        <v>26619</v>
      </c>
      <c r="U1112" s="3" t="str">
        <f t="shared" si="71"/>
        <v>Low</v>
      </c>
      <c r="V1112">
        <v>1</v>
      </c>
      <c r="W1112" t="s">
        <v>31</v>
      </c>
      <c r="X1112" s="2">
        <v>12</v>
      </c>
      <c r="Y1112" t="s">
        <v>60</v>
      </c>
      <c r="Z1112" t="s">
        <v>62</v>
      </c>
      <c r="AA1112">
        <v>1</v>
      </c>
      <c r="AB1112">
        <v>1</v>
      </c>
      <c r="AC1112">
        <v>2</v>
      </c>
      <c r="AD1112">
        <v>3</v>
      </c>
      <c r="AE1112">
        <v>1</v>
      </c>
      <c r="AF1112">
        <v>0</v>
      </c>
      <c r="AG1112">
        <v>0</v>
      </c>
      <c r="AH1112">
        <v>0</v>
      </c>
      <c r="AI1112" t="str">
        <f t="shared" si="68"/>
        <v>0-2 Years</v>
      </c>
      <c r="AJ1112" t="str">
        <f t="shared" si="69"/>
        <v>0-2</v>
      </c>
    </row>
    <row r="1113" spans="1:36" x14ac:dyDescent="0.35">
      <c r="A1113">
        <v>1112</v>
      </c>
      <c r="B1113">
        <v>53</v>
      </c>
      <c r="C1113" t="str">
        <f t="shared" si="70"/>
        <v>46-55</v>
      </c>
      <c r="D1113" t="s">
        <v>31</v>
      </c>
      <c r="E1113" t="s">
        <v>32</v>
      </c>
      <c r="F1113" s="3">
        <v>1389</v>
      </c>
      <c r="G1113" t="s">
        <v>40</v>
      </c>
      <c r="H1113" s="1">
        <v>2</v>
      </c>
      <c r="I1113" t="s">
        <v>62</v>
      </c>
      <c r="J1113" t="s">
        <v>55</v>
      </c>
      <c r="K1113" t="s">
        <v>60</v>
      </c>
      <c r="L1113" t="s">
        <v>35</v>
      </c>
      <c r="M1113" s="3">
        <v>78</v>
      </c>
      <c r="N1113" t="s">
        <v>61</v>
      </c>
      <c r="O1113" t="s">
        <v>60</v>
      </c>
      <c r="P1113" t="s">
        <v>48</v>
      </c>
      <c r="Q1113" t="s">
        <v>62</v>
      </c>
      <c r="R1113" t="s">
        <v>43</v>
      </c>
      <c r="S1113" s="3">
        <v>10169</v>
      </c>
      <c r="T1113" s="3">
        <v>14618</v>
      </c>
      <c r="U1113" s="3" t="str">
        <f t="shared" si="71"/>
        <v>High</v>
      </c>
      <c r="V1113">
        <v>0</v>
      </c>
      <c r="W1113" t="s">
        <v>38</v>
      </c>
      <c r="X1113" s="2">
        <v>16</v>
      </c>
      <c r="Y1113" t="s">
        <v>60</v>
      </c>
      <c r="Z1113" t="s">
        <v>61</v>
      </c>
      <c r="AA1113">
        <v>1</v>
      </c>
      <c r="AB1113">
        <v>34</v>
      </c>
      <c r="AC1113">
        <v>4</v>
      </c>
      <c r="AD1113">
        <v>3</v>
      </c>
      <c r="AE1113">
        <v>33</v>
      </c>
      <c r="AF1113">
        <v>7</v>
      </c>
      <c r="AG1113">
        <v>1</v>
      </c>
      <c r="AH1113">
        <v>9</v>
      </c>
      <c r="AI1113" t="str">
        <f t="shared" si="68"/>
        <v>10+ Years</v>
      </c>
      <c r="AJ1113" t="str">
        <f t="shared" si="69"/>
        <v>0-2</v>
      </c>
    </row>
    <row r="1114" spans="1:36" x14ac:dyDescent="0.35">
      <c r="A1114">
        <v>1113</v>
      </c>
      <c r="B1114">
        <v>38</v>
      </c>
      <c r="C1114" t="str">
        <f t="shared" si="70"/>
        <v>36-45</v>
      </c>
      <c r="D1114" t="s">
        <v>31</v>
      </c>
      <c r="E1114" t="s">
        <v>32</v>
      </c>
      <c r="F1114" s="3">
        <v>1389</v>
      </c>
      <c r="G1114" t="s">
        <v>40</v>
      </c>
      <c r="H1114" s="1">
        <v>2</v>
      </c>
      <c r="I1114" t="s">
        <v>61</v>
      </c>
      <c r="J1114" t="s">
        <v>46</v>
      </c>
      <c r="K1114" t="s">
        <v>60</v>
      </c>
      <c r="L1114" t="s">
        <v>41</v>
      </c>
      <c r="M1114" s="3">
        <v>81</v>
      </c>
      <c r="N1114" t="s">
        <v>60</v>
      </c>
      <c r="O1114" t="s">
        <v>61</v>
      </c>
      <c r="P1114" t="s">
        <v>48</v>
      </c>
      <c r="Q1114" t="s">
        <v>61</v>
      </c>
      <c r="R1114" t="s">
        <v>43</v>
      </c>
      <c r="S1114" s="3">
        <v>4855</v>
      </c>
      <c r="T1114" s="3">
        <v>7653</v>
      </c>
      <c r="U1114" s="3" t="str">
        <f t="shared" si="71"/>
        <v>Low</v>
      </c>
      <c r="V1114">
        <v>4</v>
      </c>
      <c r="W1114" t="s">
        <v>38</v>
      </c>
      <c r="X1114" s="2">
        <v>11</v>
      </c>
      <c r="Y1114" t="s">
        <v>60</v>
      </c>
      <c r="Z1114" t="s">
        <v>59</v>
      </c>
      <c r="AA1114">
        <v>2</v>
      </c>
      <c r="AB1114">
        <v>7</v>
      </c>
      <c r="AC1114">
        <v>2</v>
      </c>
      <c r="AD1114">
        <v>3</v>
      </c>
      <c r="AE1114">
        <v>5</v>
      </c>
      <c r="AF1114">
        <v>2</v>
      </c>
      <c r="AG1114">
        <v>1</v>
      </c>
      <c r="AH1114">
        <v>4</v>
      </c>
      <c r="AI1114" t="str">
        <f t="shared" si="68"/>
        <v>3-5 Years</v>
      </c>
      <c r="AJ1114" t="str">
        <f t="shared" si="69"/>
        <v>0-2</v>
      </c>
    </row>
    <row r="1115" spans="1:36" x14ac:dyDescent="0.35">
      <c r="A1115">
        <v>1114</v>
      </c>
      <c r="B1115">
        <v>32</v>
      </c>
      <c r="C1115" t="str">
        <f t="shared" si="70"/>
        <v>26-35</v>
      </c>
      <c r="D1115" t="s">
        <v>38</v>
      </c>
      <c r="E1115" t="s">
        <v>50</v>
      </c>
      <c r="F1115" s="3">
        <v>1389</v>
      </c>
      <c r="G1115" t="s">
        <v>40</v>
      </c>
      <c r="H1115" s="1">
        <v>1</v>
      </c>
      <c r="I1115" t="s">
        <v>60</v>
      </c>
      <c r="J1115" t="s">
        <v>55</v>
      </c>
      <c r="K1115" t="s">
        <v>62</v>
      </c>
      <c r="L1115" t="s">
        <v>41</v>
      </c>
      <c r="M1115" s="3">
        <v>62</v>
      </c>
      <c r="N1115" t="s">
        <v>60</v>
      </c>
      <c r="O1115" t="s">
        <v>61</v>
      </c>
      <c r="P1115" t="s">
        <v>42</v>
      </c>
      <c r="Q1115" t="s">
        <v>59</v>
      </c>
      <c r="R1115" t="s">
        <v>43</v>
      </c>
      <c r="S1115" s="3">
        <v>4087</v>
      </c>
      <c r="T1115" s="3">
        <v>25174</v>
      </c>
      <c r="U1115" s="3" t="str">
        <f t="shared" si="71"/>
        <v>Low</v>
      </c>
      <c r="V1115">
        <v>4</v>
      </c>
      <c r="W1115" t="s">
        <v>38</v>
      </c>
      <c r="X1115" s="2">
        <v>14</v>
      </c>
      <c r="Y1115" t="s">
        <v>60</v>
      </c>
      <c r="Z1115" t="s">
        <v>61</v>
      </c>
      <c r="AA1115">
        <v>1</v>
      </c>
      <c r="AB1115">
        <v>9</v>
      </c>
      <c r="AC1115">
        <v>3</v>
      </c>
      <c r="AD1115">
        <v>2</v>
      </c>
      <c r="AE1115">
        <v>6</v>
      </c>
      <c r="AF1115">
        <v>5</v>
      </c>
      <c r="AG1115">
        <v>1</v>
      </c>
      <c r="AH1115">
        <v>2</v>
      </c>
      <c r="AI1115" t="str">
        <f t="shared" si="68"/>
        <v>6-10 Years</v>
      </c>
      <c r="AJ1115" t="str">
        <f t="shared" si="69"/>
        <v>0-2</v>
      </c>
    </row>
    <row r="1116" spans="1:36" x14ac:dyDescent="0.35">
      <c r="A1116">
        <v>1115</v>
      </c>
      <c r="B1116">
        <v>48</v>
      </c>
      <c r="C1116" t="str">
        <f t="shared" si="70"/>
        <v>46-55</v>
      </c>
      <c r="D1116" t="s">
        <v>38</v>
      </c>
      <c r="E1116" t="s">
        <v>32</v>
      </c>
      <c r="F1116" s="3">
        <v>1389</v>
      </c>
      <c r="G1116" t="s">
        <v>40</v>
      </c>
      <c r="H1116" s="1">
        <v>15</v>
      </c>
      <c r="I1116" t="s">
        <v>60</v>
      </c>
      <c r="J1116" t="s">
        <v>44</v>
      </c>
      <c r="K1116" t="s">
        <v>60</v>
      </c>
      <c r="L1116" t="s">
        <v>35</v>
      </c>
      <c r="M1116" s="3">
        <v>65</v>
      </c>
      <c r="N1116" t="s">
        <v>60</v>
      </c>
      <c r="O1116" t="s">
        <v>59</v>
      </c>
      <c r="P1116" t="s">
        <v>42</v>
      </c>
      <c r="Q1116" t="s">
        <v>59</v>
      </c>
      <c r="R1116" t="s">
        <v>43</v>
      </c>
      <c r="S1116" s="3">
        <v>2367</v>
      </c>
      <c r="T1116" s="3">
        <v>16530</v>
      </c>
      <c r="U1116" s="3" t="str">
        <f t="shared" si="71"/>
        <v>Low</v>
      </c>
      <c r="V1116">
        <v>8</v>
      </c>
      <c r="W1116" t="s">
        <v>38</v>
      </c>
      <c r="X1116" s="2">
        <v>12</v>
      </c>
      <c r="Y1116" t="s">
        <v>60</v>
      </c>
      <c r="Z1116" t="s">
        <v>62</v>
      </c>
      <c r="AA1116">
        <v>1</v>
      </c>
      <c r="AB1116">
        <v>10</v>
      </c>
      <c r="AC1116">
        <v>3</v>
      </c>
      <c r="AD1116">
        <v>2</v>
      </c>
      <c r="AE1116">
        <v>8</v>
      </c>
      <c r="AF1116">
        <v>2</v>
      </c>
      <c r="AG1116">
        <v>7</v>
      </c>
      <c r="AH1116">
        <v>6</v>
      </c>
      <c r="AI1116" t="str">
        <f t="shared" si="68"/>
        <v>6-10 Years</v>
      </c>
      <c r="AJ1116" t="str">
        <f t="shared" si="69"/>
        <v>6+</v>
      </c>
    </row>
    <row r="1117" spans="1:36" x14ac:dyDescent="0.35">
      <c r="A1117">
        <v>1116</v>
      </c>
      <c r="B1117">
        <v>34</v>
      </c>
      <c r="C1117" t="str">
        <f t="shared" si="70"/>
        <v>26-35</v>
      </c>
      <c r="D1117" t="s">
        <v>38</v>
      </c>
      <c r="E1117" t="s">
        <v>32</v>
      </c>
      <c r="F1117" s="3">
        <v>1389</v>
      </c>
      <c r="G1117" t="s">
        <v>40</v>
      </c>
      <c r="H1117" s="1">
        <v>7</v>
      </c>
      <c r="I1117" t="s">
        <v>60</v>
      </c>
      <c r="J1117" t="s">
        <v>46</v>
      </c>
      <c r="K1117" t="s">
        <v>59</v>
      </c>
      <c r="L1117" t="s">
        <v>41</v>
      </c>
      <c r="M1117" s="3">
        <v>35</v>
      </c>
      <c r="N1117" t="s">
        <v>60</v>
      </c>
      <c r="O1117" t="s">
        <v>59</v>
      </c>
      <c r="P1117" t="s">
        <v>42</v>
      </c>
      <c r="Q1117" t="s">
        <v>62</v>
      </c>
      <c r="R1117" t="s">
        <v>37</v>
      </c>
      <c r="S1117" s="3">
        <v>2972</v>
      </c>
      <c r="T1117" s="3">
        <v>22061</v>
      </c>
      <c r="U1117" s="3" t="str">
        <f t="shared" si="71"/>
        <v>Low</v>
      </c>
      <c r="V1117">
        <v>1</v>
      </c>
      <c r="W1117" t="s">
        <v>38</v>
      </c>
      <c r="X1117" s="2">
        <v>13</v>
      </c>
      <c r="Y1117" t="s">
        <v>60</v>
      </c>
      <c r="Z1117" t="s">
        <v>60</v>
      </c>
      <c r="AA1117">
        <v>0</v>
      </c>
      <c r="AB1117">
        <v>1</v>
      </c>
      <c r="AC1117">
        <v>4</v>
      </c>
      <c r="AD1117">
        <v>1</v>
      </c>
      <c r="AE1117">
        <v>1</v>
      </c>
      <c r="AF1117">
        <v>0</v>
      </c>
      <c r="AG1117">
        <v>0</v>
      </c>
      <c r="AH1117">
        <v>0</v>
      </c>
      <c r="AI1117" t="str">
        <f t="shared" si="68"/>
        <v>0-2 Years</v>
      </c>
      <c r="AJ1117" t="str">
        <f t="shared" si="69"/>
        <v>0-2</v>
      </c>
    </row>
    <row r="1118" spans="1:36" x14ac:dyDescent="0.35">
      <c r="A1118">
        <v>1117</v>
      </c>
      <c r="B1118">
        <v>55</v>
      </c>
      <c r="C1118" t="str">
        <f t="shared" si="70"/>
        <v>46-55</v>
      </c>
      <c r="D1118" t="s">
        <v>38</v>
      </c>
      <c r="E1118" t="s">
        <v>32</v>
      </c>
      <c r="F1118" s="3">
        <v>1389</v>
      </c>
      <c r="G1118" t="s">
        <v>33</v>
      </c>
      <c r="H1118" s="1">
        <v>26</v>
      </c>
      <c r="I1118" t="s">
        <v>62</v>
      </c>
      <c r="J1118" t="s">
        <v>54</v>
      </c>
      <c r="K1118" t="s">
        <v>60</v>
      </c>
      <c r="L1118" t="s">
        <v>41</v>
      </c>
      <c r="M1118" s="3">
        <v>60</v>
      </c>
      <c r="N1118" t="s">
        <v>61</v>
      </c>
      <c r="O1118" t="e">
        <v>#N/A</v>
      </c>
      <c r="P1118" t="s">
        <v>51</v>
      </c>
      <c r="Q1118" t="s">
        <v>62</v>
      </c>
      <c r="R1118" t="s">
        <v>43</v>
      </c>
      <c r="S1118" s="3">
        <v>19586</v>
      </c>
      <c r="T1118" s="3">
        <v>23037</v>
      </c>
      <c r="U1118" s="3" t="str">
        <f t="shared" si="71"/>
        <v>High</v>
      </c>
      <c r="V1118">
        <v>1</v>
      </c>
      <c r="W1118" t="s">
        <v>38</v>
      </c>
      <c r="X1118" s="2">
        <v>21</v>
      </c>
      <c r="Y1118" t="s">
        <v>62</v>
      </c>
      <c r="Z1118" t="s">
        <v>60</v>
      </c>
      <c r="AA1118">
        <v>1</v>
      </c>
      <c r="AB1118">
        <v>36</v>
      </c>
      <c r="AC1118">
        <v>3</v>
      </c>
      <c r="AD1118">
        <v>3</v>
      </c>
      <c r="AE1118">
        <v>36</v>
      </c>
      <c r="AF1118">
        <v>6</v>
      </c>
      <c r="AG1118">
        <v>2</v>
      </c>
      <c r="AH1118">
        <v>13</v>
      </c>
      <c r="AI1118" t="str">
        <f t="shared" si="68"/>
        <v>10+ Years</v>
      </c>
      <c r="AJ1118" t="str">
        <f t="shared" si="69"/>
        <v>0-2</v>
      </c>
    </row>
    <row r="1119" spans="1:36" x14ac:dyDescent="0.35">
      <c r="A1119">
        <v>1118</v>
      </c>
      <c r="B1119">
        <v>34</v>
      </c>
      <c r="C1119" t="str">
        <f t="shared" si="70"/>
        <v>26-35</v>
      </c>
      <c r="D1119" t="s">
        <v>38</v>
      </c>
      <c r="E1119" t="s">
        <v>32</v>
      </c>
      <c r="F1119" s="3">
        <v>1389</v>
      </c>
      <c r="G1119" t="s">
        <v>40</v>
      </c>
      <c r="H1119" s="1">
        <v>1</v>
      </c>
      <c r="I1119" t="s">
        <v>60</v>
      </c>
      <c r="J1119" t="s">
        <v>34</v>
      </c>
      <c r="K1119" t="s">
        <v>61</v>
      </c>
      <c r="L1119" t="s">
        <v>41</v>
      </c>
      <c r="M1119" s="3">
        <v>45</v>
      </c>
      <c r="N1119" t="s">
        <v>60</v>
      </c>
      <c r="O1119" t="s">
        <v>61</v>
      </c>
      <c r="P1119" t="s">
        <v>42</v>
      </c>
      <c r="Q1119" t="s">
        <v>62</v>
      </c>
      <c r="R1119" t="s">
        <v>43</v>
      </c>
      <c r="S1119" s="3">
        <v>5484</v>
      </c>
      <c r="T1119" s="3">
        <v>13008</v>
      </c>
      <c r="U1119" s="3" t="str">
        <f t="shared" si="71"/>
        <v>Medium</v>
      </c>
      <c r="V1119">
        <v>9</v>
      </c>
      <c r="W1119" t="s">
        <v>38</v>
      </c>
      <c r="X1119" s="2">
        <v>17</v>
      </c>
      <c r="Y1119" t="s">
        <v>60</v>
      </c>
      <c r="Z1119" t="s">
        <v>61</v>
      </c>
      <c r="AA1119">
        <v>1</v>
      </c>
      <c r="AB1119">
        <v>9</v>
      </c>
      <c r="AC1119">
        <v>3</v>
      </c>
      <c r="AD1119">
        <v>2</v>
      </c>
      <c r="AE1119">
        <v>2</v>
      </c>
      <c r="AF1119">
        <v>2</v>
      </c>
      <c r="AG1119">
        <v>2</v>
      </c>
      <c r="AH1119">
        <v>1</v>
      </c>
      <c r="AI1119" t="str">
        <f t="shared" si="68"/>
        <v>0-2 Years</v>
      </c>
      <c r="AJ1119" t="str">
        <f t="shared" si="69"/>
        <v>0-2</v>
      </c>
    </row>
    <row r="1120" spans="1:36" x14ac:dyDescent="0.35">
      <c r="A1120">
        <v>1119</v>
      </c>
      <c r="B1120">
        <v>26</v>
      </c>
      <c r="C1120" t="str">
        <f t="shared" si="70"/>
        <v>26-35</v>
      </c>
      <c r="D1120" t="s">
        <v>38</v>
      </c>
      <c r="E1120" t="s">
        <v>32</v>
      </c>
      <c r="F1120" s="3">
        <v>1389</v>
      </c>
      <c r="G1120" t="s">
        <v>40</v>
      </c>
      <c r="H1120" s="1">
        <v>3</v>
      </c>
      <c r="I1120" t="s">
        <v>61</v>
      </c>
      <c r="J1120" t="s">
        <v>34</v>
      </c>
      <c r="K1120" t="s">
        <v>59</v>
      </c>
      <c r="L1120" t="s">
        <v>35</v>
      </c>
      <c r="M1120" s="3">
        <v>89</v>
      </c>
      <c r="N1120" t="s">
        <v>60</v>
      </c>
      <c r="O1120" t="s">
        <v>59</v>
      </c>
      <c r="P1120" t="s">
        <v>42</v>
      </c>
      <c r="Q1120" t="s">
        <v>62</v>
      </c>
      <c r="R1120" t="s">
        <v>43</v>
      </c>
      <c r="S1120" s="3">
        <v>2061</v>
      </c>
      <c r="T1120" s="3">
        <v>11133</v>
      </c>
      <c r="U1120" s="3" t="str">
        <f t="shared" si="71"/>
        <v>Low</v>
      </c>
      <c r="V1120">
        <v>1</v>
      </c>
      <c r="W1120" t="s">
        <v>38</v>
      </c>
      <c r="X1120" s="2">
        <v>21</v>
      </c>
      <c r="Y1120" t="s">
        <v>62</v>
      </c>
      <c r="Z1120" t="s">
        <v>59</v>
      </c>
      <c r="AA1120">
        <v>0</v>
      </c>
      <c r="AB1120">
        <v>1</v>
      </c>
      <c r="AC1120">
        <v>5</v>
      </c>
      <c r="AD1120">
        <v>3</v>
      </c>
      <c r="AE1120">
        <v>1</v>
      </c>
      <c r="AF1120">
        <v>0</v>
      </c>
      <c r="AG1120">
        <v>0</v>
      </c>
      <c r="AH1120">
        <v>0</v>
      </c>
      <c r="AI1120" t="str">
        <f t="shared" si="68"/>
        <v>0-2 Years</v>
      </c>
      <c r="AJ1120" t="str">
        <f t="shared" si="69"/>
        <v>0-2</v>
      </c>
    </row>
    <row r="1121" spans="1:36" x14ac:dyDescent="0.35">
      <c r="A1121">
        <v>1120</v>
      </c>
      <c r="B1121">
        <v>38</v>
      </c>
      <c r="C1121" t="str">
        <f t="shared" si="70"/>
        <v>36-45</v>
      </c>
      <c r="D1121" t="s">
        <v>38</v>
      </c>
      <c r="E1121" t="s">
        <v>32</v>
      </c>
      <c r="F1121" s="3">
        <v>1389</v>
      </c>
      <c r="G1121" t="s">
        <v>33</v>
      </c>
      <c r="H1121" s="1">
        <v>14</v>
      </c>
      <c r="I1121" t="s">
        <v>61</v>
      </c>
      <c r="J1121" t="s">
        <v>34</v>
      </c>
      <c r="K1121" t="s">
        <v>60</v>
      </c>
      <c r="L1121" t="s">
        <v>41</v>
      </c>
      <c r="M1121" s="3">
        <v>80</v>
      </c>
      <c r="N1121" t="s">
        <v>60</v>
      </c>
      <c r="O1121" t="s">
        <v>61</v>
      </c>
      <c r="P1121" t="s">
        <v>36</v>
      </c>
      <c r="Q1121" t="s">
        <v>61</v>
      </c>
      <c r="R1121" t="s">
        <v>43</v>
      </c>
      <c r="S1121" s="3">
        <v>9924</v>
      </c>
      <c r="T1121" s="3">
        <v>12355</v>
      </c>
      <c r="U1121" s="3" t="str">
        <f t="shared" si="71"/>
        <v>Medium</v>
      </c>
      <c r="V1121">
        <v>0</v>
      </c>
      <c r="W1121" t="s">
        <v>38</v>
      </c>
      <c r="X1121" s="2">
        <v>11</v>
      </c>
      <c r="Y1121" t="s">
        <v>60</v>
      </c>
      <c r="Z1121" t="s">
        <v>62</v>
      </c>
      <c r="AA1121">
        <v>1</v>
      </c>
      <c r="AB1121">
        <v>10</v>
      </c>
      <c r="AC1121">
        <v>3</v>
      </c>
      <c r="AD1121">
        <v>3</v>
      </c>
      <c r="AE1121">
        <v>9</v>
      </c>
      <c r="AF1121">
        <v>8</v>
      </c>
      <c r="AG1121">
        <v>7</v>
      </c>
      <c r="AH1121">
        <v>7</v>
      </c>
      <c r="AI1121" t="str">
        <f t="shared" si="68"/>
        <v>6-10 Years</v>
      </c>
      <c r="AJ1121" t="str">
        <f t="shared" si="69"/>
        <v>6+</v>
      </c>
    </row>
    <row r="1122" spans="1:36" x14ac:dyDescent="0.35">
      <c r="A1122">
        <v>1121</v>
      </c>
      <c r="B1122">
        <v>38</v>
      </c>
      <c r="C1122" t="str">
        <f t="shared" si="70"/>
        <v>36-45</v>
      </c>
      <c r="D1122" t="s">
        <v>38</v>
      </c>
      <c r="E1122" t="s">
        <v>32</v>
      </c>
      <c r="F1122" s="3">
        <v>1389</v>
      </c>
      <c r="G1122" t="s">
        <v>33</v>
      </c>
      <c r="H1122" s="1">
        <v>16</v>
      </c>
      <c r="I1122" t="s">
        <v>61</v>
      </c>
      <c r="J1122" t="s">
        <v>34</v>
      </c>
      <c r="K1122" t="s">
        <v>61</v>
      </c>
      <c r="L1122" t="s">
        <v>35</v>
      </c>
      <c r="M1122" s="3">
        <v>90</v>
      </c>
      <c r="N1122" t="s">
        <v>60</v>
      </c>
      <c r="O1122" t="s">
        <v>61</v>
      </c>
      <c r="P1122" t="s">
        <v>36</v>
      </c>
      <c r="Q1122" t="s">
        <v>61</v>
      </c>
      <c r="R1122" t="s">
        <v>37</v>
      </c>
      <c r="S1122" s="3">
        <v>4198</v>
      </c>
      <c r="T1122" s="3">
        <v>16379</v>
      </c>
      <c r="U1122" s="3" t="str">
        <f t="shared" si="71"/>
        <v>Low</v>
      </c>
      <c r="V1122">
        <v>2</v>
      </c>
      <c r="W1122" t="s">
        <v>38</v>
      </c>
      <c r="X1122" s="2">
        <v>12</v>
      </c>
      <c r="Y1122" t="s">
        <v>60</v>
      </c>
      <c r="Z1122" t="s">
        <v>61</v>
      </c>
      <c r="AA1122">
        <v>0</v>
      </c>
      <c r="AB1122">
        <v>8</v>
      </c>
      <c r="AC1122">
        <v>5</v>
      </c>
      <c r="AD1122">
        <v>4</v>
      </c>
      <c r="AE1122">
        <v>3</v>
      </c>
      <c r="AF1122">
        <v>2</v>
      </c>
      <c r="AG1122">
        <v>1</v>
      </c>
      <c r="AH1122">
        <v>2</v>
      </c>
      <c r="AI1122" t="str">
        <f t="shared" si="68"/>
        <v>3-5 Years</v>
      </c>
      <c r="AJ1122" t="str">
        <f t="shared" si="69"/>
        <v>0-2</v>
      </c>
    </row>
    <row r="1123" spans="1:36" x14ac:dyDescent="0.35">
      <c r="A1123">
        <v>1122</v>
      </c>
      <c r="B1123">
        <v>36</v>
      </c>
      <c r="C1123" t="str">
        <f t="shared" si="70"/>
        <v>36-45</v>
      </c>
      <c r="D1123" t="s">
        <v>38</v>
      </c>
      <c r="E1123" t="s">
        <v>32</v>
      </c>
      <c r="F1123" s="3">
        <v>1389</v>
      </c>
      <c r="G1123" t="s">
        <v>33</v>
      </c>
      <c r="H1123" s="1">
        <v>1</v>
      </c>
      <c r="I1123" t="s">
        <v>60</v>
      </c>
      <c r="J1123" t="s">
        <v>34</v>
      </c>
      <c r="K1123" t="s">
        <v>61</v>
      </c>
      <c r="L1123" t="s">
        <v>35</v>
      </c>
      <c r="M1123" s="3">
        <v>73</v>
      </c>
      <c r="N1123" t="s">
        <v>60</v>
      </c>
      <c r="O1123" t="s">
        <v>61</v>
      </c>
      <c r="P1123" t="s">
        <v>36</v>
      </c>
      <c r="Q1123" t="s">
        <v>60</v>
      </c>
      <c r="R1123" t="s">
        <v>37</v>
      </c>
      <c r="S1123" s="3">
        <v>6815</v>
      </c>
      <c r="T1123" s="3">
        <v>21447</v>
      </c>
      <c r="U1123" s="3" t="str">
        <f t="shared" si="71"/>
        <v>Medium</v>
      </c>
      <c r="V1123">
        <v>6</v>
      </c>
      <c r="W1123" t="s">
        <v>38</v>
      </c>
      <c r="X1123" s="2">
        <v>13</v>
      </c>
      <c r="Y1123" t="s">
        <v>60</v>
      </c>
      <c r="Z1123" t="s">
        <v>59</v>
      </c>
      <c r="AA1123">
        <v>0</v>
      </c>
      <c r="AB1123">
        <v>15</v>
      </c>
      <c r="AC1123">
        <v>5</v>
      </c>
      <c r="AD1123">
        <v>3</v>
      </c>
      <c r="AE1123">
        <v>1</v>
      </c>
      <c r="AF1123">
        <v>0</v>
      </c>
      <c r="AG1123">
        <v>0</v>
      </c>
      <c r="AH1123">
        <v>0</v>
      </c>
      <c r="AI1123" t="str">
        <f t="shared" si="68"/>
        <v>0-2 Years</v>
      </c>
      <c r="AJ1123" t="str">
        <f t="shared" si="69"/>
        <v>0-2</v>
      </c>
    </row>
    <row r="1124" spans="1:36" x14ac:dyDescent="0.35">
      <c r="A1124">
        <v>1123</v>
      </c>
      <c r="B1124">
        <v>29</v>
      </c>
      <c r="C1124" t="str">
        <f t="shared" si="70"/>
        <v>26-35</v>
      </c>
      <c r="D1124" t="s">
        <v>38</v>
      </c>
      <c r="E1124" t="s">
        <v>32</v>
      </c>
      <c r="F1124" s="3">
        <v>1389</v>
      </c>
      <c r="G1124" t="s">
        <v>40</v>
      </c>
      <c r="H1124" s="1">
        <v>3</v>
      </c>
      <c r="I1124" t="s">
        <v>59</v>
      </c>
      <c r="J1124" t="s">
        <v>46</v>
      </c>
      <c r="K1124" t="s">
        <v>61</v>
      </c>
      <c r="L1124" t="s">
        <v>41</v>
      </c>
      <c r="M1124" s="3">
        <v>87</v>
      </c>
      <c r="N1124" t="s">
        <v>60</v>
      </c>
      <c r="O1124" t="s">
        <v>59</v>
      </c>
      <c r="P1124" t="s">
        <v>45</v>
      </c>
      <c r="Q1124" t="s">
        <v>59</v>
      </c>
      <c r="R1124" t="s">
        <v>37</v>
      </c>
      <c r="S1124" s="3">
        <v>4723</v>
      </c>
      <c r="T1124" s="3">
        <v>16213</v>
      </c>
      <c r="U1124" s="3" t="str">
        <f t="shared" si="71"/>
        <v>Low</v>
      </c>
      <c r="V1124">
        <v>1</v>
      </c>
      <c r="W1124" t="s">
        <v>31</v>
      </c>
      <c r="X1124" s="2">
        <v>18</v>
      </c>
      <c r="Y1124" t="s">
        <v>60</v>
      </c>
      <c r="Z1124" t="s">
        <v>62</v>
      </c>
      <c r="AA1124">
        <v>0</v>
      </c>
      <c r="AB1124">
        <v>10</v>
      </c>
      <c r="AC1124">
        <v>3</v>
      </c>
      <c r="AD1124">
        <v>3</v>
      </c>
      <c r="AE1124">
        <v>10</v>
      </c>
      <c r="AF1124">
        <v>9</v>
      </c>
      <c r="AG1124">
        <v>1</v>
      </c>
      <c r="AH1124">
        <v>5</v>
      </c>
      <c r="AI1124" t="str">
        <f t="shared" si="68"/>
        <v>6-10 Years</v>
      </c>
      <c r="AJ1124" t="str">
        <f t="shared" si="69"/>
        <v>0-2</v>
      </c>
    </row>
    <row r="1125" spans="1:36" x14ac:dyDescent="0.35">
      <c r="A1125">
        <v>1124</v>
      </c>
      <c r="B1125">
        <v>35</v>
      </c>
      <c r="C1125" t="str">
        <f t="shared" si="70"/>
        <v>26-35</v>
      </c>
      <c r="D1125" t="s">
        <v>38</v>
      </c>
      <c r="E1125" t="s">
        <v>32</v>
      </c>
      <c r="F1125" s="3">
        <v>1389</v>
      </c>
      <c r="G1125" t="s">
        <v>40</v>
      </c>
      <c r="H1125" s="1">
        <v>10</v>
      </c>
      <c r="I1125" t="s">
        <v>60</v>
      </c>
      <c r="J1125" t="s">
        <v>46</v>
      </c>
      <c r="K1125" t="s">
        <v>59</v>
      </c>
      <c r="L1125" t="s">
        <v>35</v>
      </c>
      <c r="M1125" s="3">
        <v>51</v>
      </c>
      <c r="N1125" t="s">
        <v>60</v>
      </c>
      <c r="O1125" t="s">
        <v>61</v>
      </c>
      <c r="P1125" t="s">
        <v>49</v>
      </c>
      <c r="Q1125" t="s">
        <v>60</v>
      </c>
      <c r="R1125" t="s">
        <v>37</v>
      </c>
      <c r="S1125" s="3">
        <v>6142</v>
      </c>
      <c r="T1125" s="3">
        <v>4223</v>
      </c>
      <c r="U1125" s="3" t="str">
        <f t="shared" si="71"/>
        <v>Medium</v>
      </c>
      <c r="V1125">
        <v>3</v>
      </c>
      <c r="W1125" t="s">
        <v>31</v>
      </c>
      <c r="X1125" s="2">
        <v>16</v>
      </c>
      <c r="Y1125" t="s">
        <v>60</v>
      </c>
      <c r="Z1125" t="s">
        <v>60</v>
      </c>
      <c r="AA1125">
        <v>0</v>
      </c>
      <c r="AB1125">
        <v>10</v>
      </c>
      <c r="AC1125">
        <v>4</v>
      </c>
      <c r="AD1125">
        <v>3</v>
      </c>
      <c r="AE1125">
        <v>5</v>
      </c>
      <c r="AF1125">
        <v>2</v>
      </c>
      <c r="AG1125">
        <v>0</v>
      </c>
      <c r="AH1125">
        <v>4</v>
      </c>
      <c r="AI1125" t="str">
        <f t="shared" si="68"/>
        <v>3-5 Years</v>
      </c>
      <c r="AJ1125" t="str">
        <f t="shared" si="69"/>
        <v>0-2</v>
      </c>
    </row>
    <row r="1126" spans="1:36" x14ac:dyDescent="0.35">
      <c r="A1126">
        <v>1125</v>
      </c>
      <c r="B1126">
        <v>39</v>
      </c>
      <c r="C1126" t="str">
        <f t="shared" si="70"/>
        <v>36-45</v>
      </c>
      <c r="D1126" t="s">
        <v>38</v>
      </c>
      <c r="E1126" t="s">
        <v>32</v>
      </c>
      <c r="F1126" s="3">
        <v>1389</v>
      </c>
      <c r="G1126" t="s">
        <v>33</v>
      </c>
      <c r="H1126" s="1">
        <v>6</v>
      </c>
      <c r="I1126" t="s">
        <v>61</v>
      </c>
      <c r="J1126" t="s">
        <v>46</v>
      </c>
      <c r="K1126" t="s">
        <v>62</v>
      </c>
      <c r="L1126" t="s">
        <v>41</v>
      </c>
      <c r="M1126" s="3">
        <v>38</v>
      </c>
      <c r="N1126" t="s">
        <v>62</v>
      </c>
      <c r="O1126" t="s">
        <v>60</v>
      </c>
      <c r="P1126" t="s">
        <v>36</v>
      </c>
      <c r="Q1126" t="s">
        <v>60</v>
      </c>
      <c r="R1126" t="s">
        <v>43</v>
      </c>
      <c r="S1126" s="3">
        <v>8237</v>
      </c>
      <c r="T1126" s="3">
        <v>4658</v>
      </c>
      <c r="U1126" s="3" t="str">
        <f t="shared" si="71"/>
        <v>Medium</v>
      </c>
      <c r="V1126">
        <v>2</v>
      </c>
      <c r="W1126" t="s">
        <v>38</v>
      </c>
      <c r="X1126" s="2">
        <v>11</v>
      </c>
      <c r="Y1126" t="s">
        <v>60</v>
      </c>
      <c r="Z1126" t="s">
        <v>59</v>
      </c>
      <c r="AA1126">
        <v>1</v>
      </c>
      <c r="AB1126">
        <v>11</v>
      </c>
      <c r="AC1126">
        <v>3</v>
      </c>
      <c r="AD1126">
        <v>3</v>
      </c>
      <c r="AE1126">
        <v>7</v>
      </c>
      <c r="AF1126">
        <v>6</v>
      </c>
      <c r="AG1126">
        <v>7</v>
      </c>
      <c r="AH1126">
        <v>6</v>
      </c>
      <c r="AI1126" t="str">
        <f t="shared" si="68"/>
        <v>6-10 Years</v>
      </c>
      <c r="AJ1126" t="str">
        <f t="shared" si="69"/>
        <v>6+</v>
      </c>
    </row>
    <row r="1127" spans="1:36" x14ac:dyDescent="0.35">
      <c r="A1127">
        <v>1126</v>
      </c>
      <c r="B1127">
        <v>29</v>
      </c>
      <c r="C1127" t="str">
        <f t="shared" si="70"/>
        <v>26-35</v>
      </c>
      <c r="D1127" t="s">
        <v>38</v>
      </c>
      <c r="E1127" t="s">
        <v>39</v>
      </c>
      <c r="F1127" s="3">
        <v>1389</v>
      </c>
      <c r="G1127" t="s">
        <v>40</v>
      </c>
      <c r="H1127" s="1">
        <v>2</v>
      </c>
      <c r="I1127" t="s">
        <v>59</v>
      </c>
      <c r="J1127" t="s">
        <v>34</v>
      </c>
      <c r="K1127" t="s">
        <v>59</v>
      </c>
      <c r="L1127" t="s">
        <v>41</v>
      </c>
      <c r="M1127" s="3">
        <v>87</v>
      </c>
      <c r="N1127" t="s">
        <v>60</v>
      </c>
      <c r="O1127" t="s">
        <v>61</v>
      </c>
      <c r="P1127" t="s">
        <v>49</v>
      </c>
      <c r="Q1127" t="s">
        <v>62</v>
      </c>
      <c r="R1127" t="s">
        <v>47</v>
      </c>
      <c r="S1127" s="3">
        <v>8853</v>
      </c>
      <c r="T1127" s="3">
        <v>24483</v>
      </c>
      <c r="U1127" s="3" t="str">
        <f t="shared" si="71"/>
        <v>Medium</v>
      </c>
      <c r="V1127">
        <v>1</v>
      </c>
      <c r="W1127" t="s">
        <v>38</v>
      </c>
      <c r="X1127" s="2">
        <v>19</v>
      </c>
      <c r="Y1127" t="s">
        <v>60</v>
      </c>
      <c r="Z1127" t="s">
        <v>62</v>
      </c>
      <c r="AA1127">
        <v>1</v>
      </c>
      <c r="AB1127">
        <v>6</v>
      </c>
      <c r="AC1127">
        <v>0</v>
      </c>
      <c r="AD1127">
        <v>4</v>
      </c>
      <c r="AE1127">
        <v>6</v>
      </c>
      <c r="AF1127">
        <v>4</v>
      </c>
      <c r="AG1127">
        <v>1</v>
      </c>
      <c r="AH1127">
        <v>3</v>
      </c>
      <c r="AI1127" t="str">
        <f t="shared" si="68"/>
        <v>6-10 Years</v>
      </c>
      <c r="AJ1127" t="str">
        <f t="shared" si="69"/>
        <v>0-2</v>
      </c>
    </row>
    <row r="1128" spans="1:36" x14ac:dyDescent="0.35">
      <c r="A1128">
        <v>1127</v>
      </c>
      <c r="B1128">
        <v>50</v>
      </c>
      <c r="C1128" t="str">
        <f t="shared" si="70"/>
        <v>46-55</v>
      </c>
      <c r="D1128" t="s">
        <v>38</v>
      </c>
      <c r="E1128" t="s">
        <v>32</v>
      </c>
      <c r="F1128" s="3">
        <v>1389</v>
      </c>
      <c r="G1128" t="s">
        <v>33</v>
      </c>
      <c r="H1128" s="1">
        <v>9</v>
      </c>
      <c r="I1128" t="s">
        <v>61</v>
      </c>
      <c r="J1128" t="s">
        <v>54</v>
      </c>
      <c r="K1128" t="s">
        <v>60</v>
      </c>
      <c r="L1128" t="s">
        <v>41</v>
      </c>
      <c r="M1128" s="3">
        <v>59</v>
      </c>
      <c r="N1128" t="s">
        <v>60</v>
      </c>
      <c r="O1128" t="e">
        <v>#N/A</v>
      </c>
      <c r="P1128" t="s">
        <v>51</v>
      </c>
      <c r="Q1128" t="s">
        <v>60</v>
      </c>
      <c r="R1128" t="s">
        <v>43</v>
      </c>
      <c r="S1128" s="3">
        <v>19331</v>
      </c>
      <c r="T1128" s="3">
        <v>19519</v>
      </c>
      <c r="U1128" s="3" t="str">
        <f t="shared" si="71"/>
        <v>High</v>
      </c>
      <c r="V1128">
        <v>4</v>
      </c>
      <c r="W1128" t="s">
        <v>31</v>
      </c>
      <c r="X1128" s="2">
        <v>16</v>
      </c>
      <c r="Y1128" t="s">
        <v>60</v>
      </c>
      <c r="Z1128" t="s">
        <v>60</v>
      </c>
      <c r="AA1128">
        <v>1</v>
      </c>
      <c r="AB1128">
        <v>27</v>
      </c>
      <c r="AC1128">
        <v>2</v>
      </c>
      <c r="AD1128">
        <v>3</v>
      </c>
      <c r="AE1128">
        <v>1</v>
      </c>
      <c r="AF1128">
        <v>0</v>
      </c>
      <c r="AG1128">
        <v>0</v>
      </c>
      <c r="AH1128">
        <v>0</v>
      </c>
      <c r="AI1128" t="str">
        <f t="shared" si="68"/>
        <v>0-2 Years</v>
      </c>
      <c r="AJ1128" t="str">
        <f t="shared" si="69"/>
        <v>0-2</v>
      </c>
    </row>
    <row r="1129" spans="1:36" x14ac:dyDescent="0.35">
      <c r="A1129">
        <v>1128</v>
      </c>
      <c r="B1129">
        <v>23</v>
      </c>
      <c r="C1129" t="str">
        <f t="shared" si="70"/>
        <v>18-25</v>
      </c>
      <c r="D1129" t="s">
        <v>38</v>
      </c>
      <c r="E1129" t="s">
        <v>32</v>
      </c>
      <c r="F1129" s="3">
        <v>1389</v>
      </c>
      <c r="G1129" t="s">
        <v>40</v>
      </c>
      <c r="H1129" s="1">
        <v>10</v>
      </c>
      <c r="I1129" t="s">
        <v>61</v>
      </c>
      <c r="J1129" t="s">
        <v>55</v>
      </c>
      <c r="K1129" t="s">
        <v>62</v>
      </c>
      <c r="L1129" t="s">
        <v>41</v>
      </c>
      <c r="M1129" s="3">
        <v>45</v>
      </c>
      <c r="N1129" t="s">
        <v>62</v>
      </c>
      <c r="O1129" t="s">
        <v>59</v>
      </c>
      <c r="P1129" t="s">
        <v>42</v>
      </c>
      <c r="Q1129" t="s">
        <v>60</v>
      </c>
      <c r="R1129" t="s">
        <v>43</v>
      </c>
      <c r="S1129" s="3">
        <v>2073</v>
      </c>
      <c r="T1129" s="3">
        <v>12826</v>
      </c>
      <c r="U1129" s="3" t="str">
        <f t="shared" si="71"/>
        <v>Low</v>
      </c>
      <c r="V1129">
        <v>2</v>
      </c>
      <c r="W1129" t="s">
        <v>38</v>
      </c>
      <c r="X1129" s="2">
        <v>16</v>
      </c>
      <c r="Y1129" t="s">
        <v>60</v>
      </c>
      <c r="Z1129" t="s">
        <v>62</v>
      </c>
      <c r="AA1129">
        <v>1</v>
      </c>
      <c r="AB1129">
        <v>4</v>
      </c>
      <c r="AC1129">
        <v>2</v>
      </c>
      <c r="AD1129">
        <v>3</v>
      </c>
      <c r="AE1129">
        <v>2</v>
      </c>
      <c r="AF1129">
        <v>2</v>
      </c>
      <c r="AG1129">
        <v>2</v>
      </c>
      <c r="AH1129">
        <v>2</v>
      </c>
      <c r="AI1129" t="str">
        <f t="shared" si="68"/>
        <v>0-2 Years</v>
      </c>
      <c r="AJ1129" t="str">
        <f t="shared" si="69"/>
        <v>0-2</v>
      </c>
    </row>
    <row r="1130" spans="1:36" x14ac:dyDescent="0.35">
      <c r="A1130">
        <v>1129</v>
      </c>
      <c r="B1130">
        <v>36</v>
      </c>
      <c r="C1130" t="str">
        <f t="shared" si="70"/>
        <v>36-45</v>
      </c>
      <c r="D1130" t="s">
        <v>38</v>
      </c>
      <c r="E1130" t="s">
        <v>39</v>
      </c>
      <c r="F1130" s="3">
        <v>1389</v>
      </c>
      <c r="G1130" t="s">
        <v>40</v>
      </c>
      <c r="H1130" s="1">
        <v>6</v>
      </c>
      <c r="I1130" t="s">
        <v>60</v>
      </c>
      <c r="J1130" t="s">
        <v>34</v>
      </c>
      <c r="K1130" t="s">
        <v>59</v>
      </c>
      <c r="L1130" t="s">
        <v>41</v>
      </c>
      <c r="M1130" s="3">
        <v>80</v>
      </c>
      <c r="N1130" t="s">
        <v>62</v>
      </c>
      <c r="O1130" t="s">
        <v>61</v>
      </c>
      <c r="P1130" t="s">
        <v>45</v>
      </c>
      <c r="Q1130" t="s">
        <v>59</v>
      </c>
      <c r="R1130" t="s">
        <v>43</v>
      </c>
      <c r="S1130" s="3">
        <v>5562</v>
      </c>
      <c r="T1130" s="3">
        <v>19711</v>
      </c>
      <c r="U1130" s="3" t="str">
        <f t="shared" si="71"/>
        <v>Medium</v>
      </c>
      <c r="V1130">
        <v>3</v>
      </c>
      <c r="W1130" t="s">
        <v>31</v>
      </c>
      <c r="X1130" s="2">
        <v>13</v>
      </c>
      <c r="Y1130" t="s">
        <v>60</v>
      </c>
      <c r="Z1130" t="s">
        <v>62</v>
      </c>
      <c r="AA1130">
        <v>1</v>
      </c>
      <c r="AB1130">
        <v>9</v>
      </c>
      <c r="AC1130">
        <v>3</v>
      </c>
      <c r="AD1130">
        <v>3</v>
      </c>
      <c r="AE1130">
        <v>3</v>
      </c>
      <c r="AF1130">
        <v>2</v>
      </c>
      <c r="AG1130">
        <v>0</v>
      </c>
      <c r="AH1130">
        <v>2</v>
      </c>
      <c r="AI1130" t="str">
        <f t="shared" si="68"/>
        <v>3-5 Years</v>
      </c>
      <c r="AJ1130" t="str">
        <f t="shared" si="69"/>
        <v>0-2</v>
      </c>
    </row>
    <row r="1131" spans="1:36" x14ac:dyDescent="0.35">
      <c r="A1131">
        <v>1130</v>
      </c>
      <c r="B1131">
        <v>42</v>
      </c>
      <c r="C1131" t="str">
        <f t="shared" si="70"/>
        <v>36-45</v>
      </c>
      <c r="D1131" t="s">
        <v>38</v>
      </c>
      <c r="E1131" t="s">
        <v>32</v>
      </c>
      <c r="F1131" s="3">
        <v>1389</v>
      </c>
      <c r="G1131" t="s">
        <v>40</v>
      </c>
      <c r="H1131" s="1">
        <v>9</v>
      </c>
      <c r="I1131" t="s">
        <v>58</v>
      </c>
      <c r="J1131" t="s">
        <v>44</v>
      </c>
      <c r="K1131" t="s">
        <v>62</v>
      </c>
      <c r="L1131" t="s">
        <v>41</v>
      </c>
      <c r="M1131" s="3">
        <v>93</v>
      </c>
      <c r="N1131" t="s">
        <v>61</v>
      </c>
      <c r="O1131" t="e">
        <v>#N/A</v>
      </c>
      <c r="P1131" t="s">
        <v>51</v>
      </c>
      <c r="Q1131" t="s">
        <v>62</v>
      </c>
      <c r="R1131" t="s">
        <v>37</v>
      </c>
      <c r="S1131" s="3">
        <v>19613</v>
      </c>
      <c r="T1131" s="3">
        <v>26362</v>
      </c>
      <c r="U1131" s="3" t="str">
        <f t="shared" si="71"/>
        <v>High</v>
      </c>
      <c r="V1131">
        <v>8</v>
      </c>
      <c r="W1131" t="s">
        <v>38</v>
      </c>
      <c r="X1131" s="2">
        <v>22</v>
      </c>
      <c r="Y1131" t="s">
        <v>62</v>
      </c>
      <c r="Z1131" t="s">
        <v>62</v>
      </c>
      <c r="AA1131">
        <v>0</v>
      </c>
      <c r="AB1131">
        <v>24</v>
      </c>
      <c r="AC1131">
        <v>2</v>
      </c>
      <c r="AD1131">
        <v>3</v>
      </c>
      <c r="AE1131">
        <v>1</v>
      </c>
      <c r="AF1131">
        <v>0</v>
      </c>
      <c r="AG1131">
        <v>0</v>
      </c>
      <c r="AH1131">
        <v>1</v>
      </c>
      <c r="AI1131" t="str">
        <f t="shared" si="68"/>
        <v>0-2 Years</v>
      </c>
      <c r="AJ1131" t="str">
        <f t="shared" si="69"/>
        <v>0-2</v>
      </c>
    </row>
    <row r="1132" spans="1:36" x14ac:dyDescent="0.35">
      <c r="A1132">
        <v>1131</v>
      </c>
      <c r="B1132">
        <v>35</v>
      </c>
      <c r="C1132" t="str">
        <f t="shared" si="70"/>
        <v>26-35</v>
      </c>
      <c r="D1132" t="s">
        <v>38</v>
      </c>
      <c r="E1132" t="s">
        <v>32</v>
      </c>
      <c r="F1132" s="3">
        <v>1389</v>
      </c>
      <c r="G1132" t="s">
        <v>40</v>
      </c>
      <c r="H1132" s="1">
        <v>28</v>
      </c>
      <c r="I1132" t="s">
        <v>61</v>
      </c>
      <c r="J1132" t="s">
        <v>34</v>
      </c>
      <c r="K1132" t="s">
        <v>61</v>
      </c>
      <c r="L1132" t="s">
        <v>41</v>
      </c>
      <c r="M1132" s="3">
        <v>46</v>
      </c>
      <c r="N1132" t="s">
        <v>62</v>
      </c>
      <c r="O1132" t="s">
        <v>61</v>
      </c>
      <c r="P1132" t="s">
        <v>45</v>
      </c>
      <c r="Q1132" t="s">
        <v>60</v>
      </c>
      <c r="R1132" t="s">
        <v>43</v>
      </c>
      <c r="S1132" s="3">
        <v>3407</v>
      </c>
      <c r="T1132" s="3">
        <v>25348</v>
      </c>
      <c r="U1132" s="3" t="str">
        <f t="shared" si="71"/>
        <v>Low</v>
      </c>
      <c r="V1132">
        <v>1</v>
      </c>
      <c r="W1132" t="s">
        <v>38</v>
      </c>
      <c r="X1132" s="2">
        <v>17</v>
      </c>
      <c r="Y1132" t="s">
        <v>60</v>
      </c>
      <c r="Z1132" t="s">
        <v>62</v>
      </c>
      <c r="AA1132">
        <v>2</v>
      </c>
      <c r="AB1132">
        <v>10</v>
      </c>
      <c r="AC1132">
        <v>3</v>
      </c>
      <c r="AD1132">
        <v>2</v>
      </c>
      <c r="AE1132">
        <v>10</v>
      </c>
      <c r="AF1132">
        <v>9</v>
      </c>
      <c r="AG1132">
        <v>6</v>
      </c>
      <c r="AH1132">
        <v>8</v>
      </c>
      <c r="AI1132" t="str">
        <f t="shared" si="68"/>
        <v>6-10 Years</v>
      </c>
      <c r="AJ1132" t="str">
        <f t="shared" si="69"/>
        <v>6+</v>
      </c>
    </row>
    <row r="1133" spans="1:36" x14ac:dyDescent="0.35">
      <c r="A1133">
        <v>1132</v>
      </c>
      <c r="B1133">
        <v>34</v>
      </c>
      <c r="C1133" t="str">
        <f t="shared" si="70"/>
        <v>26-35</v>
      </c>
      <c r="D1133" t="s">
        <v>38</v>
      </c>
      <c r="E1133" t="s">
        <v>39</v>
      </c>
      <c r="F1133" s="3">
        <v>1389</v>
      </c>
      <c r="G1133" t="s">
        <v>40</v>
      </c>
      <c r="H1133" s="1">
        <v>10</v>
      </c>
      <c r="I1133" t="s">
        <v>60</v>
      </c>
      <c r="J1133" t="s">
        <v>55</v>
      </c>
      <c r="K1133" t="s">
        <v>62</v>
      </c>
      <c r="L1133" t="s">
        <v>41</v>
      </c>
      <c r="M1133" s="3">
        <v>92</v>
      </c>
      <c r="N1133" t="s">
        <v>61</v>
      </c>
      <c r="O1133" t="s">
        <v>61</v>
      </c>
      <c r="P1133" t="s">
        <v>49</v>
      </c>
      <c r="Q1133" t="s">
        <v>60</v>
      </c>
      <c r="R1133" t="s">
        <v>43</v>
      </c>
      <c r="S1133" s="3">
        <v>5063</v>
      </c>
      <c r="T1133" s="3">
        <v>15332</v>
      </c>
      <c r="U1133" s="3" t="str">
        <f t="shared" si="71"/>
        <v>Medium</v>
      </c>
      <c r="V1133">
        <v>1</v>
      </c>
      <c r="W1133" t="s">
        <v>38</v>
      </c>
      <c r="X1133" s="2">
        <v>14</v>
      </c>
      <c r="Y1133" t="s">
        <v>60</v>
      </c>
      <c r="Z1133" t="s">
        <v>61</v>
      </c>
      <c r="AA1133">
        <v>1</v>
      </c>
      <c r="AB1133">
        <v>8</v>
      </c>
      <c r="AC1133">
        <v>3</v>
      </c>
      <c r="AD1133">
        <v>2</v>
      </c>
      <c r="AE1133">
        <v>8</v>
      </c>
      <c r="AF1133">
        <v>2</v>
      </c>
      <c r="AG1133">
        <v>7</v>
      </c>
      <c r="AH1133">
        <v>7</v>
      </c>
      <c r="AI1133" t="str">
        <f t="shared" si="68"/>
        <v>6-10 Years</v>
      </c>
      <c r="AJ1133" t="str">
        <f t="shared" si="69"/>
        <v>6+</v>
      </c>
    </row>
    <row r="1134" spans="1:36" x14ac:dyDescent="0.35">
      <c r="A1134">
        <v>1133</v>
      </c>
      <c r="B1134">
        <v>40</v>
      </c>
      <c r="C1134" t="str">
        <f t="shared" si="70"/>
        <v>36-45</v>
      </c>
      <c r="D1134" t="s">
        <v>38</v>
      </c>
      <c r="E1134" t="s">
        <v>32</v>
      </c>
      <c r="F1134" s="3">
        <v>1389</v>
      </c>
      <c r="G1134" t="s">
        <v>33</v>
      </c>
      <c r="H1134" s="1">
        <v>14</v>
      </c>
      <c r="I1134" t="s">
        <v>58</v>
      </c>
      <c r="J1134" t="s">
        <v>34</v>
      </c>
      <c r="K1134" t="s">
        <v>62</v>
      </c>
      <c r="L1134" t="s">
        <v>35</v>
      </c>
      <c r="M1134" s="3">
        <v>84</v>
      </c>
      <c r="N1134" t="s">
        <v>60</v>
      </c>
      <c r="O1134" t="s">
        <v>61</v>
      </c>
      <c r="P1134" t="s">
        <v>36</v>
      </c>
      <c r="Q1134" t="s">
        <v>59</v>
      </c>
      <c r="R1134" t="s">
        <v>43</v>
      </c>
      <c r="S1134" s="3">
        <v>4639</v>
      </c>
      <c r="T1134" s="3">
        <v>11262</v>
      </c>
      <c r="U1134" s="3" t="str">
        <f t="shared" si="71"/>
        <v>Low</v>
      </c>
      <c r="V1134">
        <v>1</v>
      </c>
      <c r="W1134" t="s">
        <v>38</v>
      </c>
      <c r="X1134" s="2">
        <v>15</v>
      </c>
      <c r="Y1134" t="s">
        <v>60</v>
      </c>
      <c r="Z1134" t="s">
        <v>60</v>
      </c>
      <c r="AA1134">
        <v>1</v>
      </c>
      <c r="AB1134">
        <v>5</v>
      </c>
      <c r="AC1134">
        <v>2</v>
      </c>
      <c r="AD1134">
        <v>3</v>
      </c>
      <c r="AE1134">
        <v>5</v>
      </c>
      <c r="AF1134">
        <v>4</v>
      </c>
      <c r="AG1134">
        <v>1</v>
      </c>
      <c r="AH1134">
        <v>2</v>
      </c>
      <c r="AI1134" t="str">
        <f t="shared" si="68"/>
        <v>3-5 Years</v>
      </c>
      <c r="AJ1134" t="str">
        <f t="shared" si="69"/>
        <v>0-2</v>
      </c>
    </row>
    <row r="1135" spans="1:36" x14ac:dyDescent="0.35">
      <c r="A1135">
        <v>1134</v>
      </c>
      <c r="B1135">
        <v>43</v>
      </c>
      <c r="C1135" t="str">
        <f t="shared" si="70"/>
        <v>36-45</v>
      </c>
      <c r="D1135" t="s">
        <v>38</v>
      </c>
      <c r="E1135" t="s">
        <v>32</v>
      </c>
      <c r="F1135" s="3">
        <v>1389</v>
      </c>
      <c r="G1135" t="s">
        <v>40</v>
      </c>
      <c r="H1135" s="1">
        <v>27</v>
      </c>
      <c r="I1135" t="s">
        <v>61</v>
      </c>
      <c r="J1135" t="s">
        <v>55</v>
      </c>
      <c r="K1135" t="s">
        <v>62</v>
      </c>
      <c r="L1135" t="s">
        <v>41</v>
      </c>
      <c r="M1135" s="3">
        <v>87</v>
      </c>
      <c r="N1135" t="s">
        <v>62</v>
      </c>
      <c r="O1135" t="s">
        <v>59</v>
      </c>
      <c r="P1135" t="s">
        <v>45</v>
      </c>
      <c r="Q1135" t="s">
        <v>61</v>
      </c>
      <c r="R1135" t="s">
        <v>47</v>
      </c>
      <c r="S1135" s="3">
        <v>4876</v>
      </c>
      <c r="T1135" s="3">
        <v>5855</v>
      </c>
      <c r="U1135" s="3" t="str">
        <f t="shared" si="71"/>
        <v>Low</v>
      </c>
      <c r="V1135">
        <v>5</v>
      </c>
      <c r="W1135" t="s">
        <v>38</v>
      </c>
      <c r="X1135" s="2">
        <v>12</v>
      </c>
      <c r="Y1135" t="s">
        <v>60</v>
      </c>
      <c r="Z1135" t="s">
        <v>60</v>
      </c>
      <c r="AA1135">
        <v>1</v>
      </c>
      <c r="AB1135">
        <v>8</v>
      </c>
      <c r="AC1135">
        <v>0</v>
      </c>
      <c r="AD1135">
        <v>3</v>
      </c>
      <c r="AE1135">
        <v>6</v>
      </c>
      <c r="AF1135">
        <v>4</v>
      </c>
      <c r="AG1135">
        <v>0</v>
      </c>
      <c r="AH1135">
        <v>2</v>
      </c>
      <c r="AI1135" t="str">
        <f t="shared" si="68"/>
        <v>6-10 Years</v>
      </c>
      <c r="AJ1135" t="str">
        <f t="shared" si="69"/>
        <v>0-2</v>
      </c>
    </row>
    <row r="1136" spans="1:36" x14ac:dyDescent="0.35">
      <c r="A1136">
        <v>1135</v>
      </c>
      <c r="B1136">
        <v>35</v>
      </c>
      <c r="C1136" t="str">
        <f t="shared" si="70"/>
        <v>26-35</v>
      </c>
      <c r="D1136" t="s">
        <v>38</v>
      </c>
      <c r="E1136" t="s">
        <v>32</v>
      </c>
      <c r="F1136" s="3">
        <v>1389</v>
      </c>
      <c r="G1136" t="s">
        <v>40</v>
      </c>
      <c r="H1136" s="1">
        <v>7</v>
      </c>
      <c r="I1136" t="s">
        <v>58</v>
      </c>
      <c r="J1136" t="s">
        <v>34</v>
      </c>
      <c r="K1136" t="s">
        <v>60</v>
      </c>
      <c r="L1136" t="s">
        <v>41</v>
      </c>
      <c r="M1136" s="3">
        <v>63</v>
      </c>
      <c r="N1136" t="s">
        <v>61</v>
      </c>
      <c r="O1136" t="s">
        <v>59</v>
      </c>
      <c r="P1136" t="s">
        <v>45</v>
      </c>
      <c r="Q1136" t="s">
        <v>62</v>
      </c>
      <c r="R1136" t="s">
        <v>43</v>
      </c>
      <c r="S1136" s="3">
        <v>2690</v>
      </c>
      <c r="T1136" s="3">
        <v>7713</v>
      </c>
      <c r="U1136" s="3" t="str">
        <f t="shared" si="71"/>
        <v>Low</v>
      </c>
      <c r="V1136">
        <v>1</v>
      </c>
      <c r="W1136" t="s">
        <v>38</v>
      </c>
      <c r="X1136" s="2">
        <v>18</v>
      </c>
      <c r="Y1136" t="s">
        <v>60</v>
      </c>
      <c r="Z1136" t="s">
        <v>62</v>
      </c>
      <c r="AA1136">
        <v>1</v>
      </c>
      <c r="AB1136">
        <v>1</v>
      </c>
      <c r="AC1136">
        <v>5</v>
      </c>
      <c r="AD1136">
        <v>2</v>
      </c>
      <c r="AE1136">
        <v>1</v>
      </c>
      <c r="AF1136">
        <v>0</v>
      </c>
      <c r="AG1136">
        <v>0</v>
      </c>
      <c r="AH1136">
        <v>1</v>
      </c>
      <c r="AI1136" t="str">
        <f t="shared" si="68"/>
        <v>0-2 Years</v>
      </c>
      <c r="AJ1136" t="str">
        <f t="shared" si="69"/>
        <v>0-2</v>
      </c>
    </row>
    <row r="1137" spans="1:36" x14ac:dyDescent="0.35">
      <c r="A1137">
        <v>1136</v>
      </c>
      <c r="B1137">
        <v>46</v>
      </c>
      <c r="C1137" t="str">
        <f t="shared" si="70"/>
        <v>46-55</v>
      </c>
      <c r="D1137" t="s">
        <v>38</v>
      </c>
      <c r="E1137" t="s">
        <v>32</v>
      </c>
      <c r="F1137" s="3">
        <v>1389</v>
      </c>
      <c r="G1137" t="s">
        <v>33</v>
      </c>
      <c r="H1137" s="1">
        <v>1</v>
      </c>
      <c r="I1137" t="s">
        <v>60</v>
      </c>
      <c r="J1137" t="s">
        <v>34</v>
      </c>
      <c r="K1137" t="s">
        <v>62</v>
      </c>
      <c r="L1137" t="s">
        <v>41</v>
      </c>
      <c r="M1137" s="3">
        <v>56</v>
      </c>
      <c r="N1137" t="s">
        <v>62</v>
      </c>
      <c r="O1137" t="s">
        <v>62</v>
      </c>
      <c r="P1137" t="s">
        <v>51</v>
      </c>
      <c r="Q1137" t="s">
        <v>59</v>
      </c>
      <c r="R1137" t="s">
        <v>37</v>
      </c>
      <c r="S1137" s="3">
        <v>17567</v>
      </c>
      <c r="T1137" s="3">
        <v>3156</v>
      </c>
      <c r="U1137" s="3" t="str">
        <f t="shared" si="71"/>
        <v>High</v>
      </c>
      <c r="V1137">
        <v>1</v>
      </c>
      <c r="W1137" t="s">
        <v>38</v>
      </c>
      <c r="X1137" s="2">
        <v>15</v>
      </c>
      <c r="Y1137" t="s">
        <v>60</v>
      </c>
      <c r="Z1137" t="s">
        <v>61</v>
      </c>
      <c r="AA1137">
        <v>0</v>
      </c>
      <c r="AB1137">
        <v>27</v>
      </c>
      <c r="AC1137">
        <v>5</v>
      </c>
      <c r="AD1137">
        <v>1</v>
      </c>
      <c r="AE1137">
        <v>26</v>
      </c>
      <c r="AF1137">
        <v>0</v>
      </c>
      <c r="AG1137">
        <v>0</v>
      </c>
      <c r="AH1137">
        <v>12</v>
      </c>
      <c r="AI1137" t="str">
        <f t="shared" si="68"/>
        <v>10+ Years</v>
      </c>
      <c r="AJ1137" t="str">
        <f t="shared" si="69"/>
        <v>0-2</v>
      </c>
    </row>
    <row r="1138" spans="1:36" x14ac:dyDescent="0.35">
      <c r="A1138">
        <v>1137</v>
      </c>
      <c r="B1138">
        <v>28</v>
      </c>
      <c r="C1138" t="str">
        <f t="shared" si="70"/>
        <v>26-35</v>
      </c>
      <c r="D1138" t="s">
        <v>31</v>
      </c>
      <c r="E1138" t="s">
        <v>32</v>
      </c>
      <c r="F1138" s="3">
        <v>1389</v>
      </c>
      <c r="G1138" t="s">
        <v>40</v>
      </c>
      <c r="H1138" s="1">
        <v>24</v>
      </c>
      <c r="I1138" t="s">
        <v>61</v>
      </c>
      <c r="J1138" t="s">
        <v>46</v>
      </c>
      <c r="K1138" t="s">
        <v>60</v>
      </c>
      <c r="L1138" t="s">
        <v>41</v>
      </c>
      <c r="M1138" s="3">
        <v>51</v>
      </c>
      <c r="N1138" t="s">
        <v>60</v>
      </c>
      <c r="O1138" t="s">
        <v>59</v>
      </c>
      <c r="P1138" t="s">
        <v>45</v>
      </c>
      <c r="Q1138" t="s">
        <v>61</v>
      </c>
      <c r="R1138" t="s">
        <v>43</v>
      </c>
      <c r="S1138" s="3">
        <v>2408</v>
      </c>
      <c r="T1138" s="3">
        <v>7324</v>
      </c>
      <c r="U1138" s="3" t="str">
        <f t="shared" si="71"/>
        <v>Low</v>
      </c>
      <c r="V1138">
        <v>1</v>
      </c>
      <c r="W1138" t="s">
        <v>31</v>
      </c>
      <c r="X1138" s="2">
        <v>17</v>
      </c>
      <c r="Y1138" t="s">
        <v>60</v>
      </c>
      <c r="Z1138" t="s">
        <v>60</v>
      </c>
      <c r="AA1138">
        <v>3</v>
      </c>
      <c r="AB1138">
        <v>1</v>
      </c>
      <c r="AC1138">
        <v>3</v>
      </c>
      <c r="AD1138">
        <v>3</v>
      </c>
      <c r="AE1138">
        <v>1</v>
      </c>
      <c r="AF1138">
        <v>1</v>
      </c>
      <c r="AG1138">
        <v>0</v>
      </c>
      <c r="AH1138">
        <v>0</v>
      </c>
      <c r="AI1138" t="str">
        <f t="shared" si="68"/>
        <v>0-2 Years</v>
      </c>
      <c r="AJ1138" t="str">
        <f t="shared" si="69"/>
        <v>0-2</v>
      </c>
    </row>
    <row r="1139" spans="1:36" x14ac:dyDescent="0.35">
      <c r="A1139">
        <v>1138</v>
      </c>
      <c r="B1139">
        <v>22</v>
      </c>
      <c r="C1139" t="str">
        <f t="shared" si="70"/>
        <v>18-25</v>
      </c>
      <c r="D1139" t="s">
        <v>38</v>
      </c>
      <c r="E1139" t="s">
        <v>50</v>
      </c>
      <c r="F1139" s="3">
        <v>1389</v>
      </c>
      <c r="G1139" t="s">
        <v>40</v>
      </c>
      <c r="H1139" s="1">
        <v>26</v>
      </c>
      <c r="I1139" t="s">
        <v>58</v>
      </c>
      <c r="J1139" t="s">
        <v>44</v>
      </c>
      <c r="K1139" t="s">
        <v>61</v>
      </c>
      <c r="L1139" t="s">
        <v>35</v>
      </c>
      <c r="M1139" s="3">
        <v>85</v>
      </c>
      <c r="N1139" t="s">
        <v>61</v>
      </c>
      <c r="O1139" t="s">
        <v>59</v>
      </c>
      <c r="P1139" t="s">
        <v>42</v>
      </c>
      <c r="Q1139" t="s">
        <v>60</v>
      </c>
      <c r="R1139" t="s">
        <v>43</v>
      </c>
      <c r="S1139" s="3">
        <v>2814</v>
      </c>
      <c r="T1139" s="3">
        <v>10293</v>
      </c>
      <c r="U1139" s="3" t="str">
        <f t="shared" si="71"/>
        <v>Low</v>
      </c>
      <c r="V1139">
        <v>1</v>
      </c>
      <c r="W1139" t="s">
        <v>31</v>
      </c>
      <c r="X1139" s="2">
        <v>14</v>
      </c>
      <c r="Y1139" t="s">
        <v>60</v>
      </c>
      <c r="Z1139" t="s">
        <v>61</v>
      </c>
      <c r="AA1139">
        <v>0</v>
      </c>
      <c r="AB1139">
        <v>4</v>
      </c>
      <c r="AC1139">
        <v>2</v>
      </c>
      <c r="AD1139">
        <v>2</v>
      </c>
      <c r="AE1139">
        <v>4</v>
      </c>
      <c r="AF1139">
        <v>2</v>
      </c>
      <c r="AG1139">
        <v>1</v>
      </c>
      <c r="AH1139">
        <v>3</v>
      </c>
      <c r="AI1139" t="str">
        <f t="shared" si="68"/>
        <v>3-5 Years</v>
      </c>
      <c r="AJ1139" t="str">
        <f t="shared" si="69"/>
        <v>0-2</v>
      </c>
    </row>
    <row r="1140" spans="1:36" x14ac:dyDescent="0.35">
      <c r="A1140">
        <v>1139</v>
      </c>
      <c r="B1140">
        <v>50</v>
      </c>
      <c r="C1140" t="str">
        <f t="shared" si="70"/>
        <v>46-55</v>
      </c>
      <c r="D1140" t="s">
        <v>38</v>
      </c>
      <c r="E1140" t="s">
        <v>39</v>
      </c>
      <c r="F1140" s="3">
        <v>1389</v>
      </c>
      <c r="G1140" t="s">
        <v>40</v>
      </c>
      <c r="H1140" s="1">
        <v>20</v>
      </c>
      <c r="I1140" t="s">
        <v>62</v>
      </c>
      <c r="J1140" t="s">
        <v>46</v>
      </c>
      <c r="K1140" t="s">
        <v>61</v>
      </c>
      <c r="L1140" t="s">
        <v>41</v>
      </c>
      <c r="M1140" s="3">
        <v>41</v>
      </c>
      <c r="N1140" t="s">
        <v>60</v>
      </c>
      <c r="O1140" t="s">
        <v>62</v>
      </c>
      <c r="P1140" t="s">
        <v>49</v>
      </c>
      <c r="Q1140" t="s">
        <v>60</v>
      </c>
      <c r="R1140" t="s">
        <v>43</v>
      </c>
      <c r="S1140" s="3">
        <v>11245</v>
      </c>
      <c r="T1140" s="3">
        <v>20689</v>
      </c>
      <c r="U1140" s="3" t="str">
        <f t="shared" si="71"/>
        <v>High</v>
      </c>
      <c r="V1140">
        <v>2</v>
      </c>
      <c r="W1140" t="s">
        <v>31</v>
      </c>
      <c r="X1140" s="2">
        <v>15</v>
      </c>
      <c r="Y1140" t="s">
        <v>60</v>
      </c>
      <c r="Z1140" t="s">
        <v>60</v>
      </c>
      <c r="AA1140">
        <v>1</v>
      </c>
      <c r="AB1140">
        <v>32</v>
      </c>
      <c r="AC1140">
        <v>3</v>
      </c>
      <c r="AD1140">
        <v>3</v>
      </c>
      <c r="AE1140">
        <v>30</v>
      </c>
      <c r="AF1140">
        <v>8</v>
      </c>
      <c r="AG1140">
        <v>12</v>
      </c>
      <c r="AH1140">
        <v>13</v>
      </c>
      <c r="AI1140" t="str">
        <f t="shared" si="68"/>
        <v>10+ Years</v>
      </c>
      <c r="AJ1140" t="str">
        <f t="shared" si="69"/>
        <v>6+</v>
      </c>
    </row>
    <row r="1141" spans="1:36" x14ac:dyDescent="0.35">
      <c r="A1141">
        <v>1140</v>
      </c>
      <c r="B1141">
        <v>32</v>
      </c>
      <c r="C1141" t="str">
        <f t="shared" si="70"/>
        <v>26-35</v>
      </c>
      <c r="D1141" t="s">
        <v>38</v>
      </c>
      <c r="E1141" t="s">
        <v>32</v>
      </c>
      <c r="F1141" s="3">
        <v>1389</v>
      </c>
      <c r="G1141" t="s">
        <v>40</v>
      </c>
      <c r="H1141" s="1">
        <v>5</v>
      </c>
      <c r="I1141" t="s">
        <v>60</v>
      </c>
      <c r="J1141" t="s">
        <v>44</v>
      </c>
      <c r="K1141" t="s">
        <v>61</v>
      </c>
      <c r="L1141" t="s">
        <v>35</v>
      </c>
      <c r="M1141" s="3">
        <v>35</v>
      </c>
      <c r="N1141" t="s">
        <v>62</v>
      </c>
      <c r="O1141" t="s">
        <v>59</v>
      </c>
      <c r="P1141" t="s">
        <v>42</v>
      </c>
      <c r="Q1141" t="s">
        <v>62</v>
      </c>
      <c r="R1141" t="s">
        <v>43</v>
      </c>
      <c r="S1141" s="3">
        <v>3312</v>
      </c>
      <c r="T1141" s="3">
        <v>18783</v>
      </c>
      <c r="U1141" s="3" t="str">
        <f t="shared" si="71"/>
        <v>Low</v>
      </c>
      <c r="V1141">
        <v>3</v>
      </c>
      <c r="W1141" t="s">
        <v>38</v>
      </c>
      <c r="X1141" s="2">
        <v>17</v>
      </c>
      <c r="Y1141" t="s">
        <v>60</v>
      </c>
      <c r="Z1141" t="s">
        <v>62</v>
      </c>
      <c r="AA1141">
        <v>2</v>
      </c>
      <c r="AB1141">
        <v>6</v>
      </c>
      <c r="AC1141">
        <v>3</v>
      </c>
      <c r="AD1141">
        <v>3</v>
      </c>
      <c r="AE1141">
        <v>3</v>
      </c>
      <c r="AF1141">
        <v>2</v>
      </c>
      <c r="AG1141">
        <v>0</v>
      </c>
      <c r="AH1141">
        <v>2</v>
      </c>
      <c r="AI1141" t="str">
        <f t="shared" si="68"/>
        <v>3-5 Years</v>
      </c>
      <c r="AJ1141" t="str">
        <f t="shared" si="69"/>
        <v>0-2</v>
      </c>
    </row>
    <row r="1142" spans="1:36" x14ac:dyDescent="0.35">
      <c r="A1142">
        <v>1141</v>
      </c>
      <c r="B1142">
        <v>44</v>
      </c>
      <c r="C1142" t="str">
        <f t="shared" si="70"/>
        <v>36-45</v>
      </c>
      <c r="D1142" t="s">
        <v>38</v>
      </c>
      <c r="E1142" t="s">
        <v>32</v>
      </c>
      <c r="F1142" s="3">
        <v>1389</v>
      </c>
      <c r="G1142" t="s">
        <v>40</v>
      </c>
      <c r="H1142" s="1">
        <v>7</v>
      </c>
      <c r="I1142" t="s">
        <v>61</v>
      </c>
      <c r="J1142" t="s">
        <v>46</v>
      </c>
      <c r="K1142" t="s">
        <v>61</v>
      </c>
      <c r="L1142" t="s">
        <v>35</v>
      </c>
      <c r="M1142" s="3">
        <v>31</v>
      </c>
      <c r="N1142" t="s">
        <v>60</v>
      </c>
      <c r="O1142" t="e">
        <v>#N/A</v>
      </c>
      <c r="P1142" t="s">
        <v>53</v>
      </c>
      <c r="Q1142" t="s">
        <v>62</v>
      </c>
      <c r="R1142" t="s">
        <v>47</v>
      </c>
      <c r="S1142" s="3">
        <v>19049</v>
      </c>
      <c r="T1142" s="3">
        <v>3549</v>
      </c>
      <c r="U1142" s="3" t="str">
        <f t="shared" si="71"/>
        <v>High</v>
      </c>
      <c r="V1142">
        <v>0</v>
      </c>
      <c r="W1142" t="s">
        <v>31</v>
      </c>
      <c r="X1142" s="2">
        <v>14</v>
      </c>
      <c r="Y1142" t="s">
        <v>60</v>
      </c>
      <c r="Z1142" t="s">
        <v>62</v>
      </c>
      <c r="AA1142">
        <v>1</v>
      </c>
      <c r="AB1142">
        <v>23</v>
      </c>
      <c r="AC1142">
        <v>4</v>
      </c>
      <c r="AD1142">
        <v>2</v>
      </c>
      <c r="AE1142">
        <v>22</v>
      </c>
      <c r="AF1142">
        <v>7</v>
      </c>
      <c r="AG1142">
        <v>1</v>
      </c>
      <c r="AH1142">
        <v>10</v>
      </c>
      <c r="AI1142" t="str">
        <f t="shared" si="68"/>
        <v>10+ Years</v>
      </c>
      <c r="AJ1142" t="str">
        <f t="shared" si="69"/>
        <v>0-2</v>
      </c>
    </row>
    <row r="1143" spans="1:36" x14ac:dyDescent="0.35">
      <c r="A1143">
        <v>1142</v>
      </c>
      <c r="B1143">
        <v>30</v>
      </c>
      <c r="C1143" t="str">
        <f t="shared" si="70"/>
        <v>26-35</v>
      </c>
      <c r="D1143" t="s">
        <v>38</v>
      </c>
      <c r="E1143" t="s">
        <v>32</v>
      </c>
      <c r="F1143" s="3">
        <v>1389</v>
      </c>
      <c r="G1143" t="s">
        <v>40</v>
      </c>
      <c r="H1143" s="1">
        <v>7</v>
      </c>
      <c r="I1143" t="s">
        <v>61</v>
      </c>
      <c r="J1143" t="s">
        <v>46</v>
      </c>
      <c r="K1143" t="s">
        <v>61</v>
      </c>
      <c r="L1143" t="s">
        <v>41</v>
      </c>
      <c r="M1143" s="3">
        <v>48</v>
      </c>
      <c r="N1143" t="s">
        <v>61</v>
      </c>
      <c r="O1143" t="s">
        <v>59</v>
      </c>
      <c r="P1143" t="s">
        <v>42</v>
      </c>
      <c r="Q1143" t="s">
        <v>61</v>
      </c>
      <c r="R1143" t="s">
        <v>43</v>
      </c>
      <c r="S1143" s="3">
        <v>2141</v>
      </c>
      <c r="T1143" s="3">
        <v>5348</v>
      </c>
      <c r="U1143" s="3" t="str">
        <f t="shared" si="71"/>
        <v>Low</v>
      </c>
      <c r="V1143">
        <v>1</v>
      </c>
      <c r="W1143" t="s">
        <v>38</v>
      </c>
      <c r="X1143" s="2">
        <v>12</v>
      </c>
      <c r="Y1143" t="s">
        <v>60</v>
      </c>
      <c r="Z1143" t="s">
        <v>61</v>
      </c>
      <c r="AA1143">
        <v>1</v>
      </c>
      <c r="AB1143">
        <v>6</v>
      </c>
      <c r="AC1143">
        <v>3</v>
      </c>
      <c r="AD1143">
        <v>2</v>
      </c>
      <c r="AE1143">
        <v>6</v>
      </c>
      <c r="AF1143">
        <v>4</v>
      </c>
      <c r="AG1143">
        <v>1</v>
      </c>
      <c r="AH1143">
        <v>1</v>
      </c>
      <c r="AI1143" t="str">
        <f t="shared" si="68"/>
        <v>6-10 Years</v>
      </c>
      <c r="AJ1143" t="str">
        <f t="shared" si="69"/>
        <v>0-2</v>
      </c>
    </row>
    <row r="1144" spans="1:36" x14ac:dyDescent="0.35">
      <c r="A1144">
        <v>1143</v>
      </c>
      <c r="B1144">
        <v>45</v>
      </c>
      <c r="C1144" t="str">
        <f t="shared" si="70"/>
        <v>36-45</v>
      </c>
      <c r="D1144" t="s">
        <v>38</v>
      </c>
      <c r="E1144" t="s">
        <v>32</v>
      </c>
      <c r="F1144" s="3">
        <v>1389</v>
      </c>
      <c r="G1144" t="s">
        <v>40</v>
      </c>
      <c r="H1144" s="1">
        <v>5</v>
      </c>
      <c r="I1144" t="s">
        <v>62</v>
      </c>
      <c r="J1144" t="s">
        <v>46</v>
      </c>
      <c r="K1144" t="s">
        <v>60</v>
      </c>
      <c r="L1144" t="s">
        <v>35</v>
      </c>
      <c r="M1144" s="3">
        <v>50</v>
      </c>
      <c r="N1144" t="s">
        <v>59</v>
      </c>
      <c r="O1144" t="s">
        <v>61</v>
      </c>
      <c r="P1144" t="s">
        <v>45</v>
      </c>
      <c r="Q1144" t="s">
        <v>59</v>
      </c>
      <c r="R1144" t="s">
        <v>37</v>
      </c>
      <c r="S1144" s="3">
        <v>5769</v>
      </c>
      <c r="T1144" s="3">
        <v>23447</v>
      </c>
      <c r="U1144" s="3" t="str">
        <f t="shared" si="71"/>
        <v>Medium</v>
      </c>
      <c r="V1144">
        <v>1</v>
      </c>
      <c r="W1144" t="s">
        <v>31</v>
      </c>
      <c r="X1144" s="2">
        <v>14</v>
      </c>
      <c r="Y1144" t="s">
        <v>60</v>
      </c>
      <c r="Z1144" t="s">
        <v>59</v>
      </c>
      <c r="AA1144">
        <v>0</v>
      </c>
      <c r="AB1144">
        <v>10</v>
      </c>
      <c r="AC1144">
        <v>3</v>
      </c>
      <c r="AD1144">
        <v>3</v>
      </c>
      <c r="AE1144">
        <v>10</v>
      </c>
      <c r="AF1144">
        <v>7</v>
      </c>
      <c r="AG1144">
        <v>1</v>
      </c>
      <c r="AH1144">
        <v>4</v>
      </c>
      <c r="AI1144" t="str">
        <f t="shared" si="68"/>
        <v>6-10 Years</v>
      </c>
      <c r="AJ1144" t="str">
        <f t="shared" si="69"/>
        <v>0-2</v>
      </c>
    </row>
    <row r="1145" spans="1:36" x14ac:dyDescent="0.35">
      <c r="A1145">
        <v>1144</v>
      </c>
      <c r="B1145">
        <v>45</v>
      </c>
      <c r="C1145" t="str">
        <f t="shared" si="70"/>
        <v>36-45</v>
      </c>
      <c r="D1145" t="s">
        <v>38</v>
      </c>
      <c r="E1145" t="s">
        <v>50</v>
      </c>
      <c r="F1145" s="3">
        <v>1389</v>
      </c>
      <c r="G1145" t="s">
        <v>33</v>
      </c>
      <c r="H1145" s="1">
        <v>26</v>
      </c>
      <c r="I1145" t="s">
        <v>61</v>
      </c>
      <c r="J1145" t="s">
        <v>54</v>
      </c>
      <c r="K1145" t="s">
        <v>59</v>
      </c>
      <c r="L1145" t="s">
        <v>41</v>
      </c>
      <c r="M1145" s="3">
        <v>52</v>
      </c>
      <c r="N1145" t="s">
        <v>61</v>
      </c>
      <c r="O1145" t="s">
        <v>61</v>
      </c>
      <c r="P1145" t="s">
        <v>36</v>
      </c>
      <c r="Q1145" t="s">
        <v>59</v>
      </c>
      <c r="R1145" t="s">
        <v>43</v>
      </c>
      <c r="S1145" s="3">
        <v>4385</v>
      </c>
      <c r="T1145" s="3">
        <v>24162</v>
      </c>
      <c r="U1145" s="3" t="str">
        <f t="shared" si="71"/>
        <v>Low</v>
      </c>
      <c r="V1145">
        <v>1</v>
      </c>
      <c r="W1145" t="s">
        <v>38</v>
      </c>
      <c r="X1145" s="2">
        <v>15</v>
      </c>
      <c r="Y1145" t="s">
        <v>60</v>
      </c>
      <c r="Z1145" t="s">
        <v>59</v>
      </c>
      <c r="AA1145">
        <v>1</v>
      </c>
      <c r="AB1145">
        <v>10</v>
      </c>
      <c r="AC1145">
        <v>2</v>
      </c>
      <c r="AD1145">
        <v>3</v>
      </c>
      <c r="AE1145">
        <v>10</v>
      </c>
      <c r="AF1145">
        <v>7</v>
      </c>
      <c r="AG1145">
        <v>4</v>
      </c>
      <c r="AH1145">
        <v>5</v>
      </c>
      <c r="AI1145" t="str">
        <f t="shared" si="68"/>
        <v>6-10 Years</v>
      </c>
      <c r="AJ1145" t="str">
        <f t="shared" si="69"/>
        <v>3-5</v>
      </c>
    </row>
    <row r="1146" spans="1:36" x14ac:dyDescent="0.35">
      <c r="A1146">
        <v>1145</v>
      </c>
      <c r="B1146">
        <v>31</v>
      </c>
      <c r="C1146" t="str">
        <f t="shared" si="70"/>
        <v>26-35</v>
      </c>
      <c r="D1146" t="s">
        <v>38</v>
      </c>
      <c r="E1146" t="s">
        <v>39</v>
      </c>
      <c r="F1146" s="3">
        <v>1389</v>
      </c>
      <c r="G1146" t="s">
        <v>33</v>
      </c>
      <c r="H1146" s="1">
        <v>2</v>
      </c>
      <c r="I1146" t="s">
        <v>60</v>
      </c>
      <c r="J1146" t="s">
        <v>44</v>
      </c>
      <c r="K1146" t="s">
        <v>62</v>
      </c>
      <c r="L1146" t="s">
        <v>41</v>
      </c>
      <c r="M1146" s="3">
        <v>54</v>
      </c>
      <c r="N1146" t="s">
        <v>60</v>
      </c>
      <c r="O1146" t="s">
        <v>61</v>
      </c>
      <c r="P1146" t="s">
        <v>36</v>
      </c>
      <c r="Q1146" t="s">
        <v>59</v>
      </c>
      <c r="R1146" t="s">
        <v>37</v>
      </c>
      <c r="S1146" s="3">
        <v>5332</v>
      </c>
      <c r="T1146" s="3">
        <v>21602</v>
      </c>
      <c r="U1146" s="3" t="str">
        <f t="shared" si="71"/>
        <v>Medium</v>
      </c>
      <c r="V1146">
        <v>7</v>
      </c>
      <c r="W1146" t="s">
        <v>38</v>
      </c>
      <c r="X1146" s="2">
        <v>13</v>
      </c>
      <c r="Y1146" t="s">
        <v>60</v>
      </c>
      <c r="Z1146" t="s">
        <v>62</v>
      </c>
      <c r="AA1146">
        <v>0</v>
      </c>
      <c r="AB1146">
        <v>10</v>
      </c>
      <c r="AC1146">
        <v>3</v>
      </c>
      <c r="AD1146">
        <v>3</v>
      </c>
      <c r="AE1146">
        <v>5</v>
      </c>
      <c r="AF1146">
        <v>2</v>
      </c>
      <c r="AG1146">
        <v>0</v>
      </c>
      <c r="AH1146">
        <v>3</v>
      </c>
      <c r="AI1146" t="str">
        <f t="shared" si="68"/>
        <v>3-5 Years</v>
      </c>
      <c r="AJ1146" t="str">
        <f t="shared" si="69"/>
        <v>0-2</v>
      </c>
    </row>
    <row r="1147" spans="1:36" x14ac:dyDescent="0.35">
      <c r="A1147">
        <v>1146</v>
      </c>
      <c r="B1147">
        <v>36</v>
      </c>
      <c r="C1147" t="str">
        <f t="shared" si="70"/>
        <v>36-45</v>
      </c>
      <c r="D1147" t="s">
        <v>38</v>
      </c>
      <c r="E1147" t="s">
        <v>32</v>
      </c>
      <c r="F1147" s="3">
        <v>1389</v>
      </c>
      <c r="G1147" t="s">
        <v>40</v>
      </c>
      <c r="H1147" s="1">
        <v>12</v>
      </c>
      <c r="I1147" t="s">
        <v>60</v>
      </c>
      <c r="J1147" t="s">
        <v>34</v>
      </c>
      <c r="K1147" t="s">
        <v>60</v>
      </c>
      <c r="L1147" t="s">
        <v>35</v>
      </c>
      <c r="M1147" s="3">
        <v>76</v>
      </c>
      <c r="N1147" t="s">
        <v>60</v>
      </c>
      <c r="O1147" t="s">
        <v>61</v>
      </c>
      <c r="P1147" t="s">
        <v>48</v>
      </c>
      <c r="Q1147" t="s">
        <v>60</v>
      </c>
      <c r="R1147" t="s">
        <v>43</v>
      </c>
      <c r="S1147" s="3">
        <v>4663</v>
      </c>
      <c r="T1147" s="3">
        <v>12421</v>
      </c>
      <c r="U1147" s="3" t="str">
        <f t="shared" si="71"/>
        <v>Low</v>
      </c>
      <c r="V1147">
        <v>9</v>
      </c>
      <c r="W1147" t="s">
        <v>31</v>
      </c>
      <c r="X1147" s="2">
        <v>12</v>
      </c>
      <c r="Y1147" t="s">
        <v>60</v>
      </c>
      <c r="Z1147" t="s">
        <v>61</v>
      </c>
      <c r="AA1147">
        <v>2</v>
      </c>
      <c r="AB1147">
        <v>7</v>
      </c>
      <c r="AC1147">
        <v>2</v>
      </c>
      <c r="AD1147">
        <v>3</v>
      </c>
      <c r="AE1147">
        <v>3</v>
      </c>
      <c r="AF1147">
        <v>2</v>
      </c>
      <c r="AG1147">
        <v>1</v>
      </c>
      <c r="AH1147">
        <v>1</v>
      </c>
      <c r="AI1147" t="str">
        <f t="shared" si="68"/>
        <v>3-5 Years</v>
      </c>
      <c r="AJ1147" t="str">
        <f t="shared" si="69"/>
        <v>0-2</v>
      </c>
    </row>
    <row r="1148" spans="1:36" x14ac:dyDescent="0.35">
      <c r="A1148">
        <v>1147</v>
      </c>
      <c r="B1148">
        <v>34</v>
      </c>
      <c r="C1148" t="str">
        <f t="shared" si="70"/>
        <v>26-35</v>
      </c>
      <c r="D1148" t="s">
        <v>38</v>
      </c>
      <c r="E1148" t="s">
        <v>39</v>
      </c>
      <c r="F1148" s="3">
        <v>1389</v>
      </c>
      <c r="G1148" t="s">
        <v>40</v>
      </c>
      <c r="H1148" s="1">
        <v>10</v>
      </c>
      <c r="I1148" t="s">
        <v>60</v>
      </c>
      <c r="J1148" t="s">
        <v>34</v>
      </c>
      <c r="K1148" t="s">
        <v>60</v>
      </c>
      <c r="L1148" t="s">
        <v>41</v>
      </c>
      <c r="M1148" s="3">
        <v>42</v>
      </c>
      <c r="N1148" t="s">
        <v>62</v>
      </c>
      <c r="O1148" t="s">
        <v>61</v>
      </c>
      <c r="P1148" t="s">
        <v>48</v>
      </c>
      <c r="Q1148" t="s">
        <v>62</v>
      </c>
      <c r="R1148" t="s">
        <v>47</v>
      </c>
      <c r="S1148" s="3">
        <v>4724</v>
      </c>
      <c r="T1148" s="3">
        <v>17000</v>
      </c>
      <c r="U1148" s="3" t="str">
        <f t="shared" si="71"/>
        <v>Low</v>
      </c>
      <c r="V1148">
        <v>1</v>
      </c>
      <c r="W1148" t="s">
        <v>38</v>
      </c>
      <c r="X1148" s="2">
        <v>13</v>
      </c>
      <c r="Y1148" t="s">
        <v>60</v>
      </c>
      <c r="Z1148" t="s">
        <v>59</v>
      </c>
      <c r="AA1148">
        <v>1</v>
      </c>
      <c r="AB1148">
        <v>9</v>
      </c>
      <c r="AC1148">
        <v>3</v>
      </c>
      <c r="AD1148">
        <v>3</v>
      </c>
      <c r="AE1148">
        <v>9</v>
      </c>
      <c r="AF1148">
        <v>7</v>
      </c>
      <c r="AG1148">
        <v>7</v>
      </c>
      <c r="AH1148">
        <v>2</v>
      </c>
      <c r="AI1148" t="str">
        <f t="shared" si="68"/>
        <v>6-10 Years</v>
      </c>
      <c r="AJ1148" t="str">
        <f t="shared" si="69"/>
        <v>6+</v>
      </c>
    </row>
    <row r="1149" spans="1:36" x14ac:dyDescent="0.35">
      <c r="A1149">
        <v>1148</v>
      </c>
      <c r="B1149">
        <v>49</v>
      </c>
      <c r="C1149" t="str">
        <f t="shared" si="70"/>
        <v>46-55</v>
      </c>
      <c r="D1149" t="s">
        <v>38</v>
      </c>
      <c r="E1149" t="s">
        <v>32</v>
      </c>
      <c r="F1149" s="3">
        <v>1389</v>
      </c>
      <c r="G1149" t="s">
        <v>40</v>
      </c>
      <c r="H1149" s="1">
        <v>25</v>
      </c>
      <c r="I1149" t="s">
        <v>60</v>
      </c>
      <c r="J1149" t="s">
        <v>34</v>
      </c>
      <c r="K1149" t="s">
        <v>60</v>
      </c>
      <c r="L1149" t="s">
        <v>35</v>
      </c>
      <c r="M1149" s="3">
        <v>84</v>
      </c>
      <c r="N1149" t="s">
        <v>60</v>
      </c>
      <c r="O1149" t="s">
        <v>59</v>
      </c>
      <c r="P1149" t="s">
        <v>45</v>
      </c>
      <c r="Q1149" t="s">
        <v>59</v>
      </c>
      <c r="R1149" t="s">
        <v>43</v>
      </c>
      <c r="S1149" s="3">
        <v>3211</v>
      </c>
      <c r="T1149" s="3">
        <v>22102</v>
      </c>
      <c r="U1149" s="3" t="str">
        <f t="shared" si="71"/>
        <v>Low</v>
      </c>
      <c r="V1149">
        <v>1</v>
      </c>
      <c r="W1149" t="s">
        <v>38</v>
      </c>
      <c r="X1149" s="2">
        <v>14</v>
      </c>
      <c r="Y1149" t="s">
        <v>60</v>
      </c>
      <c r="Z1149" t="s">
        <v>62</v>
      </c>
      <c r="AA1149">
        <v>1</v>
      </c>
      <c r="AB1149">
        <v>10</v>
      </c>
      <c r="AC1149">
        <v>3</v>
      </c>
      <c r="AD1149">
        <v>2</v>
      </c>
      <c r="AE1149">
        <v>9</v>
      </c>
      <c r="AF1149">
        <v>6</v>
      </c>
      <c r="AG1149">
        <v>1</v>
      </c>
      <c r="AH1149">
        <v>4</v>
      </c>
      <c r="AI1149" t="str">
        <f t="shared" si="68"/>
        <v>6-10 Years</v>
      </c>
      <c r="AJ1149" t="str">
        <f t="shared" si="69"/>
        <v>0-2</v>
      </c>
    </row>
    <row r="1150" spans="1:36" x14ac:dyDescent="0.35">
      <c r="A1150">
        <v>1149</v>
      </c>
      <c r="B1150">
        <v>39</v>
      </c>
      <c r="C1150" t="str">
        <f t="shared" si="70"/>
        <v>36-45</v>
      </c>
      <c r="D1150" t="s">
        <v>38</v>
      </c>
      <c r="E1150" t="s">
        <v>32</v>
      </c>
      <c r="F1150" s="3">
        <v>1389</v>
      </c>
      <c r="G1150" t="s">
        <v>40</v>
      </c>
      <c r="H1150" s="1">
        <v>10</v>
      </c>
      <c r="I1150" t="s">
        <v>62</v>
      </c>
      <c r="J1150" t="s">
        <v>46</v>
      </c>
      <c r="K1150" t="s">
        <v>61</v>
      </c>
      <c r="L1150" t="s">
        <v>41</v>
      </c>
      <c r="M1150" s="3">
        <v>76</v>
      </c>
      <c r="N1150" t="s">
        <v>60</v>
      </c>
      <c r="O1150" t="s">
        <v>61</v>
      </c>
      <c r="P1150" t="s">
        <v>48</v>
      </c>
      <c r="Q1150" t="s">
        <v>59</v>
      </c>
      <c r="R1150" t="s">
        <v>43</v>
      </c>
      <c r="S1150" s="3">
        <v>5377</v>
      </c>
      <c r="T1150" s="3">
        <v>3835</v>
      </c>
      <c r="U1150" s="3" t="str">
        <f t="shared" si="71"/>
        <v>Medium</v>
      </c>
      <c r="V1150">
        <v>2</v>
      </c>
      <c r="W1150" t="s">
        <v>38</v>
      </c>
      <c r="X1150" s="2">
        <v>13</v>
      </c>
      <c r="Y1150" t="s">
        <v>60</v>
      </c>
      <c r="Z1150" t="s">
        <v>62</v>
      </c>
      <c r="AA1150">
        <v>3</v>
      </c>
      <c r="AB1150">
        <v>10</v>
      </c>
      <c r="AC1150">
        <v>3</v>
      </c>
      <c r="AD1150">
        <v>3</v>
      </c>
      <c r="AE1150">
        <v>7</v>
      </c>
      <c r="AF1150">
        <v>7</v>
      </c>
      <c r="AG1150">
        <v>7</v>
      </c>
      <c r="AH1150">
        <v>7</v>
      </c>
      <c r="AI1150" t="str">
        <f t="shared" si="68"/>
        <v>6-10 Years</v>
      </c>
      <c r="AJ1150" t="str">
        <f t="shared" si="69"/>
        <v>6+</v>
      </c>
    </row>
    <row r="1151" spans="1:36" x14ac:dyDescent="0.35">
      <c r="A1151">
        <v>1150</v>
      </c>
      <c r="B1151">
        <v>27</v>
      </c>
      <c r="C1151" t="str">
        <f t="shared" si="70"/>
        <v>26-35</v>
      </c>
      <c r="D1151" t="s">
        <v>38</v>
      </c>
      <c r="E1151" t="s">
        <v>32</v>
      </c>
      <c r="F1151" s="3">
        <v>1389</v>
      </c>
      <c r="G1151" t="s">
        <v>40</v>
      </c>
      <c r="H1151" s="1">
        <v>19</v>
      </c>
      <c r="I1151" t="s">
        <v>61</v>
      </c>
      <c r="J1151" t="s">
        <v>44</v>
      </c>
      <c r="K1151" t="s">
        <v>62</v>
      </c>
      <c r="L1151" t="s">
        <v>41</v>
      </c>
      <c r="M1151" s="3">
        <v>67</v>
      </c>
      <c r="N1151" t="s">
        <v>61</v>
      </c>
      <c r="O1151" t="s">
        <v>59</v>
      </c>
      <c r="P1151" t="s">
        <v>45</v>
      </c>
      <c r="Q1151" t="s">
        <v>59</v>
      </c>
      <c r="R1151" t="s">
        <v>47</v>
      </c>
      <c r="S1151" s="3">
        <v>4066</v>
      </c>
      <c r="T1151" s="3">
        <v>16290</v>
      </c>
      <c r="U1151" s="3" t="str">
        <f t="shared" si="71"/>
        <v>Low</v>
      </c>
      <c r="V1151">
        <v>1</v>
      </c>
      <c r="W1151" t="s">
        <v>38</v>
      </c>
      <c r="X1151" s="2">
        <v>11</v>
      </c>
      <c r="Y1151" t="s">
        <v>60</v>
      </c>
      <c r="Z1151" t="s">
        <v>59</v>
      </c>
      <c r="AA1151">
        <v>2</v>
      </c>
      <c r="AB1151">
        <v>7</v>
      </c>
      <c r="AC1151">
        <v>3</v>
      </c>
      <c r="AD1151">
        <v>3</v>
      </c>
      <c r="AE1151">
        <v>7</v>
      </c>
      <c r="AF1151">
        <v>7</v>
      </c>
      <c r="AG1151">
        <v>0</v>
      </c>
      <c r="AH1151">
        <v>7</v>
      </c>
      <c r="AI1151" t="str">
        <f t="shared" si="68"/>
        <v>6-10 Years</v>
      </c>
      <c r="AJ1151" t="str">
        <f t="shared" si="69"/>
        <v>0-2</v>
      </c>
    </row>
    <row r="1152" spans="1:36" x14ac:dyDescent="0.35">
      <c r="A1152">
        <v>1151</v>
      </c>
      <c r="B1152">
        <v>35</v>
      </c>
      <c r="C1152" t="str">
        <f t="shared" si="70"/>
        <v>26-35</v>
      </c>
      <c r="D1152" t="s">
        <v>38</v>
      </c>
      <c r="E1152" t="s">
        <v>32</v>
      </c>
      <c r="F1152" s="3">
        <v>1389</v>
      </c>
      <c r="G1152" t="s">
        <v>40</v>
      </c>
      <c r="H1152" s="1">
        <v>18</v>
      </c>
      <c r="I1152" t="s">
        <v>62</v>
      </c>
      <c r="J1152" t="s">
        <v>34</v>
      </c>
      <c r="K1152" t="s">
        <v>61</v>
      </c>
      <c r="L1152" t="s">
        <v>41</v>
      </c>
      <c r="M1152" s="3">
        <v>48</v>
      </c>
      <c r="N1152" t="s">
        <v>62</v>
      </c>
      <c r="O1152" t="s">
        <v>61</v>
      </c>
      <c r="P1152" t="s">
        <v>42</v>
      </c>
      <c r="Q1152" t="s">
        <v>59</v>
      </c>
      <c r="R1152" t="s">
        <v>43</v>
      </c>
      <c r="S1152" s="3">
        <v>5208</v>
      </c>
      <c r="T1152" s="3">
        <v>26312</v>
      </c>
      <c r="U1152" s="3" t="str">
        <f t="shared" si="71"/>
        <v>Medium</v>
      </c>
      <c r="V1152">
        <v>1</v>
      </c>
      <c r="W1152" t="s">
        <v>38</v>
      </c>
      <c r="X1152" s="2">
        <v>11</v>
      </c>
      <c r="Y1152" t="s">
        <v>60</v>
      </c>
      <c r="Z1152" t="s">
        <v>62</v>
      </c>
      <c r="AA1152">
        <v>0</v>
      </c>
      <c r="AB1152">
        <v>16</v>
      </c>
      <c r="AC1152">
        <v>2</v>
      </c>
      <c r="AD1152">
        <v>3</v>
      </c>
      <c r="AE1152">
        <v>16</v>
      </c>
      <c r="AF1152">
        <v>15</v>
      </c>
      <c r="AG1152">
        <v>1</v>
      </c>
      <c r="AH1152">
        <v>10</v>
      </c>
      <c r="AI1152" t="str">
        <f t="shared" si="68"/>
        <v>10+ Years</v>
      </c>
      <c r="AJ1152" t="str">
        <f t="shared" si="69"/>
        <v>0-2</v>
      </c>
    </row>
    <row r="1153" spans="1:36" x14ac:dyDescent="0.35">
      <c r="A1153">
        <v>1152</v>
      </c>
      <c r="B1153">
        <v>28</v>
      </c>
      <c r="C1153" t="str">
        <f t="shared" si="70"/>
        <v>26-35</v>
      </c>
      <c r="D1153" t="s">
        <v>38</v>
      </c>
      <c r="E1153" t="s">
        <v>32</v>
      </c>
      <c r="F1153" s="3">
        <v>1389</v>
      </c>
      <c r="G1153" t="s">
        <v>40</v>
      </c>
      <c r="H1153" s="1">
        <v>27</v>
      </c>
      <c r="I1153" t="s">
        <v>61</v>
      </c>
      <c r="J1153" t="s">
        <v>46</v>
      </c>
      <c r="K1153" t="s">
        <v>61</v>
      </c>
      <c r="L1153" t="s">
        <v>35</v>
      </c>
      <c r="M1153" s="3">
        <v>39</v>
      </c>
      <c r="N1153" t="s">
        <v>59</v>
      </c>
      <c r="O1153" t="s">
        <v>61</v>
      </c>
      <c r="P1153" t="s">
        <v>48</v>
      </c>
      <c r="Q1153" t="s">
        <v>59</v>
      </c>
      <c r="R1153" t="s">
        <v>47</v>
      </c>
      <c r="S1153" s="3">
        <v>4877</v>
      </c>
      <c r="T1153" s="3">
        <v>20460</v>
      </c>
      <c r="U1153" s="3" t="str">
        <f t="shared" si="71"/>
        <v>Low</v>
      </c>
      <c r="V1153">
        <v>0</v>
      </c>
      <c r="W1153" t="s">
        <v>38</v>
      </c>
      <c r="X1153" s="2">
        <v>21</v>
      </c>
      <c r="Y1153" t="s">
        <v>62</v>
      </c>
      <c r="Z1153" t="s">
        <v>61</v>
      </c>
      <c r="AA1153">
        <v>1</v>
      </c>
      <c r="AB1153">
        <v>6</v>
      </c>
      <c r="AC1153">
        <v>5</v>
      </c>
      <c r="AD1153">
        <v>2</v>
      </c>
      <c r="AE1153">
        <v>5</v>
      </c>
      <c r="AF1153">
        <v>3</v>
      </c>
      <c r="AG1153">
        <v>0</v>
      </c>
      <c r="AH1153">
        <v>0</v>
      </c>
      <c r="AI1153" t="str">
        <f t="shared" si="68"/>
        <v>3-5 Years</v>
      </c>
      <c r="AJ1153" t="str">
        <f t="shared" si="69"/>
        <v>0-2</v>
      </c>
    </row>
    <row r="1154" spans="1:36" x14ac:dyDescent="0.35">
      <c r="A1154">
        <v>1153</v>
      </c>
      <c r="B1154">
        <v>21</v>
      </c>
      <c r="C1154" t="str">
        <f t="shared" si="70"/>
        <v>18-25</v>
      </c>
      <c r="D1154" t="s">
        <v>38</v>
      </c>
      <c r="E1154" t="s">
        <v>32</v>
      </c>
      <c r="F1154" s="3">
        <v>1389</v>
      </c>
      <c r="G1154" t="s">
        <v>40</v>
      </c>
      <c r="H1154" s="1">
        <v>5</v>
      </c>
      <c r="I1154" t="s">
        <v>59</v>
      </c>
      <c r="J1154" t="s">
        <v>46</v>
      </c>
      <c r="K1154" t="s">
        <v>60</v>
      </c>
      <c r="L1154" t="s">
        <v>41</v>
      </c>
      <c r="M1154" s="3">
        <v>97</v>
      </c>
      <c r="N1154" t="s">
        <v>60</v>
      </c>
      <c r="O1154" t="s">
        <v>59</v>
      </c>
      <c r="P1154" t="s">
        <v>42</v>
      </c>
      <c r="Q1154" t="s">
        <v>62</v>
      </c>
      <c r="R1154" t="s">
        <v>37</v>
      </c>
      <c r="S1154" s="3">
        <v>3117</v>
      </c>
      <c r="T1154" s="3">
        <v>26009</v>
      </c>
      <c r="U1154" s="3" t="str">
        <f t="shared" si="71"/>
        <v>Low</v>
      </c>
      <c r="V1154">
        <v>1</v>
      </c>
      <c r="W1154" t="s">
        <v>38</v>
      </c>
      <c r="X1154" s="2">
        <v>18</v>
      </c>
      <c r="Y1154" t="s">
        <v>60</v>
      </c>
      <c r="Z1154" t="s">
        <v>60</v>
      </c>
      <c r="AA1154">
        <v>0</v>
      </c>
      <c r="AB1154">
        <v>3</v>
      </c>
      <c r="AC1154">
        <v>2</v>
      </c>
      <c r="AD1154">
        <v>3</v>
      </c>
      <c r="AE1154">
        <v>2</v>
      </c>
      <c r="AF1154">
        <v>2</v>
      </c>
      <c r="AG1154">
        <v>2</v>
      </c>
      <c r="AH1154">
        <v>2</v>
      </c>
      <c r="AI1154" t="str">
        <f t="shared" ref="AI1154:AI1217" si="72">IF(AE1154&lt;=2,"0-2 Years",
IF(AE1154&lt;=5,"3-5 Years",
IF(AE1154&lt;=10,"6-10 Years","10+ Years")))</f>
        <v>0-2 Years</v>
      </c>
      <c r="AJ1154" t="str">
        <f t="shared" ref="AJ1154:AJ1217" si="73">IF(AG1154&lt;=2,"0-2",
IF(AG1154&lt;=5,"3-5","6+"))</f>
        <v>0-2</v>
      </c>
    </row>
    <row r="1155" spans="1:36" x14ac:dyDescent="0.35">
      <c r="A1155">
        <v>1154</v>
      </c>
      <c r="B1155">
        <v>18</v>
      </c>
      <c r="C1155" t="str">
        <f t="shared" ref="C1155:C1218" si="74">IF(B1155&lt;=25,"18-25",
IF(B1155&lt;=35,"26-35",
IF(B1155&lt;=45,"36-45",
IF(B1155&lt;=55,"46-55","55+"))))</f>
        <v>18-25</v>
      </c>
      <c r="D1155" t="s">
        <v>31</v>
      </c>
      <c r="E1155" t="s">
        <v>39</v>
      </c>
      <c r="F1155" s="3">
        <v>1389</v>
      </c>
      <c r="G1155" t="s">
        <v>33</v>
      </c>
      <c r="H1155" s="1">
        <v>3</v>
      </c>
      <c r="I1155" t="s">
        <v>58</v>
      </c>
      <c r="J1155" t="s">
        <v>46</v>
      </c>
      <c r="K1155" t="s">
        <v>61</v>
      </c>
      <c r="L1155" t="s">
        <v>35</v>
      </c>
      <c r="M1155" s="3">
        <v>70</v>
      </c>
      <c r="N1155" t="s">
        <v>60</v>
      </c>
      <c r="O1155" t="s">
        <v>59</v>
      </c>
      <c r="P1155" t="s">
        <v>52</v>
      </c>
      <c r="Q1155" t="s">
        <v>62</v>
      </c>
      <c r="R1155" t="s">
        <v>37</v>
      </c>
      <c r="S1155" s="3">
        <v>1569</v>
      </c>
      <c r="T1155" s="3">
        <v>18420</v>
      </c>
      <c r="U1155" s="3" t="str">
        <f t="shared" ref="U1155:U1218" si="75">_xlfn.IFS(S1155&lt;5000,"Low",S1155&lt;10000,"Medium",S1155&gt;10000,"High")</f>
        <v>Low</v>
      </c>
      <c r="V1155">
        <v>1</v>
      </c>
      <c r="W1155" t="s">
        <v>31</v>
      </c>
      <c r="X1155" s="2">
        <v>12</v>
      </c>
      <c r="Y1155" t="s">
        <v>60</v>
      </c>
      <c r="Z1155" t="s">
        <v>60</v>
      </c>
      <c r="AA1155">
        <v>0</v>
      </c>
      <c r="AB1155">
        <v>0</v>
      </c>
      <c r="AC1155">
        <v>2</v>
      </c>
      <c r="AD1155">
        <v>4</v>
      </c>
      <c r="AE1155">
        <v>0</v>
      </c>
      <c r="AF1155">
        <v>0</v>
      </c>
      <c r="AG1155">
        <v>0</v>
      </c>
      <c r="AH1155">
        <v>0</v>
      </c>
      <c r="AI1155" t="str">
        <f t="shared" si="72"/>
        <v>0-2 Years</v>
      </c>
      <c r="AJ1155" t="str">
        <f t="shared" si="73"/>
        <v>0-2</v>
      </c>
    </row>
    <row r="1156" spans="1:36" x14ac:dyDescent="0.35">
      <c r="A1156">
        <v>1155</v>
      </c>
      <c r="B1156">
        <v>47</v>
      </c>
      <c r="C1156" t="str">
        <f t="shared" si="74"/>
        <v>46-55</v>
      </c>
      <c r="D1156" t="s">
        <v>38</v>
      </c>
      <c r="E1156" t="s">
        <v>32</v>
      </c>
      <c r="F1156" s="3">
        <v>1389</v>
      </c>
      <c r="G1156" t="s">
        <v>56</v>
      </c>
      <c r="H1156" s="1">
        <v>26</v>
      </c>
      <c r="I1156" t="s">
        <v>60</v>
      </c>
      <c r="J1156" t="s">
        <v>34</v>
      </c>
      <c r="K1156" t="s">
        <v>62</v>
      </c>
      <c r="L1156" t="s">
        <v>35</v>
      </c>
      <c r="M1156" s="3">
        <v>98</v>
      </c>
      <c r="N1156" t="s">
        <v>60</v>
      </c>
      <c r="O1156" t="e">
        <v>#N/A</v>
      </c>
      <c r="P1156" t="s">
        <v>51</v>
      </c>
      <c r="Q1156" t="s">
        <v>60</v>
      </c>
      <c r="R1156" t="s">
        <v>43</v>
      </c>
      <c r="S1156" s="3">
        <v>19658</v>
      </c>
      <c r="T1156" s="3">
        <v>5220</v>
      </c>
      <c r="U1156" s="3" t="str">
        <f t="shared" si="75"/>
        <v>High</v>
      </c>
      <c r="V1156">
        <v>3</v>
      </c>
      <c r="W1156" t="s">
        <v>38</v>
      </c>
      <c r="X1156" s="2">
        <v>11</v>
      </c>
      <c r="Y1156" t="s">
        <v>60</v>
      </c>
      <c r="Z1156" t="s">
        <v>60</v>
      </c>
      <c r="AA1156">
        <v>1</v>
      </c>
      <c r="AB1156">
        <v>27</v>
      </c>
      <c r="AC1156">
        <v>2</v>
      </c>
      <c r="AD1156">
        <v>3</v>
      </c>
      <c r="AE1156">
        <v>5</v>
      </c>
      <c r="AF1156">
        <v>2</v>
      </c>
      <c r="AG1156">
        <v>1</v>
      </c>
      <c r="AH1156">
        <v>0</v>
      </c>
      <c r="AI1156" t="str">
        <f t="shared" si="72"/>
        <v>3-5 Years</v>
      </c>
      <c r="AJ1156" t="str">
        <f t="shared" si="73"/>
        <v>0-2</v>
      </c>
    </row>
    <row r="1157" spans="1:36" x14ac:dyDescent="0.35">
      <c r="A1157">
        <v>1156</v>
      </c>
      <c r="B1157">
        <v>39</v>
      </c>
      <c r="C1157" t="str">
        <f t="shared" si="74"/>
        <v>36-45</v>
      </c>
      <c r="D1157" t="s">
        <v>38</v>
      </c>
      <c r="E1157" t="s">
        <v>32</v>
      </c>
      <c r="F1157" s="3">
        <v>1389</v>
      </c>
      <c r="G1157" t="s">
        <v>40</v>
      </c>
      <c r="H1157" s="1">
        <v>3</v>
      </c>
      <c r="I1157" t="s">
        <v>58</v>
      </c>
      <c r="J1157" t="s">
        <v>46</v>
      </c>
      <c r="K1157" t="s">
        <v>60</v>
      </c>
      <c r="L1157" t="s">
        <v>41</v>
      </c>
      <c r="M1157" s="3">
        <v>76</v>
      </c>
      <c r="N1157" t="s">
        <v>61</v>
      </c>
      <c r="O1157" t="s">
        <v>61</v>
      </c>
      <c r="P1157" t="s">
        <v>45</v>
      </c>
      <c r="Q1157" t="s">
        <v>60</v>
      </c>
      <c r="R1157" t="s">
        <v>47</v>
      </c>
      <c r="S1157" s="3">
        <v>3069</v>
      </c>
      <c r="T1157" s="3">
        <v>10302</v>
      </c>
      <c r="U1157" s="3" t="str">
        <f t="shared" si="75"/>
        <v>Low</v>
      </c>
      <c r="V1157">
        <v>0</v>
      </c>
      <c r="W1157" t="s">
        <v>38</v>
      </c>
      <c r="X1157" s="2">
        <v>15</v>
      </c>
      <c r="Y1157" t="s">
        <v>60</v>
      </c>
      <c r="Z1157" t="s">
        <v>62</v>
      </c>
      <c r="AA1157">
        <v>1</v>
      </c>
      <c r="AB1157">
        <v>11</v>
      </c>
      <c r="AC1157">
        <v>3</v>
      </c>
      <c r="AD1157">
        <v>3</v>
      </c>
      <c r="AE1157">
        <v>10</v>
      </c>
      <c r="AF1157">
        <v>8</v>
      </c>
      <c r="AG1157">
        <v>0</v>
      </c>
      <c r="AH1157">
        <v>7</v>
      </c>
      <c r="AI1157" t="str">
        <f t="shared" si="72"/>
        <v>6-10 Years</v>
      </c>
      <c r="AJ1157" t="str">
        <f t="shared" si="73"/>
        <v>0-2</v>
      </c>
    </row>
    <row r="1158" spans="1:36" x14ac:dyDescent="0.35">
      <c r="A1158">
        <v>1157</v>
      </c>
      <c r="B1158">
        <v>40</v>
      </c>
      <c r="C1158" t="str">
        <f t="shared" si="74"/>
        <v>36-45</v>
      </c>
      <c r="D1158" t="s">
        <v>38</v>
      </c>
      <c r="E1158" t="s">
        <v>32</v>
      </c>
      <c r="F1158" s="3">
        <v>1389</v>
      </c>
      <c r="G1158" t="s">
        <v>40</v>
      </c>
      <c r="H1158" s="1">
        <v>15</v>
      </c>
      <c r="I1158" t="s">
        <v>61</v>
      </c>
      <c r="J1158" t="s">
        <v>34</v>
      </c>
      <c r="K1158" t="s">
        <v>59</v>
      </c>
      <c r="L1158" t="s">
        <v>35</v>
      </c>
      <c r="M1158" s="3">
        <v>80</v>
      </c>
      <c r="N1158" t="s">
        <v>61</v>
      </c>
      <c r="O1158" t="s">
        <v>60</v>
      </c>
      <c r="P1158" t="s">
        <v>48</v>
      </c>
      <c r="Q1158" t="s">
        <v>60</v>
      </c>
      <c r="R1158" t="s">
        <v>43</v>
      </c>
      <c r="S1158" s="3">
        <v>10435</v>
      </c>
      <c r="T1158" s="3">
        <v>25800</v>
      </c>
      <c r="U1158" s="3" t="str">
        <f t="shared" si="75"/>
        <v>High</v>
      </c>
      <c r="V1158">
        <v>1</v>
      </c>
      <c r="W1158" t="s">
        <v>38</v>
      </c>
      <c r="X1158" s="2">
        <v>13</v>
      </c>
      <c r="Y1158" t="s">
        <v>60</v>
      </c>
      <c r="Z1158" t="s">
        <v>62</v>
      </c>
      <c r="AA1158">
        <v>2</v>
      </c>
      <c r="AB1158">
        <v>18</v>
      </c>
      <c r="AC1158">
        <v>2</v>
      </c>
      <c r="AD1158">
        <v>3</v>
      </c>
      <c r="AE1158">
        <v>18</v>
      </c>
      <c r="AF1158">
        <v>15</v>
      </c>
      <c r="AG1158">
        <v>14</v>
      </c>
      <c r="AH1158">
        <v>12</v>
      </c>
      <c r="AI1158" t="str">
        <f t="shared" si="72"/>
        <v>10+ Years</v>
      </c>
      <c r="AJ1158" t="str">
        <f t="shared" si="73"/>
        <v>6+</v>
      </c>
    </row>
    <row r="1159" spans="1:36" x14ac:dyDescent="0.35">
      <c r="A1159">
        <v>1158</v>
      </c>
      <c r="B1159">
        <v>35</v>
      </c>
      <c r="C1159" t="str">
        <f t="shared" si="74"/>
        <v>26-35</v>
      </c>
      <c r="D1159" t="s">
        <v>38</v>
      </c>
      <c r="E1159" t="s">
        <v>50</v>
      </c>
      <c r="F1159" s="3">
        <v>1389</v>
      </c>
      <c r="G1159" t="s">
        <v>40</v>
      </c>
      <c r="H1159" s="1">
        <v>8</v>
      </c>
      <c r="I1159" t="s">
        <v>60</v>
      </c>
      <c r="J1159" t="s">
        <v>34</v>
      </c>
      <c r="K1159" t="s">
        <v>60</v>
      </c>
      <c r="L1159" t="s">
        <v>35</v>
      </c>
      <c r="M1159" s="3">
        <v>52</v>
      </c>
      <c r="N1159" t="s">
        <v>60</v>
      </c>
      <c r="O1159" t="s">
        <v>61</v>
      </c>
      <c r="P1159" t="s">
        <v>49</v>
      </c>
      <c r="Q1159" t="s">
        <v>60</v>
      </c>
      <c r="R1159" t="s">
        <v>43</v>
      </c>
      <c r="S1159" s="3">
        <v>4148</v>
      </c>
      <c r="T1159" s="3">
        <v>12250</v>
      </c>
      <c r="U1159" s="3" t="str">
        <f t="shared" si="75"/>
        <v>Low</v>
      </c>
      <c r="V1159">
        <v>1</v>
      </c>
      <c r="W1159" t="s">
        <v>38</v>
      </c>
      <c r="X1159" s="2">
        <v>12</v>
      </c>
      <c r="Y1159" t="s">
        <v>60</v>
      </c>
      <c r="Z1159" t="s">
        <v>62</v>
      </c>
      <c r="AA1159">
        <v>1</v>
      </c>
      <c r="AB1159">
        <v>15</v>
      </c>
      <c r="AC1159">
        <v>5</v>
      </c>
      <c r="AD1159">
        <v>3</v>
      </c>
      <c r="AE1159">
        <v>14</v>
      </c>
      <c r="AF1159">
        <v>11</v>
      </c>
      <c r="AG1159">
        <v>2</v>
      </c>
      <c r="AH1159">
        <v>9</v>
      </c>
      <c r="AI1159" t="str">
        <f t="shared" si="72"/>
        <v>10+ Years</v>
      </c>
      <c r="AJ1159" t="str">
        <f t="shared" si="73"/>
        <v>0-2</v>
      </c>
    </row>
    <row r="1160" spans="1:36" x14ac:dyDescent="0.35">
      <c r="A1160">
        <v>1159</v>
      </c>
      <c r="B1160">
        <v>37</v>
      </c>
      <c r="C1160" t="str">
        <f t="shared" si="74"/>
        <v>36-45</v>
      </c>
      <c r="D1160" t="s">
        <v>38</v>
      </c>
      <c r="E1160" t="s">
        <v>32</v>
      </c>
      <c r="F1160" s="3">
        <v>1389</v>
      </c>
      <c r="G1160" t="s">
        <v>40</v>
      </c>
      <c r="H1160" s="1">
        <v>19</v>
      </c>
      <c r="I1160" t="s">
        <v>61</v>
      </c>
      <c r="J1160" t="s">
        <v>34</v>
      </c>
      <c r="K1160" t="s">
        <v>60</v>
      </c>
      <c r="L1160" t="s">
        <v>41</v>
      </c>
      <c r="M1160" s="3">
        <v>85</v>
      </c>
      <c r="N1160" t="s">
        <v>60</v>
      </c>
      <c r="O1160" t="s">
        <v>61</v>
      </c>
      <c r="P1160" t="s">
        <v>48</v>
      </c>
      <c r="Q1160" t="s">
        <v>60</v>
      </c>
      <c r="R1160" t="s">
        <v>43</v>
      </c>
      <c r="S1160" s="3">
        <v>5768</v>
      </c>
      <c r="T1160" s="3">
        <v>26493</v>
      </c>
      <c r="U1160" s="3" t="str">
        <f t="shared" si="75"/>
        <v>Medium</v>
      </c>
      <c r="V1160">
        <v>3</v>
      </c>
      <c r="W1160" t="s">
        <v>38</v>
      </c>
      <c r="X1160" s="2">
        <v>17</v>
      </c>
      <c r="Y1160" t="s">
        <v>60</v>
      </c>
      <c r="Z1160" t="s">
        <v>59</v>
      </c>
      <c r="AA1160">
        <v>3</v>
      </c>
      <c r="AB1160">
        <v>9</v>
      </c>
      <c r="AC1160">
        <v>2</v>
      </c>
      <c r="AD1160">
        <v>2</v>
      </c>
      <c r="AE1160">
        <v>4</v>
      </c>
      <c r="AF1160">
        <v>3</v>
      </c>
      <c r="AG1160">
        <v>0</v>
      </c>
      <c r="AH1160">
        <v>2</v>
      </c>
      <c r="AI1160" t="str">
        <f t="shared" si="72"/>
        <v>3-5 Years</v>
      </c>
      <c r="AJ1160" t="str">
        <f t="shared" si="73"/>
        <v>0-2</v>
      </c>
    </row>
    <row r="1161" spans="1:36" x14ac:dyDescent="0.35">
      <c r="A1161">
        <v>1160</v>
      </c>
      <c r="B1161">
        <v>39</v>
      </c>
      <c r="C1161" t="str">
        <f t="shared" si="74"/>
        <v>36-45</v>
      </c>
      <c r="D1161" t="s">
        <v>38</v>
      </c>
      <c r="E1161" t="s">
        <v>39</v>
      </c>
      <c r="F1161" s="3">
        <v>1389</v>
      </c>
      <c r="G1161" t="s">
        <v>40</v>
      </c>
      <c r="H1161" s="1">
        <v>4</v>
      </c>
      <c r="I1161" t="s">
        <v>61</v>
      </c>
      <c r="J1161" t="s">
        <v>46</v>
      </c>
      <c r="K1161" t="s">
        <v>59</v>
      </c>
      <c r="L1161" t="s">
        <v>35</v>
      </c>
      <c r="M1161" s="3">
        <v>81</v>
      </c>
      <c r="N1161" t="s">
        <v>60</v>
      </c>
      <c r="O1161" t="s">
        <v>61</v>
      </c>
      <c r="P1161" t="s">
        <v>48</v>
      </c>
      <c r="Q1161" t="s">
        <v>60</v>
      </c>
      <c r="R1161" t="s">
        <v>37</v>
      </c>
      <c r="S1161" s="3">
        <v>5042</v>
      </c>
      <c r="T1161" s="3">
        <v>3140</v>
      </c>
      <c r="U1161" s="3" t="str">
        <f t="shared" si="75"/>
        <v>Medium</v>
      </c>
      <c r="V1161">
        <v>0</v>
      </c>
      <c r="W1161" t="s">
        <v>38</v>
      </c>
      <c r="X1161" s="2">
        <v>13</v>
      </c>
      <c r="Y1161" t="s">
        <v>60</v>
      </c>
      <c r="Z1161" t="s">
        <v>62</v>
      </c>
      <c r="AA1161">
        <v>0</v>
      </c>
      <c r="AB1161">
        <v>10</v>
      </c>
      <c r="AC1161">
        <v>2</v>
      </c>
      <c r="AD1161">
        <v>1</v>
      </c>
      <c r="AE1161">
        <v>9</v>
      </c>
      <c r="AF1161">
        <v>2</v>
      </c>
      <c r="AG1161">
        <v>3</v>
      </c>
      <c r="AH1161">
        <v>8</v>
      </c>
      <c r="AI1161" t="str">
        <f t="shared" si="72"/>
        <v>6-10 Years</v>
      </c>
      <c r="AJ1161" t="str">
        <f t="shared" si="73"/>
        <v>3-5</v>
      </c>
    </row>
    <row r="1162" spans="1:36" x14ac:dyDescent="0.35">
      <c r="A1162">
        <v>1161</v>
      </c>
      <c r="B1162">
        <v>45</v>
      </c>
      <c r="C1162" t="str">
        <f t="shared" si="74"/>
        <v>36-45</v>
      </c>
      <c r="D1162" t="s">
        <v>38</v>
      </c>
      <c r="E1162" t="s">
        <v>32</v>
      </c>
      <c r="F1162" s="3">
        <v>1389</v>
      </c>
      <c r="G1162" t="s">
        <v>40</v>
      </c>
      <c r="H1162" s="1">
        <v>2</v>
      </c>
      <c r="I1162" t="s">
        <v>58</v>
      </c>
      <c r="J1162" t="s">
        <v>44</v>
      </c>
      <c r="K1162" t="s">
        <v>62</v>
      </c>
      <c r="L1162" t="s">
        <v>35</v>
      </c>
      <c r="M1162" s="3">
        <v>59</v>
      </c>
      <c r="N1162" t="s">
        <v>61</v>
      </c>
      <c r="O1162" t="s">
        <v>61</v>
      </c>
      <c r="P1162" t="s">
        <v>48</v>
      </c>
      <c r="Q1162" t="s">
        <v>62</v>
      </c>
      <c r="R1162" t="s">
        <v>47</v>
      </c>
      <c r="S1162" s="3">
        <v>5770</v>
      </c>
      <c r="T1162" s="3">
        <v>5388</v>
      </c>
      <c r="U1162" s="3" t="str">
        <f t="shared" si="75"/>
        <v>Medium</v>
      </c>
      <c r="V1162">
        <v>1</v>
      </c>
      <c r="W1162" t="s">
        <v>38</v>
      </c>
      <c r="X1162" s="2">
        <v>19</v>
      </c>
      <c r="Y1162" t="s">
        <v>60</v>
      </c>
      <c r="Z1162" t="s">
        <v>59</v>
      </c>
      <c r="AA1162">
        <v>2</v>
      </c>
      <c r="AB1162">
        <v>10</v>
      </c>
      <c r="AC1162">
        <v>3</v>
      </c>
      <c r="AD1162">
        <v>3</v>
      </c>
      <c r="AE1162">
        <v>10</v>
      </c>
      <c r="AF1162">
        <v>7</v>
      </c>
      <c r="AG1162">
        <v>3</v>
      </c>
      <c r="AH1162">
        <v>9</v>
      </c>
      <c r="AI1162" t="str">
        <f t="shared" si="72"/>
        <v>6-10 Years</v>
      </c>
      <c r="AJ1162" t="str">
        <f t="shared" si="73"/>
        <v>3-5</v>
      </c>
    </row>
    <row r="1163" spans="1:36" x14ac:dyDescent="0.35">
      <c r="A1163">
        <v>1162</v>
      </c>
      <c r="B1163">
        <v>38</v>
      </c>
      <c r="C1163" t="str">
        <f t="shared" si="74"/>
        <v>36-45</v>
      </c>
      <c r="D1163" t="s">
        <v>38</v>
      </c>
      <c r="E1163" t="s">
        <v>32</v>
      </c>
      <c r="F1163" s="3">
        <v>1389</v>
      </c>
      <c r="G1163" t="s">
        <v>40</v>
      </c>
      <c r="H1163" s="1">
        <v>2</v>
      </c>
      <c r="I1163" t="s">
        <v>58</v>
      </c>
      <c r="J1163" t="s">
        <v>46</v>
      </c>
      <c r="K1163" t="s">
        <v>62</v>
      </c>
      <c r="L1163" t="s">
        <v>35</v>
      </c>
      <c r="M1163" s="3">
        <v>54</v>
      </c>
      <c r="N1163" t="s">
        <v>61</v>
      </c>
      <c r="O1163" t="s">
        <v>60</v>
      </c>
      <c r="P1163" t="s">
        <v>48</v>
      </c>
      <c r="Q1163" t="s">
        <v>60</v>
      </c>
      <c r="R1163" t="s">
        <v>43</v>
      </c>
      <c r="S1163" s="3">
        <v>7756</v>
      </c>
      <c r="T1163" s="3">
        <v>14199</v>
      </c>
      <c r="U1163" s="3" t="str">
        <f t="shared" si="75"/>
        <v>Medium</v>
      </c>
      <c r="V1163">
        <v>3</v>
      </c>
      <c r="W1163" t="s">
        <v>31</v>
      </c>
      <c r="X1163" s="2">
        <v>19</v>
      </c>
      <c r="Y1163" t="s">
        <v>60</v>
      </c>
      <c r="Z1163" t="s">
        <v>62</v>
      </c>
      <c r="AA1163">
        <v>1</v>
      </c>
      <c r="AB1163">
        <v>10</v>
      </c>
      <c r="AC1163">
        <v>6</v>
      </c>
      <c r="AD1163">
        <v>4</v>
      </c>
      <c r="AE1163">
        <v>5</v>
      </c>
      <c r="AF1163">
        <v>4</v>
      </c>
      <c r="AG1163">
        <v>0</v>
      </c>
      <c r="AH1163">
        <v>2</v>
      </c>
      <c r="AI1163" t="str">
        <f t="shared" si="72"/>
        <v>3-5 Years</v>
      </c>
      <c r="AJ1163" t="str">
        <f t="shared" si="73"/>
        <v>0-2</v>
      </c>
    </row>
    <row r="1164" spans="1:36" x14ac:dyDescent="0.35">
      <c r="A1164">
        <v>1163</v>
      </c>
      <c r="B1164">
        <v>35</v>
      </c>
      <c r="C1164" t="str">
        <f t="shared" si="74"/>
        <v>26-35</v>
      </c>
      <c r="D1164" t="s">
        <v>31</v>
      </c>
      <c r="E1164" t="s">
        <v>32</v>
      </c>
      <c r="F1164" s="3">
        <v>1389</v>
      </c>
      <c r="G1164" t="s">
        <v>33</v>
      </c>
      <c r="H1164" s="1">
        <v>10</v>
      </c>
      <c r="I1164" t="s">
        <v>61</v>
      </c>
      <c r="J1164" t="s">
        <v>46</v>
      </c>
      <c r="K1164" t="s">
        <v>62</v>
      </c>
      <c r="L1164" t="s">
        <v>41</v>
      </c>
      <c r="M1164" s="3">
        <v>55</v>
      </c>
      <c r="N1164" t="s">
        <v>61</v>
      </c>
      <c r="O1164" t="s">
        <v>60</v>
      </c>
      <c r="P1164" t="s">
        <v>36</v>
      </c>
      <c r="Q1164" t="s">
        <v>59</v>
      </c>
      <c r="R1164" t="s">
        <v>43</v>
      </c>
      <c r="S1164" s="3">
        <v>10306</v>
      </c>
      <c r="T1164" s="3">
        <v>21530</v>
      </c>
      <c r="U1164" s="3" t="str">
        <f t="shared" si="75"/>
        <v>High</v>
      </c>
      <c r="V1164">
        <v>9</v>
      </c>
      <c r="W1164" t="s">
        <v>38</v>
      </c>
      <c r="X1164" s="2">
        <v>17</v>
      </c>
      <c r="Y1164" t="s">
        <v>60</v>
      </c>
      <c r="Z1164" t="s">
        <v>60</v>
      </c>
      <c r="AA1164">
        <v>0</v>
      </c>
      <c r="AB1164">
        <v>15</v>
      </c>
      <c r="AC1164">
        <v>3</v>
      </c>
      <c r="AD1164">
        <v>3</v>
      </c>
      <c r="AE1164">
        <v>13</v>
      </c>
      <c r="AF1164">
        <v>12</v>
      </c>
      <c r="AG1164">
        <v>6</v>
      </c>
      <c r="AH1164">
        <v>0</v>
      </c>
      <c r="AI1164" t="str">
        <f t="shared" si="72"/>
        <v>10+ Years</v>
      </c>
      <c r="AJ1164" t="str">
        <f t="shared" si="73"/>
        <v>6+</v>
      </c>
    </row>
    <row r="1165" spans="1:36" x14ac:dyDescent="0.35">
      <c r="A1165">
        <v>1164</v>
      </c>
      <c r="B1165">
        <v>37</v>
      </c>
      <c r="C1165" t="str">
        <f t="shared" si="74"/>
        <v>36-45</v>
      </c>
      <c r="D1165" t="s">
        <v>38</v>
      </c>
      <c r="E1165" t="s">
        <v>32</v>
      </c>
      <c r="F1165" s="3">
        <v>1389</v>
      </c>
      <c r="G1165" t="s">
        <v>40</v>
      </c>
      <c r="H1165" s="1">
        <v>10</v>
      </c>
      <c r="I1165" t="s">
        <v>61</v>
      </c>
      <c r="J1165" t="s">
        <v>46</v>
      </c>
      <c r="K1165" t="s">
        <v>61</v>
      </c>
      <c r="L1165" t="s">
        <v>35</v>
      </c>
      <c r="M1165" s="3">
        <v>71</v>
      </c>
      <c r="N1165" t="s">
        <v>60</v>
      </c>
      <c r="O1165" t="s">
        <v>59</v>
      </c>
      <c r="P1165" t="s">
        <v>42</v>
      </c>
      <c r="Q1165" t="s">
        <v>61</v>
      </c>
      <c r="R1165" t="s">
        <v>43</v>
      </c>
      <c r="S1165" s="3">
        <v>3936</v>
      </c>
      <c r="T1165" s="3">
        <v>9953</v>
      </c>
      <c r="U1165" s="3" t="str">
        <f t="shared" si="75"/>
        <v>Low</v>
      </c>
      <c r="V1165">
        <v>1</v>
      </c>
      <c r="W1165" t="s">
        <v>38</v>
      </c>
      <c r="X1165" s="2">
        <v>11</v>
      </c>
      <c r="Y1165" t="s">
        <v>60</v>
      </c>
      <c r="Z1165" t="s">
        <v>59</v>
      </c>
      <c r="AA1165">
        <v>1</v>
      </c>
      <c r="AB1165">
        <v>8</v>
      </c>
      <c r="AC1165">
        <v>2</v>
      </c>
      <c r="AD1165">
        <v>1</v>
      </c>
      <c r="AE1165">
        <v>8</v>
      </c>
      <c r="AF1165">
        <v>4</v>
      </c>
      <c r="AG1165">
        <v>7</v>
      </c>
      <c r="AH1165">
        <v>7</v>
      </c>
      <c r="AI1165" t="str">
        <f t="shared" si="72"/>
        <v>6-10 Years</v>
      </c>
      <c r="AJ1165" t="str">
        <f t="shared" si="73"/>
        <v>6+</v>
      </c>
    </row>
    <row r="1166" spans="1:36" x14ac:dyDescent="0.35">
      <c r="A1166">
        <v>1165</v>
      </c>
      <c r="B1166">
        <v>40</v>
      </c>
      <c r="C1166" t="str">
        <f t="shared" si="74"/>
        <v>36-45</v>
      </c>
      <c r="D1166" t="s">
        <v>38</v>
      </c>
      <c r="E1166" t="s">
        <v>32</v>
      </c>
      <c r="F1166" s="3">
        <v>1389</v>
      </c>
      <c r="G1166" t="s">
        <v>40</v>
      </c>
      <c r="H1166" s="1">
        <v>16</v>
      </c>
      <c r="I1166" t="s">
        <v>61</v>
      </c>
      <c r="J1166" t="s">
        <v>34</v>
      </c>
      <c r="K1166" t="s">
        <v>60</v>
      </c>
      <c r="L1166" t="s">
        <v>35</v>
      </c>
      <c r="M1166" s="3">
        <v>84</v>
      </c>
      <c r="N1166" t="s">
        <v>60</v>
      </c>
      <c r="O1166" t="s">
        <v>60</v>
      </c>
      <c r="P1166" t="s">
        <v>48</v>
      </c>
      <c r="Q1166" t="s">
        <v>62</v>
      </c>
      <c r="R1166" t="s">
        <v>37</v>
      </c>
      <c r="S1166" s="3">
        <v>7945</v>
      </c>
      <c r="T1166" s="3">
        <v>19948</v>
      </c>
      <c r="U1166" s="3" t="str">
        <f t="shared" si="75"/>
        <v>Medium</v>
      </c>
      <c r="V1166">
        <v>6</v>
      </c>
      <c r="W1166" t="s">
        <v>31</v>
      </c>
      <c r="X1166" s="2">
        <v>15</v>
      </c>
      <c r="Y1166" t="s">
        <v>60</v>
      </c>
      <c r="Z1166" t="s">
        <v>62</v>
      </c>
      <c r="AA1166">
        <v>0</v>
      </c>
      <c r="AB1166">
        <v>18</v>
      </c>
      <c r="AC1166">
        <v>2</v>
      </c>
      <c r="AD1166">
        <v>2</v>
      </c>
      <c r="AE1166">
        <v>4</v>
      </c>
      <c r="AF1166">
        <v>2</v>
      </c>
      <c r="AG1166">
        <v>3</v>
      </c>
      <c r="AH1166">
        <v>3</v>
      </c>
      <c r="AI1166" t="str">
        <f t="shared" si="72"/>
        <v>3-5 Years</v>
      </c>
      <c r="AJ1166" t="str">
        <f t="shared" si="73"/>
        <v>3-5</v>
      </c>
    </row>
    <row r="1167" spans="1:36" x14ac:dyDescent="0.35">
      <c r="A1167">
        <v>1166</v>
      </c>
      <c r="B1167">
        <v>44</v>
      </c>
      <c r="C1167" t="str">
        <f t="shared" si="74"/>
        <v>36-45</v>
      </c>
      <c r="D1167" t="s">
        <v>38</v>
      </c>
      <c r="E1167" t="s">
        <v>39</v>
      </c>
      <c r="F1167" s="3">
        <v>1389</v>
      </c>
      <c r="G1167" t="s">
        <v>56</v>
      </c>
      <c r="H1167" s="1">
        <v>1</v>
      </c>
      <c r="I1167" t="s">
        <v>62</v>
      </c>
      <c r="J1167" t="s">
        <v>56</v>
      </c>
      <c r="K1167" t="s">
        <v>59</v>
      </c>
      <c r="L1167" t="s">
        <v>41</v>
      </c>
      <c r="M1167" s="3">
        <v>37</v>
      </c>
      <c r="N1167" t="s">
        <v>60</v>
      </c>
      <c r="O1167" t="s">
        <v>61</v>
      </c>
      <c r="P1167" t="s">
        <v>56</v>
      </c>
      <c r="Q1167" t="s">
        <v>62</v>
      </c>
      <c r="R1167" t="s">
        <v>43</v>
      </c>
      <c r="S1167" s="3">
        <v>5743</v>
      </c>
      <c r="T1167" s="3">
        <v>10503</v>
      </c>
      <c r="U1167" s="3" t="str">
        <f t="shared" si="75"/>
        <v>Medium</v>
      </c>
      <c r="V1167">
        <v>4</v>
      </c>
      <c r="W1167" t="s">
        <v>31</v>
      </c>
      <c r="X1167" s="2">
        <v>11</v>
      </c>
      <c r="Y1167" t="s">
        <v>60</v>
      </c>
      <c r="Z1167" t="s">
        <v>60</v>
      </c>
      <c r="AA1167">
        <v>0</v>
      </c>
      <c r="AB1167">
        <v>14</v>
      </c>
      <c r="AC1167">
        <v>3</v>
      </c>
      <c r="AD1167">
        <v>3</v>
      </c>
      <c r="AE1167">
        <v>10</v>
      </c>
      <c r="AF1167">
        <v>7</v>
      </c>
      <c r="AG1167">
        <v>0</v>
      </c>
      <c r="AH1167">
        <v>2</v>
      </c>
      <c r="AI1167" t="str">
        <f t="shared" si="72"/>
        <v>6-10 Years</v>
      </c>
      <c r="AJ1167" t="str">
        <f t="shared" si="73"/>
        <v>0-2</v>
      </c>
    </row>
    <row r="1168" spans="1:36" x14ac:dyDescent="0.35">
      <c r="A1168">
        <v>1167</v>
      </c>
      <c r="B1168">
        <v>48</v>
      </c>
      <c r="C1168" t="str">
        <f t="shared" si="74"/>
        <v>46-55</v>
      </c>
      <c r="D1168" t="s">
        <v>38</v>
      </c>
      <c r="E1168" t="s">
        <v>39</v>
      </c>
      <c r="F1168" s="3">
        <v>1389</v>
      </c>
      <c r="G1168" t="s">
        <v>40</v>
      </c>
      <c r="H1168" s="1">
        <v>4</v>
      </c>
      <c r="I1168" t="s">
        <v>62</v>
      </c>
      <c r="J1168" t="s">
        <v>46</v>
      </c>
      <c r="K1168" t="s">
        <v>60</v>
      </c>
      <c r="L1168" t="s">
        <v>41</v>
      </c>
      <c r="M1168" s="3">
        <v>89</v>
      </c>
      <c r="N1168" t="s">
        <v>61</v>
      </c>
      <c r="O1168" t="s">
        <v>62</v>
      </c>
      <c r="P1168" t="s">
        <v>51</v>
      </c>
      <c r="Q1168" t="s">
        <v>62</v>
      </c>
      <c r="R1168" t="s">
        <v>43</v>
      </c>
      <c r="S1168" s="3">
        <v>15202</v>
      </c>
      <c r="T1168" s="3">
        <v>5602</v>
      </c>
      <c r="U1168" s="3" t="str">
        <f t="shared" si="75"/>
        <v>High</v>
      </c>
      <c r="V1168">
        <v>2</v>
      </c>
      <c r="W1168" t="s">
        <v>38</v>
      </c>
      <c r="X1168" s="2">
        <v>25</v>
      </c>
      <c r="Y1168" t="s">
        <v>62</v>
      </c>
      <c r="Z1168" t="s">
        <v>61</v>
      </c>
      <c r="AA1168">
        <v>1</v>
      </c>
      <c r="AB1168">
        <v>23</v>
      </c>
      <c r="AC1168">
        <v>3</v>
      </c>
      <c r="AD1168">
        <v>3</v>
      </c>
      <c r="AE1168">
        <v>2</v>
      </c>
      <c r="AF1168">
        <v>2</v>
      </c>
      <c r="AG1168">
        <v>2</v>
      </c>
      <c r="AH1168">
        <v>2</v>
      </c>
      <c r="AI1168" t="str">
        <f t="shared" si="72"/>
        <v>0-2 Years</v>
      </c>
      <c r="AJ1168" t="str">
        <f t="shared" si="73"/>
        <v>0-2</v>
      </c>
    </row>
    <row r="1169" spans="1:36" x14ac:dyDescent="0.35">
      <c r="A1169">
        <v>1168</v>
      </c>
      <c r="B1169">
        <v>35</v>
      </c>
      <c r="C1169" t="str">
        <f t="shared" si="74"/>
        <v>26-35</v>
      </c>
      <c r="D1169" t="s">
        <v>31</v>
      </c>
      <c r="E1169" t="s">
        <v>32</v>
      </c>
      <c r="F1169" s="3">
        <v>1389</v>
      </c>
      <c r="G1169" t="s">
        <v>33</v>
      </c>
      <c r="H1169" s="1">
        <v>15</v>
      </c>
      <c r="I1169" t="s">
        <v>58</v>
      </c>
      <c r="J1169" t="s">
        <v>46</v>
      </c>
      <c r="K1169" t="s">
        <v>59</v>
      </c>
      <c r="L1169" t="s">
        <v>41</v>
      </c>
      <c r="M1169" s="3">
        <v>59</v>
      </c>
      <c r="N1169" t="s">
        <v>59</v>
      </c>
      <c r="O1169" t="s">
        <v>61</v>
      </c>
      <c r="P1169" t="s">
        <v>36</v>
      </c>
      <c r="Q1169" t="s">
        <v>62</v>
      </c>
      <c r="R1169" t="s">
        <v>47</v>
      </c>
      <c r="S1169" s="3">
        <v>5440</v>
      </c>
      <c r="T1169" s="3">
        <v>22098</v>
      </c>
      <c r="U1169" s="3" t="str">
        <f t="shared" si="75"/>
        <v>Medium</v>
      </c>
      <c r="V1169">
        <v>6</v>
      </c>
      <c r="W1169" t="s">
        <v>31</v>
      </c>
      <c r="X1169" s="2">
        <v>14</v>
      </c>
      <c r="Y1169" t="s">
        <v>60</v>
      </c>
      <c r="Z1169" t="s">
        <v>62</v>
      </c>
      <c r="AA1169">
        <v>2</v>
      </c>
      <c r="AB1169">
        <v>7</v>
      </c>
      <c r="AC1169">
        <v>2</v>
      </c>
      <c r="AD1169">
        <v>2</v>
      </c>
      <c r="AE1169">
        <v>2</v>
      </c>
      <c r="AF1169">
        <v>2</v>
      </c>
      <c r="AG1169">
        <v>2</v>
      </c>
      <c r="AH1169">
        <v>2</v>
      </c>
      <c r="AI1169" t="str">
        <f t="shared" si="72"/>
        <v>0-2 Years</v>
      </c>
      <c r="AJ1169" t="str">
        <f t="shared" si="73"/>
        <v>0-2</v>
      </c>
    </row>
    <row r="1170" spans="1:36" x14ac:dyDescent="0.35">
      <c r="A1170">
        <v>1169</v>
      </c>
      <c r="B1170">
        <v>24</v>
      </c>
      <c r="C1170" t="str">
        <f t="shared" si="74"/>
        <v>18-25</v>
      </c>
      <c r="D1170" t="s">
        <v>38</v>
      </c>
      <c r="E1170" t="s">
        <v>39</v>
      </c>
      <c r="F1170" s="3">
        <v>1389</v>
      </c>
      <c r="G1170" t="s">
        <v>40</v>
      </c>
      <c r="H1170" s="1">
        <v>2</v>
      </c>
      <c r="I1170" t="s">
        <v>59</v>
      </c>
      <c r="J1170" t="s">
        <v>55</v>
      </c>
      <c r="K1170" t="s">
        <v>59</v>
      </c>
      <c r="L1170" t="s">
        <v>35</v>
      </c>
      <c r="M1170" s="3">
        <v>32</v>
      </c>
      <c r="N1170" t="s">
        <v>60</v>
      </c>
      <c r="O1170" t="s">
        <v>59</v>
      </c>
      <c r="P1170" t="s">
        <v>42</v>
      </c>
      <c r="Q1170" t="s">
        <v>62</v>
      </c>
      <c r="R1170" t="s">
        <v>37</v>
      </c>
      <c r="S1170" s="3">
        <v>3760</v>
      </c>
      <c r="T1170" s="3">
        <v>17218</v>
      </c>
      <c r="U1170" s="3" t="str">
        <f t="shared" si="75"/>
        <v>Low</v>
      </c>
      <c r="V1170">
        <v>1</v>
      </c>
      <c r="W1170" t="s">
        <v>31</v>
      </c>
      <c r="X1170" s="2">
        <v>13</v>
      </c>
      <c r="Y1170" t="s">
        <v>60</v>
      </c>
      <c r="Z1170" t="s">
        <v>60</v>
      </c>
      <c r="AA1170">
        <v>0</v>
      </c>
      <c r="AB1170">
        <v>6</v>
      </c>
      <c r="AC1170">
        <v>2</v>
      </c>
      <c r="AD1170">
        <v>3</v>
      </c>
      <c r="AE1170">
        <v>6</v>
      </c>
      <c r="AF1170">
        <v>3</v>
      </c>
      <c r="AG1170">
        <v>1</v>
      </c>
      <c r="AH1170">
        <v>3</v>
      </c>
      <c r="AI1170" t="str">
        <f t="shared" si="72"/>
        <v>6-10 Years</v>
      </c>
      <c r="AJ1170" t="str">
        <f t="shared" si="73"/>
        <v>0-2</v>
      </c>
    </row>
    <row r="1171" spans="1:36" x14ac:dyDescent="0.35">
      <c r="A1171">
        <v>1170</v>
      </c>
      <c r="B1171">
        <v>27</v>
      </c>
      <c r="C1171" t="str">
        <f t="shared" si="74"/>
        <v>26-35</v>
      </c>
      <c r="D1171" t="s">
        <v>38</v>
      </c>
      <c r="E1171" t="s">
        <v>32</v>
      </c>
      <c r="F1171" s="3">
        <v>1389</v>
      </c>
      <c r="G1171" t="s">
        <v>40</v>
      </c>
      <c r="H1171" s="1">
        <v>8</v>
      </c>
      <c r="I1171" t="s">
        <v>61</v>
      </c>
      <c r="J1171" t="s">
        <v>46</v>
      </c>
      <c r="K1171" t="s">
        <v>61</v>
      </c>
      <c r="L1171" t="s">
        <v>35</v>
      </c>
      <c r="M1171" s="3">
        <v>86</v>
      </c>
      <c r="N1171" t="s">
        <v>62</v>
      </c>
      <c r="O1171" t="s">
        <v>59</v>
      </c>
      <c r="P1171" t="s">
        <v>42</v>
      </c>
      <c r="Q1171" t="s">
        <v>60</v>
      </c>
      <c r="R1171" t="s">
        <v>43</v>
      </c>
      <c r="S1171" s="3">
        <v>3517</v>
      </c>
      <c r="T1171" s="3">
        <v>22490</v>
      </c>
      <c r="U1171" s="3" t="str">
        <f t="shared" si="75"/>
        <v>Low</v>
      </c>
      <c r="V1171">
        <v>7</v>
      </c>
      <c r="W1171" t="s">
        <v>38</v>
      </c>
      <c r="X1171" s="2">
        <v>17</v>
      </c>
      <c r="Y1171" t="s">
        <v>60</v>
      </c>
      <c r="Z1171" t="s">
        <v>59</v>
      </c>
      <c r="AA1171">
        <v>0</v>
      </c>
      <c r="AB1171">
        <v>5</v>
      </c>
      <c r="AC1171">
        <v>0</v>
      </c>
      <c r="AD1171">
        <v>3</v>
      </c>
      <c r="AE1171">
        <v>3</v>
      </c>
      <c r="AF1171">
        <v>2</v>
      </c>
      <c r="AG1171">
        <v>0</v>
      </c>
      <c r="AH1171">
        <v>2</v>
      </c>
      <c r="AI1171" t="str">
        <f t="shared" si="72"/>
        <v>3-5 Years</v>
      </c>
      <c r="AJ1171" t="str">
        <f t="shared" si="73"/>
        <v>0-2</v>
      </c>
    </row>
    <row r="1172" spans="1:36" x14ac:dyDescent="0.35">
      <c r="A1172">
        <v>1171</v>
      </c>
      <c r="B1172">
        <v>27</v>
      </c>
      <c r="C1172" t="str">
        <f t="shared" si="74"/>
        <v>26-35</v>
      </c>
      <c r="D1172" t="s">
        <v>38</v>
      </c>
      <c r="E1172" t="s">
        <v>39</v>
      </c>
      <c r="F1172" s="3">
        <v>1389</v>
      </c>
      <c r="G1172" t="s">
        <v>40</v>
      </c>
      <c r="H1172" s="1">
        <v>2</v>
      </c>
      <c r="I1172" t="s">
        <v>61</v>
      </c>
      <c r="J1172" t="s">
        <v>46</v>
      </c>
      <c r="K1172" t="s">
        <v>62</v>
      </c>
      <c r="L1172" t="s">
        <v>41</v>
      </c>
      <c r="M1172" s="3">
        <v>87</v>
      </c>
      <c r="N1172" t="s">
        <v>60</v>
      </c>
      <c r="O1172" t="s">
        <v>59</v>
      </c>
      <c r="P1172" t="s">
        <v>42</v>
      </c>
      <c r="Q1172" t="s">
        <v>62</v>
      </c>
      <c r="R1172" t="s">
        <v>37</v>
      </c>
      <c r="S1172" s="3">
        <v>2580</v>
      </c>
      <c r="T1172" s="3">
        <v>6297</v>
      </c>
      <c r="U1172" s="3" t="str">
        <f t="shared" si="75"/>
        <v>Low</v>
      </c>
      <c r="V1172">
        <v>2</v>
      </c>
      <c r="W1172" t="s">
        <v>38</v>
      </c>
      <c r="X1172" s="2">
        <v>13</v>
      </c>
      <c r="Y1172" t="s">
        <v>60</v>
      </c>
      <c r="Z1172" t="s">
        <v>60</v>
      </c>
      <c r="AA1172">
        <v>0</v>
      </c>
      <c r="AB1172">
        <v>6</v>
      </c>
      <c r="AC1172">
        <v>0</v>
      </c>
      <c r="AD1172">
        <v>2</v>
      </c>
      <c r="AE1172">
        <v>4</v>
      </c>
      <c r="AF1172">
        <v>2</v>
      </c>
      <c r="AG1172">
        <v>1</v>
      </c>
      <c r="AH1172">
        <v>2</v>
      </c>
      <c r="AI1172" t="str">
        <f t="shared" si="72"/>
        <v>3-5 Years</v>
      </c>
      <c r="AJ1172" t="str">
        <f t="shared" si="73"/>
        <v>0-2</v>
      </c>
    </row>
    <row r="1173" spans="1:36" x14ac:dyDescent="0.35">
      <c r="A1173">
        <v>1172</v>
      </c>
      <c r="B1173">
        <v>40</v>
      </c>
      <c r="C1173" t="str">
        <f t="shared" si="74"/>
        <v>36-45</v>
      </c>
      <c r="D1173" t="s">
        <v>31</v>
      </c>
      <c r="E1173" t="s">
        <v>32</v>
      </c>
      <c r="F1173" s="3">
        <v>1389</v>
      </c>
      <c r="G1173" t="s">
        <v>40</v>
      </c>
      <c r="H1173" s="1">
        <v>7</v>
      </c>
      <c r="I1173" t="s">
        <v>61</v>
      </c>
      <c r="J1173" t="s">
        <v>34</v>
      </c>
      <c r="K1173" t="s">
        <v>59</v>
      </c>
      <c r="L1173" t="s">
        <v>41</v>
      </c>
      <c r="M1173" s="3">
        <v>73</v>
      </c>
      <c r="N1173" t="s">
        <v>60</v>
      </c>
      <c r="O1173" t="s">
        <v>59</v>
      </c>
      <c r="P1173" t="s">
        <v>45</v>
      </c>
      <c r="Q1173" t="s">
        <v>59</v>
      </c>
      <c r="R1173" t="s">
        <v>37</v>
      </c>
      <c r="S1173" s="3">
        <v>2166</v>
      </c>
      <c r="T1173" s="3">
        <v>3339</v>
      </c>
      <c r="U1173" s="3" t="str">
        <f t="shared" si="75"/>
        <v>Low</v>
      </c>
      <c r="V1173">
        <v>3</v>
      </c>
      <c r="W1173" t="s">
        <v>31</v>
      </c>
      <c r="X1173" s="2">
        <v>14</v>
      </c>
      <c r="Y1173" t="s">
        <v>60</v>
      </c>
      <c r="Z1173" t="s">
        <v>61</v>
      </c>
      <c r="AA1173">
        <v>0</v>
      </c>
      <c r="AB1173">
        <v>10</v>
      </c>
      <c r="AC1173">
        <v>3</v>
      </c>
      <c r="AD1173">
        <v>1</v>
      </c>
      <c r="AE1173">
        <v>4</v>
      </c>
      <c r="AF1173">
        <v>2</v>
      </c>
      <c r="AG1173">
        <v>0</v>
      </c>
      <c r="AH1173">
        <v>3</v>
      </c>
      <c r="AI1173" t="str">
        <f t="shared" si="72"/>
        <v>3-5 Years</v>
      </c>
      <c r="AJ1173" t="str">
        <f t="shared" si="73"/>
        <v>0-2</v>
      </c>
    </row>
    <row r="1174" spans="1:36" x14ac:dyDescent="0.35">
      <c r="A1174">
        <v>1173</v>
      </c>
      <c r="B1174">
        <v>29</v>
      </c>
      <c r="C1174" t="str">
        <f t="shared" si="74"/>
        <v>26-35</v>
      </c>
      <c r="D1174" t="s">
        <v>38</v>
      </c>
      <c r="E1174" t="s">
        <v>32</v>
      </c>
      <c r="F1174" s="3">
        <v>1389</v>
      </c>
      <c r="G1174" t="s">
        <v>33</v>
      </c>
      <c r="H1174" s="1">
        <v>10</v>
      </c>
      <c r="I1174" t="s">
        <v>61</v>
      </c>
      <c r="J1174" t="s">
        <v>46</v>
      </c>
      <c r="K1174" t="s">
        <v>60</v>
      </c>
      <c r="L1174" t="s">
        <v>41</v>
      </c>
      <c r="M1174" s="3">
        <v>42</v>
      </c>
      <c r="N1174" t="s">
        <v>61</v>
      </c>
      <c r="O1174" t="s">
        <v>61</v>
      </c>
      <c r="P1174" t="s">
        <v>36</v>
      </c>
      <c r="Q1174" t="s">
        <v>60</v>
      </c>
      <c r="R1174" t="s">
        <v>37</v>
      </c>
      <c r="S1174" s="3">
        <v>5869</v>
      </c>
      <c r="T1174" s="3">
        <v>23413</v>
      </c>
      <c r="U1174" s="3" t="str">
        <f t="shared" si="75"/>
        <v>Medium</v>
      </c>
      <c r="V1174">
        <v>9</v>
      </c>
      <c r="W1174" t="s">
        <v>38</v>
      </c>
      <c r="X1174" s="2">
        <v>11</v>
      </c>
      <c r="Y1174" t="s">
        <v>60</v>
      </c>
      <c r="Z1174" t="s">
        <v>60</v>
      </c>
      <c r="AA1174">
        <v>0</v>
      </c>
      <c r="AB1174">
        <v>8</v>
      </c>
      <c r="AC1174">
        <v>2</v>
      </c>
      <c r="AD1174">
        <v>3</v>
      </c>
      <c r="AE1174">
        <v>5</v>
      </c>
      <c r="AF1174">
        <v>2</v>
      </c>
      <c r="AG1174">
        <v>1</v>
      </c>
      <c r="AH1174">
        <v>4</v>
      </c>
      <c r="AI1174" t="str">
        <f t="shared" si="72"/>
        <v>3-5 Years</v>
      </c>
      <c r="AJ1174" t="str">
        <f t="shared" si="73"/>
        <v>0-2</v>
      </c>
    </row>
    <row r="1175" spans="1:36" x14ac:dyDescent="0.35">
      <c r="A1175">
        <v>1174</v>
      </c>
      <c r="B1175">
        <v>36</v>
      </c>
      <c r="C1175" t="str">
        <f t="shared" si="74"/>
        <v>36-45</v>
      </c>
      <c r="D1175" t="s">
        <v>38</v>
      </c>
      <c r="E1175" t="s">
        <v>32</v>
      </c>
      <c r="F1175" s="3">
        <v>1389</v>
      </c>
      <c r="G1175" t="s">
        <v>40</v>
      </c>
      <c r="H1175" s="1">
        <v>5</v>
      </c>
      <c r="I1175" t="s">
        <v>60</v>
      </c>
      <c r="J1175" t="s">
        <v>34</v>
      </c>
      <c r="K1175" t="s">
        <v>61</v>
      </c>
      <c r="L1175" t="s">
        <v>35</v>
      </c>
      <c r="M1175" s="3">
        <v>42</v>
      </c>
      <c r="N1175" t="s">
        <v>60</v>
      </c>
      <c r="O1175" t="s">
        <v>60</v>
      </c>
      <c r="P1175" t="s">
        <v>49</v>
      </c>
      <c r="Q1175" t="s">
        <v>59</v>
      </c>
      <c r="R1175" t="s">
        <v>43</v>
      </c>
      <c r="S1175" s="3">
        <v>8008</v>
      </c>
      <c r="T1175" s="3">
        <v>22792</v>
      </c>
      <c r="U1175" s="3" t="str">
        <f t="shared" si="75"/>
        <v>Medium</v>
      </c>
      <c r="V1175">
        <v>4</v>
      </c>
      <c r="W1175" t="s">
        <v>38</v>
      </c>
      <c r="X1175" s="2">
        <v>12</v>
      </c>
      <c r="Y1175" t="s">
        <v>60</v>
      </c>
      <c r="Z1175" t="s">
        <v>60</v>
      </c>
      <c r="AA1175">
        <v>2</v>
      </c>
      <c r="AB1175">
        <v>9</v>
      </c>
      <c r="AC1175">
        <v>6</v>
      </c>
      <c r="AD1175">
        <v>3</v>
      </c>
      <c r="AE1175">
        <v>3</v>
      </c>
      <c r="AF1175">
        <v>2</v>
      </c>
      <c r="AG1175">
        <v>0</v>
      </c>
      <c r="AH1175">
        <v>2</v>
      </c>
      <c r="AI1175" t="str">
        <f t="shared" si="72"/>
        <v>3-5 Years</v>
      </c>
      <c r="AJ1175" t="str">
        <f t="shared" si="73"/>
        <v>0-2</v>
      </c>
    </row>
    <row r="1176" spans="1:36" x14ac:dyDescent="0.35">
      <c r="A1176">
        <v>1175</v>
      </c>
      <c r="B1176">
        <v>25</v>
      </c>
      <c r="C1176" t="str">
        <f t="shared" si="74"/>
        <v>18-25</v>
      </c>
      <c r="D1176" t="s">
        <v>38</v>
      </c>
      <c r="E1176" t="s">
        <v>39</v>
      </c>
      <c r="F1176" s="3">
        <v>1389</v>
      </c>
      <c r="G1176" t="s">
        <v>40</v>
      </c>
      <c r="H1176" s="1">
        <v>2</v>
      </c>
      <c r="I1176" t="s">
        <v>59</v>
      </c>
      <c r="J1176" t="s">
        <v>34</v>
      </c>
      <c r="K1176" t="s">
        <v>62</v>
      </c>
      <c r="L1176" t="s">
        <v>41</v>
      </c>
      <c r="M1176" s="3">
        <v>77</v>
      </c>
      <c r="N1176" t="s">
        <v>62</v>
      </c>
      <c r="O1176" t="s">
        <v>61</v>
      </c>
      <c r="P1176" t="s">
        <v>48</v>
      </c>
      <c r="Q1176" t="s">
        <v>60</v>
      </c>
      <c r="R1176" t="s">
        <v>47</v>
      </c>
      <c r="S1176" s="3">
        <v>5206</v>
      </c>
      <c r="T1176" s="3">
        <v>4973</v>
      </c>
      <c r="U1176" s="3" t="str">
        <f t="shared" si="75"/>
        <v>Medium</v>
      </c>
      <c r="V1176">
        <v>1</v>
      </c>
      <c r="W1176" t="s">
        <v>38</v>
      </c>
      <c r="X1176" s="2">
        <v>17</v>
      </c>
      <c r="Y1176" t="s">
        <v>60</v>
      </c>
      <c r="Z1176" t="s">
        <v>60</v>
      </c>
      <c r="AA1176">
        <v>2</v>
      </c>
      <c r="AB1176">
        <v>7</v>
      </c>
      <c r="AC1176">
        <v>6</v>
      </c>
      <c r="AD1176">
        <v>3</v>
      </c>
      <c r="AE1176">
        <v>7</v>
      </c>
      <c r="AF1176">
        <v>7</v>
      </c>
      <c r="AG1176">
        <v>0</v>
      </c>
      <c r="AH1176">
        <v>7</v>
      </c>
      <c r="AI1176" t="str">
        <f t="shared" si="72"/>
        <v>6-10 Years</v>
      </c>
      <c r="AJ1176" t="str">
        <f t="shared" si="73"/>
        <v>0-2</v>
      </c>
    </row>
    <row r="1177" spans="1:36" x14ac:dyDescent="0.35">
      <c r="A1177">
        <v>1176</v>
      </c>
      <c r="B1177">
        <v>39</v>
      </c>
      <c r="C1177" t="str">
        <f t="shared" si="74"/>
        <v>36-45</v>
      </c>
      <c r="D1177" t="s">
        <v>38</v>
      </c>
      <c r="E1177" t="s">
        <v>32</v>
      </c>
      <c r="F1177" s="3">
        <v>1389</v>
      </c>
      <c r="G1177" t="s">
        <v>40</v>
      </c>
      <c r="H1177" s="1">
        <v>12</v>
      </c>
      <c r="I1177" t="s">
        <v>61</v>
      </c>
      <c r="J1177" t="s">
        <v>46</v>
      </c>
      <c r="K1177" t="s">
        <v>62</v>
      </c>
      <c r="L1177" t="s">
        <v>41</v>
      </c>
      <c r="M1177" s="3">
        <v>66</v>
      </c>
      <c r="N1177" t="s">
        <v>60</v>
      </c>
      <c r="O1177" t="s">
        <v>61</v>
      </c>
      <c r="P1177" t="s">
        <v>48</v>
      </c>
      <c r="Q1177" t="s">
        <v>61</v>
      </c>
      <c r="R1177" t="s">
        <v>43</v>
      </c>
      <c r="S1177" s="3">
        <v>5295</v>
      </c>
      <c r="T1177" s="3">
        <v>7693</v>
      </c>
      <c r="U1177" s="3" t="str">
        <f t="shared" si="75"/>
        <v>Medium</v>
      </c>
      <c r="V1177">
        <v>4</v>
      </c>
      <c r="W1177" t="s">
        <v>38</v>
      </c>
      <c r="X1177" s="2">
        <v>21</v>
      </c>
      <c r="Y1177" t="s">
        <v>62</v>
      </c>
      <c r="Z1177" t="s">
        <v>60</v>
      </c>
      <c r="AA1177">
        <v>0</v>
      </c>
      <c r="AB1177">
        <v>7</v>
      </c>
      <c r="AC1177">
        <v>3</v>
      </c>
      <c r="AD1177">
        <v>3</v>
      </c>
      <c r="AE1177">
        <v>5</v>
      </c>
      <c r="AF1177">
        <v>4</v>
      </c>
      <c r="AG1177">
        <v>1</v>
      </c>
      <c r="AH1177">
        <v>0</v>
      </c>
      <c r="AI1177" t="str">
        <f t="shared" si="72"/>
        <v>3-5 Years</v>
      </c>
      <c r="AJ1177" t="str">
        <f t="shared" si="73"/>
        <v>0-2</v>
      </c>
    </row>
    <row r="1178" spans="1:36" x14ac:dyDescent="0.35">
      <c r="A1178">
        <v>1177</v>
      </c>
      <c r="B1178">
        <v>49</v>
      </c>
      <c r="C1178" t="str">
        <f t="shared" si="74"/>
        <v>46-55</v>
      </c>
      <c r="D1178" t="s">
        <v>38</v>
      </c>
      <c r="E1178" t="s">
        <v>32</v>
      </c>
      <c r="F1178" s="3">
        <v>1389</v>
      </c>
      <c r="G1178" t="s">
        <v>40</v>
      </c>
      <c r="H1178" s="1">
        <v>22</v>
      </c>
      <c r="I1178" t="s">
        <v>60</v>
      </c>
      <c r="J1178" t="s">
        <v>44</v>
      </c>
      <c r="K1178" t="s">
        <v>59</v>
      </c>
      <c r="L1178" t="s">
        <v>35</v>
      </c>
      <c r="M1178" s="3">
        <v>72</v>
      </c>
      <c r="N1178" t="s">
        <v>60</v>
      </c>
      <c r="O1178" t="s">
        <v>62</v>
      </c>
      <c r="P1178" t="s">
        <v>53</v>
      </c>
      <c r="Q1178" t="s">
        <v>61</v>
      </c>
      <c r="R1178" t="s">
        <v>43</v>
      </c>
      <c r="S1178" s="3">
        <v>16413</v>
      </c>
      <c r="T1178" s="3">
        <v>3498</v>
      </c>
      <c r="U1178" s="3" t="str">
        <f t="shared" si="75"/>
        <v>High</v>
      </c>
      <c r="V1178">
        <v>3</v>
      </c>
      <c r="W1178" t="s">
        <v>38</v>
      </c>
      <c r="X1178" s="2">
        <v>16</v>
      </c>
      <c r="Y1178" t="s">
        <v>60</v>
      </c>
      <c r="Z1178" t="s">
        <v>61</v>
      </c>
      <c r="AA1178">
        <v>2</v>
      </c>
      <c r="AB1178">
        <v>27</v>
      </c>
      <c r="AC1178">
        <v>2</v>
      </c>
      <c r="AD1178">
        <v>3</v>
      </c>
      <c r="AE1178">
        <v>4</v>
      </c>
      <c r="AF1178">
        <v>2</v>
      </c>
      <c r="AG1178">
        <v>1</v>
      </c>
      <c r="AH1178">
        <v>2</v>
      </c>
      <c r="AI1178" t="str">
        <f t="shared" si="72"/>
        <v>3-5 Years</v>
      </c>
      <c r="AJ1178" t="str">
        <f t="shared" si="73"/>
        <v>0-2</v>
      </c>
    </row>
    <row r="1179" spans="1:36" x14ac:dyDescent="0.35">
      <c r="A1179">
        <v>1178</v>
      </c>
      <c r="B1179">
        <v>50</v>
      </c>
      <c r="C1179" t="str">
        <f t="shared" si="74"/>
        <v>46-55</v>
      </c>
      <c r="D1179" t="s">
        <v>38</v>
      </c>
      <c r="E1179" t="s">
        <v>32</v>
      </c>
      <c r="F1179" s="3">
        <v>1389</v>
      </c>
      <c r="G1179" t="s">
        <v>40</v>
      </c>
      <c r="H1179" s="1">
        <v>17</v>
      </c>
      <c r="I1179" t="s">
        <v>62</v>
      </c>
      <c r="J1179" t="s">
        <v>34</v>
      </c>
      <c r="K1179" t="s">
        <v>62</v>
      </c>
      <c r="L1179" t="s">
        <v>35</v>
      </c>
      <c r="M1179" s="3">
        <v>50</v>
      </c>
      <c r="N1179" t="s">
        <v>61</v>
      </c>
      <c r="O1179" t="s">
        <v>60</v>
      </c>
      <c r="P1179" t="s">
        <v>53</v>
      </c>
      <c r="Q1179" t="s">
        <v>59</v>
      </c>
      <c r="R1179" t="s">
        <v>47</v>
      </c>
      <c r="S1179" s="3">
        <v>13269</v>
      </c>
      <c r="T1179" s="3">
        <v>21981</v>
      </c>
      <c r="U1179" s="3" t="str">
        <f t="shared" si="75"/>
        <v>High</v>
      </c>
      <c r="V1179">
        <v>5</v>
      </c>
      <c r="W1179" t="s">
        <v>38</v>
      </c>
      <c r="X1179" s="2">
        <v>15</v>
      </c>
      <c r="Y1179" t="s">
        <v>60</v>
      </c>
      <c r="Z1179" t="s">
        <v>60</v>
      </c>
      <c r="AA1179">
        <v>3</v>
      </c>
      <c r="AB1179">
        <v>19</v>
      </c>
      <c r="AC1179">
        <v>3</v>
      </c>
      <c r="AD1179">
        <v>3</v>
      </c>
      <c r="AE1179">
        <v>14</v>
      </c>
      <c r="AF1179">
        <v>11</v>
      </c>
      <c r="AG1179">
        <v>1</v>
      </c>
      <c r="AH1179">
        <v>11</v>
      </c>
      <c r="AI1179" t="str">
        <f t="shared" si="72"/>
        <v>10+ Years</v>
      </c>
      <c r="AJ1179" t="str">
        <f t="shared" si="73"/>
        <v>0-2</v>
      </c>
    </row>
    <row r="1180" spans="1:36" x14ac:dyDescent="0.35">
      <c r="A1180">
        <v>1179</v>
      </c>
      <c r="B1180">
        <v>20</v>
      </c>
      <c r="C1180" t="str">
        <f t="shared" si="74"/>
        <v>18-25</v>
      </c>
      <c r="D1180" t="s">
        <v>38</v>
      </c>
      <c r="E1180" t="s">
        <v>32</v>
      </c>
      <c r="F1180" s="3">
        <v>1389</v>
      </c>
      <c r="G1180" t="s">
        <v>33</v>
      </c>
      <c r="H1180" s="1">
        <v>2</v>
      </c>
      <c r="I1180" t="s">
        <v>61</v>
      </c>
      <c r="J1180" t="s">
        <v>46</v>
      </c>
      <c r="K1180" t="s">
        <v>60</v>
      </c>
      <c r="L1180" t="s">
        <v>35</v>
      </c>
      <c r="M1180" s="3">
        <v>31</v>
      </c>
      <c r="N1180" t="s">
        <v>60</v>
      </c>
      <c r="O1180" t="s">
        <v>59</v>
      </c>
      <c r="P1180" t="s">
        <v>52</v>
      </c>
      <c r="Q1180" t="s">
        <v>60</v>
      </c>
      <c r="R1180" t="s">
        <v>37</v>
      </c>
      <c r="S1180" s="3">
        <v>2783</v>
      </c>
      <c r="T1180" s="3">
        <v>13251</v>
      </c>
      <c r="U1180" s="3" t="str">
        <f t="shared" si="75"/>
        <v>Low</v>
      </c>
      <c r="V1180">
        <v>1</v>
      </c>
      <c r="W1180" t="s">
        <v>38</v>
      </c>
      <c r="X1180" s="2">
        <v>19</v>
      </c>
      <c r="Y1180" t="s">
        <v>60</v>
      </c>
      <c r="Z1180" t="s">
        <v>59</v>
      </c>
      <c r="AA1180">
        <v>0</v>
      </c>
      <c r="AB1180">
        <v>2</v>
      </c>
      <c r="AC1180">
        <v>3</v>
      </c>
      <c r="AD1180">
        <v>3</v>
      </c>
      <c r="AE1180">
        <v>2</v>
      </c>
      <c r="AF1180">
        <v>2</v>
      </c>
      <c r="AG1180">
        <v>2</v>
      </c>
      <c r="AH1180">
        <v>2</v>
      </c>
      <c r="AI1180" t="str">
        <f t="shared" si="72"/>
        <v>0-2 Years</v>
      </c>
      <c r="AJ1180" t="str">
        <f t="shared" si="73"/>
        <v>0-2</v>
      </c>
    </row>
    <row r="1181" spans="1:36" x14ac:dyDescent="0.35">
      <c r="A1181">
        <v>1180</v>
      </c>
      <c r="B1181">
        <v>34</v>
      </c>
      <c r="C1181" t="str">
        <f t="shared" si="74"/>
        <v>26-35</v>
      </c>
      <c r="D1181" t="s">
        <v>38</v>
      </c>
      <c r="E1181" t="s">
        <v>32</v>
      </c>
      <c r="F1181" s="3">
        <v>1389</v>
      </c>
      <c r="G1181" t="s">
        <v>40</v>
      </c>
      <c r="H1181" s="1">
        <v>3</v>
      </c>
      <c r="I1181" t="s">
        <v>61</v>
      </c>
      <c r="J1181" t="s">
        <v>34</v>
      </c>
      <c r="K1181" t="s">
        <v>62</v>
      </c>
      <c r="L1181" t="s">
        <v>35</v>
      </c>
      <c r="M1181" s="3">
        <v>66</v>
      </c>
      <c r="N1181" t="s">
        <v>60</v>
      </c>
      <c r="O1181" t="s">
        <v>61</v>
      </c>
      <c r="P1181" t="s">
        <v>42</v>
      </c>
      <c r="Q1181" t="s">
        <v>61</v>
      </c>
      <c r="R1181" t="s">
        <v>47</v>
      </c>
      <c r="S1181" s="3">
        <v>5433</v>
      </c>
      <c r="T1181" s="3">
        <v>19332</v>
      </c>
      <c r="U1181" s="3" t="str">
        <f t="shared" si="75"/>
        <v>Medium</v>
      </c>
      <c r="V1181">
        <v>1</v>
      </c>
      <c r="W1181" t="s">
        <v>38</v>
      </c>
      <c r="X1181" s="2">
        <v>12</v>
      </c>
      <c r="Y1181" t="s">
        <v>60</v>
      </c>
      <c r="Z1181" t="s">
        <v>60</v>
      </c>
      <c r="AA1181">
        <v>1</v>
      </c>
      <c r="AB1181">
        <v>11</v>
      </c>
      <c r="AC1181">
        <v>2</v>
      </c>
      <c r="AD1181">
        <v>3</v>
      </c>
      <c r="AE1181">
        <v>11</v>
      </c>
      <c r="AF1181">
        <v>8</v>
      </c>
      <c r="AG1181">
        <v>7</v>
      </c>
      <c r="AH1181">
        <v>9</v>
      </c>
      <c r="AI1181" t="str">
        <f t="shared" si="72"/>
        <v>10+ Years</v>
      </c>
      <c r="AJ1181" t="str">
        <f t="shared" si="73"/>
        <v>6+</v>
      </c>
    </row>
    <row r="1182" spans="1:36" x14ac:dyDescent="0.35">
      <c r="A1182">
        <v>1181</v>
      </c>
      <c r="B1182">
        <v>36</v>
      </c>
      <c r="C1182" t="str">
        <f t="shared" si="74"/>
        <v>36-45</v>
      </c>
      <c r="D1182" t="s">
        <v>38</v>
      </c>
      <c r="E1182" t="s">
        <v>32</v>
      </c>
      <c r="F1182" s="3">
        <v>1389</v>
      </c>
      <c r="G1182" t="s">
        <v>40</v>
      </c>
      <c r="H1182" s="1">
        <v>7</v>
      </c>
      <c r="I1182" t="s">
        <v>61</v>
      </c>
      <c r="J1182" t="s">
        <v>34</v>
      </c>
      <c r="K1182" t="s">
        <v>59</v>
      </c>
      <c r="L1182" t="s">
        <v>41</v>
      </c>
      <c r="M1182" s="3">
        <v>77</v>
      </c>
      <c r="N1182" t="s">
        <v>60</v>
      </c>
      <c r="O1182" t="s">
        <v>59</v>
      </c>
      <c r="P1182" t="s">
        <v>45</v>
      </c>
      <c r="Q1182" t="s">
        <v>61</v>
      </c>
      <c r="R1182" t="s">
        <v>37</v>
      </c>
      <c r="S1182" s="3">
        <v>2013</v>
      </c>
      <c r="T1182" s="3">
        <v>10950</v>
      </c>
      <c r="U1182" s="3" t="str">
        <f t="shared" si="75"/>
        <v>Low</v>
      </c>
      <c r="V1182">
        <v>2</v>
      </c>
      <c r="W1182" t="s">
        <v>38</v>
      </c>
      <c r="X1182" s="2">
        <v>11</v>
      </c>
      <c r="Y1182" t="s">
        <v>60</v>
      </c>
      <c r="Z1182" t="s">
        <v>60</v>
      </c>
      <c r="AA1182">
        <v>0</v>
      </c>
      <c r="AB1182">
        <v>15</v>
      </c>
      <c r="AC1182">
        <v>4</v>
      </c>
      <c r="AD1182">
        <v>3</v>
      </c>
      <c r="AE1182">
        <v>4</v>
      </c>
      <c r="AF1182">
        <v>3</v>
      </c>
      <c r="AG1182">
        <v>1</v>
      </c>
      <c r="AH1182">
        <v>3</v>
      </c>
      <c r="AI1182" t="str">
        <f t="shared" si="72"/>
        <v>3-5 Years</v>
      </c>
      <c r="AJ1182" t="str">
        <f t="shared" si="73"/>
        <v>0-2</v>
      </c>
    </row>
    <row r="1183" spans="1:36" x14ac:dyDescent="0.35">
      <c r="A1183">
        <v>1182</v>
      </c>
      <c r="B1183">
        <v>49</v>
      </c>
      <c r="C1183" t="str">
        <f t="shared" si="74"/>
        <v>46-55</v>
      </c>
      <c r="D1183" t="s">
        <v>38</v>
      </c>
      <c r="E1183" t="s">
        <v>32</v>
      </c>
      <c r="F1183" s="3">
        <v>1389</v>
      </c>
      <c r="G1183" t="s">
        <v>40</v>
      </c>
      <c r="H1183" s="1">
        <v>6</v>
      </c>
      <c r="I1183" t="s">
        <v>59</v>
      </c>
      <c r="J1183" t="s">
        <v>34</v>
      </c>
      <c r="K1183" t="s">
        <v>60</v>
      </c>
      <c r="L1183" t="s">
        <v>35</v>
      </c>
      <c r="M1183" s="3">
        <v>41</v>
      </c>
      <c r="N1183" t="s">
        <v>61</v>
      </c>
      <c r="O1183" t="s">
        <v>62</v>
      </c>
      <c r="P1183" t="s">
        <v>49</v>
      </c>
      <c r="Q1183" t="s">
        <v>60</v>
      </c>
      <c r="R1183" t="s">
        <v>43</v>
      </c>
      <c r="S1183" s="3">
        <v>13966</v>
      </c>
      <c r="T1183" s="3">
        <v>11652</v>
      </c>
      <c r="U1183" s="3" t="str">
        <f t="shared" si="75"/>
        <v>High</v>
      </c>
      <c r="V1183">
        <v>2</v>
      </c>
      <c r="W1183" t="s">
        <v>31</v>
      </c>
      <c r="X1183" s="2">
        <v>19</v>
      </c>
      <c r="Y1183" t="s">
        <v>60</v>
      </c>
      <c r="Z1183" t="s">
        <v>61</v>
      </c>
      <c r="AA1183">
        <v>1</v>
      </c>
      <c r="AB1183">
        <v>30</v>
      </c>
      <c r="AC1183">
        <v>3</v>
      </c>
      <c r="AD1183">
        <v>3</v>
      </c>
      <c r="AE1183">
        <v>15</v>
      </c>
      <c r="AF1183">
        <v>11</v>
      </c>
      <c r="AG1183">
        <v>2</v>
      </c>
      <c r="AH1183">
        <v>12</v>
      </c>
      <c r="AI1183" t="str">
        <f t="shared" si="72"/>
        <v>10+ Years</v>
      </c>
      <c r="AJ1183" t="str">
        <f t="shared" si="73"/>
        <v>0-2</v>
      </c>
    </row>
    <row r="1184" spans="1:36" x14ac:dyDescent="0.35">
      <c r="A1184">
        <v>1183</v>
      </c>
      <c r="B1184">
        <v>36</v>
      </c>
      <c r="C1184" t="str">
        <f t="shared" si="74"/>
        <v>36-45</v>
      </c>
      <c r="D1184" t="s">
        <v>38</v>
      </c>
      <c r="E1184" t="s">
        <v>50</v>
      </c>
      <c r="F1184" s="3">
        <v>1389</v>
      </c>
      <c r="G1184" t="s">
        <v>40</v>
      </c>
      <c r="H1184" s="1">
        <v>1</v>
      </c>
      <c r="I1184" t="s">
        <v>60</v>
      </c>
      <c r="J1184" t="s">
        <v>46</v>
      </c>
      <c r="K1184" t="s">
        <v>62</v>
      </c>
      <c r="L1184" t="s">
        <v>35</v>
      </c>
      <c r="M1184" s="3">
        <v>33</v>
      </c>
      <c r="N1184" t="s">
        <v>61</v>
      </c>
      <c r="O1184" t="s">
        <v>61</v>
      </c>
      <c r="P1184" t="s">
        <v>48</v>
      </c>
      <c r="Q1184" t="s">
        <v>60</v>
      </c>
      <c r="R1184" t="s">
        <v>43</v>
      </c>
      <c r="S1184" s="3">
        <v>4374</v>
      </c>
      <c r="T1184" s="3">
        <v>15411</v>
      </c>
      <c r="U1184" s="3" t="str">
        <f t="shared" si="75"/>
        <v>Low</v>
      </c>
      <c r="V1184">
        <v>0</v>
      </c>
      <c r="W1184" t="s">
        <v>38</v>
      </c>
      <c r="X1184" s="2">
        <v>15</v>
      </c>
      <c r="Y1184" t="s">
        <v>60</v>
      </c>
      <c r="Z1184" t="s">
        <v>60</v>
      </c>
      <c r="AA1184">
        <v>0</v>
      </c>
      <c r="AB1184">
        <v>4</v>
      </c>
      <c r="AC1184">
        <v>6</v>
      </c>
      <c r="AD1184">
        <v>3</v>
      </c>
      <c r="AE1184">
        <v>3</v>
      </c>
      <c r="AF1184">
        <v>2</v>
      </c>
      <c r="AG1184">
        <v>1</v>
      </c>
      <c r="AH1184">
        <v>2</v>
      </c>
      <c r="AI1184" t="str">
        <f t="shared" si="72"/>
        <v>3-5 Years</v>
      </c>
      <c r="AJ1184" t="str">
        <f t="shared" si="73"/>
        <v>0-2</v>
      </c>
    </row>
    <row r="1185" spans="1:36" x14ac:dyDescent="0.35">
      <c r="A1185">
        <v>1184</v>
      </c>
      <c r="B1185">
        <v>36</v>
      </c>
      <c r="C1185" t="str">
        <f t="shared" si="74"/>
        <v>36-45</v>
      </c>
      <c r="D1185" t="s">
        <v>38</v>
      </c>
      <c r="E1185" t="s">
        <v>32</v>
      </c>
      <c r="F1185" s="3">
        <v>1389</v>
      </c>
      <c r="G1185" t="s">
        <v>40</v>
      </c>
      <c r="H1185" s="1">
        <v>3</v>
      </c>
      <c r="I1185" t="s">
        <v>58</v>
      </c>
      <c r="J1185" t="s">
        <v>34</v>
      </c>
      <c r="K1185" t="s">
        <v>62</v>
      </c>
      <c r="L1185" t="s">
        <v>41</v>
      </c>
      <c r="M1185" s="3">
        <v>79</v>
      </c>
      <c r="N1185" t="s">
        <v>62</v>
      </c>
      <c r="O1185" t="s">
        <v>61</v>
      </c>
      <c r="P1185" t="s">
        <v>49</v>
      </c>
      <c r="Q1185" t="s">
        <v>59</v>
      </c>
      <c r="R1185" t="s">
        <v>47</v>
      </c>
      <c r="S1185" s="3">
        <v>6842</v>
      </c>
      <c r="T1185" s="3">
        <v>26308</v>
      </c>
      <c r="U1185" s="3" t="str">
        <f t="shared" si="75"/>
        <v>Medium</v>
      </c>
      <c r="V1185">
        <v>6</v>
      </c>
      <c r="W1185" t="s">
        <v>38</v>
      </c>
      <c r="X1185" s="2">
        <v>20</v>
      </c>
      <c r="Y1185" t="s">
        <v>62</v>
      </c>
      <c r="Z1185" t="s">
        <v>59</v>
      </c>
      <c r="AA1185">
        <v>1</v>
      </c>
      <c r="AB1185">
        <v>13</v>
      </c>
      <c r="AC1185">
        <v>3</v>
      </c>
      <c r="AD1185">
        <v>3</v>
      </c>
      <c r="AE1185">
        <v>5</v>
      </c>
      <c r="AF1185">
        <v>4</v>
      </c>
      <c r="AG1185">
        <v>0</v>
      </c>
      <c r="AH1185">
        <v>4</v>
      </c>
      <c r="AI1185" t="str">
        <f t="shared" si="72"/>
        <v>3-5 Years</v>
      </c>
      <c r="AJ1185" t="str">
        <f t="shared" si="73"/>
        <v>0-2</v>
      </c>
    </row>
    <row r="1186" spans="1:36" x14ac:dyDescent="0.35">
      <c r="A1186">
        <v>1185</v>
      </c>
      <c r="B1186">
        <v>54</v>
      </c>
      <c r="C1186" t="str">
        <f t="shared" si="74"/>
        <v>46-55</v>
      </c>
      <c r="D1186" t="s">
        <v>38</v>
      </c>
      <c r="E1186" t="s">
        <v>32</v>
      </c>
      <c r="F1186" s="3">
        <v>1389</v>
      </c>
      <c r="G1186" t="s">
        <v>40</v>
      </c>
      <c r="H1186" s="1">
        <v>22</v>
      </c>
      <c r="I1186" t="s">
        <v>62</v>
      </c>
      <c r="J1186" t="s">
        <v>46</v>
      </c>
      <c r="K1186" t="s">
        <v>61</v>
      </c>
      <c r="L1186" t="s">
        <v>35</v>
      </c>
      <c r="M1186" s="3">
        <v>91</v>
      </c>
      <c r="N1186" t="s">
        <v>60</v>
      </c>
      <c r="O1186" t="s">
        <v>62</v>
      </c>
      <c r="P1186" t="s">
        <v>51</v>
      </c>
      <c r="Q1186" t="s">
        <v>60</v>
      </c>
      <c r="R1186" t="s">
        <v>43</v>
      </c>
      <c r="S1186" s="3">
        <v>17426</v>
      </c>
      <c r="T1186" s="3">
        <v>18685</v>
      </c>
      <c r="U1186" s="3" t="str">
        <f t="shared" si="75"/>
        <v>High</v>
      </c>
      <c r="V1186">
        <v>3</v>
      </c>
      <c r="W1186" t="s">
        <v>38</v>
      </c>
      <c r="X1186" s="2">
        <v>25</v>
      </c>
      <c r="Y1186" t="s">
        <v>62</v>
      </c>
      <c r="Z1186" t="s">
        <v>60</v>
      </c>
      <c r="AA1186">
        <v>1</v>
      </c>
      <c r="AB1186">
        <v>36</v>
      </c>
      <c r="AC1186">
        <v>6</v>
      </c>
      <c r="AD1186">
        <v>3</v>
      </c>
      <c r="AE1186">
        <v>10</v>
      </c>
      <c r="AF1186">
        <v>8</v>
      </c>
      <c r="AG1186">
        <v>4</v>
      </c>
      <c r="AH1186">
        <v>7</v>
      </c>
      <c r="AI1186" t="str">
        <f t="shared" si="72"/>
        <v>6-10 Years</v>
      </c>
      <c r="AJ1186" t="str">
        <f t="shared" si="73"/>
        <v>3-5</v>
      </c>
    </row>
    <row r="1187" spans="1:36" x14ac:dyDescent="0.35">
      <c r="A1187">
        <v>1186</v>
      </c>
      <c r="B1187">
        <v>43</v>
      </c>
      <c r="C1187" t="str">
        <f t="shared" si="74"/>
        <v>36-45</v>
      </c>
      <c r="D1187" t="s">
        <v>38</v>
      </c>
      <c r="E1187" t="s">
        <v>32</v>
      </c>
      <c r="F1187" s="3">
        <v>1389</v>
      </c>
      <c r="G1187" t="s">
        <v>40</v>
      </c>
      <c r="H1187" s="1">
        <v>15</v>
      </c>
      <c r="I1187" t="s">
        <v>58</v>
      </c>
      <c r="J1187" t="s">
        <v>34</v>
      </c>
      <c r="K1187" t="s">
        <v>60</v>
      </c>
      <c r="L1187" t="s">
        <v>41</v>
      </c>
      <c r="M1187" s="3">
        <v>65</v>
      </c>
      <c r="N1187" t="s">
        <v>61</v>
      </c>
      <c r="O1187" t="s">
        <v>62</v>
      </c>
      <c r="P1187" t="s">
        <v>53</v>
      </c>
      <c r="Q1187" t="s">
        <v>60</v>
      </c>
      <c r="R1187" t="s">
        <v>43</v>
      </c>
      <c r="S1187" s="3">
        <v>17603</v>
      </c>
      <c r="T1187" s="3">
        <v>3525</v>
      </c>
      <c r="U1187" s="3" t="str">
        <f t="shared" si="75"/>
        <v>High</v>
      </c>
      <c r="V1187">
        <v>1</v>
      </c>
      <c r="W1187" t="s">
        <v>38</v>
      </c>
      <c r="X1187" s="2">
        <v>24</v>
      </c>
      <c r="Y1187" t="s">
        <v>62</v>
      </c>
      <c r="Z1187" t="s">
        <v>59</v>
      </c>
      <c r="AA1187">
        <v>1</v>
      </c>
      <c r="AB1187">
        <v>14</v>
      </c>
      <c r="AC1187">
        <v>3</v>
      </c>
      <c r="AD1187">
        <v>3</v>
      </c>
      <c r="AE1187">
        <v>14</v>
      </c>
      <c r="AF1187">
        <v>10</v>
      </c>
      <c r="AG1187">
        <v>6</v>
      </c>
      <c r="AH1187">
        <v>11</v>
      </c>
      <c r="AI1187" t="str">
        <f t="shared" si="72"/>
        <v>10+ Years</v>
      </c>
      <c r="AJ1187" t="str">
        <f t="shared" si="73"/>
        <v>6+</v>
      </c>
    </row>
    <row r="1188" spans="1:36" x14ac:dyDescent="0.35">
      <c r="A1188">
        <v>1187</v>
      </c>
      <c r="B1188">
        <v>35</v>
      </c>
      <c r="C1188" t="str">
        <f t="shared" si="74"/>
        <v>26-35</v>
      </c>
      <c r="D1188" t="s">
        <v>31</v>
      </c>
      <c r="E1188" t="s">
        <v>39</v>
      </c>
      <c r="F1188" s="3">
        <v>1389</v>
      </c>
      <c r="G1188" t="s">
        <v>33</v>
      </c>
      <c r="H1188" s="1">
        <v>12</v>
      </c>
      <c r="I1188" t="s">
        <v>60</v>
      </c>
      <c r="J1188" t="s">
        <v>44</v>
      </c>
      <c r="K1188" t="s">
        <v>62</v>
      </c>
      <c r="L1188" t="s">
        <v>41</v>
      </c>
      <c r="M1188" s="3">
        <v>36</v>
      </c>
      <c r="N1188" t="s">
        <v>60</v>
      </c>
      <c r="O1188" t="s">
        <v>61</v>
      </c>
      <c r="P1188" t="s">
        <v>36</v>
      </c>
      <c r="Q1188" t="s">
        <v>62</v>
      </c>
      <c r="R1188" t="s">
        <v>37</v>
      </c>
      <c r="S1188" s="3">
        <v>4581</v>
      </c>
      <c r="T1188" s="3">
        <v>10414</v>
      </c>
      <c r="U1188" s="3" t="str">
        <f t="shared" si="75"/>
        <v>Low</v>
      </c>
      <c r="V1188">
        <v>3</v>
      </c>
      <c r="W1188" t="s">
        <v>31</v>
      </c>
      <c r="X1188" s="2">
        <v>24</v>
      </c>
      <c r="Y1188" t="s">
        <v>62</v>
      </c>
      <c r="Z1188" t="s">
        <v>59</v>
      </c>
      <c r="AA1188">
        <v>0</v>
      </c>
      <c r="AB1188">
        <v>13</v>
      </c>
      <c r="AC1188">
        <v>2</v>
      </c>
      <c r="AD1188">
        <v>4</v>
      </c>
      <c r="AE1188">
        <v>11</v>
      </c>
      <c r="AF1188">
        <v>9</v>
      </c>
      <c r="AG1188">
        <v>6</v>
      </c>
      <c r="AH1188">
        <v>7</v>
      </c>
      <c r="AI1188" t="str">
        <f t="shared" si="72"/>
        <v>10+ Years</v>
      </c>
      <c r="AJ1188" t="str">
        <f t="shared" si="73"/>
        <v>6+</v>
      </c>
    </row>
    <row r="1189" spans="1:36" x14ac:dyDescent="0.35">
      <c r="A1189">
        <v>1188</v>
      </c>
      <c r="B1189">
        <v>38</v>
      </c>
      <c r="C1189" t="str">
        <f t="shared" si="74"/>
        <v>36-45</v>
      </c>
      <c r="D1189" t="s">
        <v>38</v>
      </c>
      <c r="E1189" t="s">
        <v>39</v>
      </c>
      <c r="F1189" s="3">
        <v>1389</v>
      </c>
      <c r="G1189" t="s">
        <v>40</v>
      </c>
      <c r="H1189" s="1">
        <v>1</v>
      </c>
      <c r="I1189" t="s">
        <v>61</v>
      </c>
      <c r="J1189" t="s">
        <v>34</v>
      </c>
      <c r="K1189" t="s">
        <v>62</v>
      </c>
      <c r="L1189" t="s">
        <v>41</v>
      </c>
      <c r="M1189" s="3">
        <v>90</v>
      </c>
      <c r="N1189" t="s">
        <v>60</v>
      </c>
      <c r="O1189" t="s">
        <v>61</v>
      </c>
      <c r="P1189" t="s">
        <v>42</v>
      </c>
      <c r="Q1189" t="s">
        <v>62</v>
      </c>
      <c r="R1189" t="s">
        <v>43</v>
      </c>
      <c r="S1189" s="3">
        <v>4735</v>
      </c>
      <c r="T1189" s="3">
        <v>9867</v>
      </c>
      <c r="U1189" s="3" t="str">
        <f t="shared" si="75"/>
        <v>Low</v>
      </c>
      <c r="V1189">
        <v>7</v>
      </c>
      <c r="W1189" t="s">
        <v>38</v>
      </c>
      <c r="X1189" s="2">
        <v>15</v>
      </c>
      <c r="Y1189" t="s">
        <v>60</v>
      </c>
      <c r="Z1189" t="s">
        <v>62</v>
      </c>
      <c r="AA1189">
        <v>2</v>
      </c>
      <c r="AB1189">
        <v>19</v>
      </c>
      <c r="AC1189">
        <v>4</v>
      </c>
      <c r="AD1189">
        <v>4</v>
      </c>
      <c r="AE1189">
        <v>13</v>
      </c>
      <c r="AF1189">
        <v>11</v>
      </c>
      <c r="AG1189">
        <v>2</v>
      </c>
      <c r="AH1189">
        <v>9</v>
      </c>
      <c r="AI1189" t="str">
        <f t="shared" si="72"/>
        <v>10+ Years</v>
      </c>
      <c r="AJ1189" t="str">
        <f t="shared" si="73"/>
        <v>0-2</v>
      </c>
    </row>
    <row r="1190" spans="1:36" x14ac:dyDescent="0.35">
      <c r="A1190">
        <v>1189</v>
      </c>
      <c r="B1190">
        <v>29</v>
      </c>
      <c r="C1190" t="str">
        <f t="shared" si="74"/>
        <v>26-35</v>
      </c>
      <c r="D1190" t="s">
        <v>38</v>
      </c>
      <c r="E1190" t="s">
        <v>32</v>
      </c>
      <c r="F1190" s="3">
        <v>1389</v>
      </c>
      <c r="G1190" t="s">
        <v>33</v>
      </c>
      <c r="H1190" s="1">
        <v>5</v>
      </c>
      <c r="I1190" t="s">
        <v>61</v>
      </c>
      <c r="J1190" t="s">
        <v>46</v>
      </c>
      <c r="K1190" t="s">
        <v>59</v>
      </c>
      <c r="L1190" t="s">
        <v>41</v>
      </c>
      <c r="M1190" s="3">
        <v>43</v>
      </c>
      <c r="N1190" t="s">
        <v>61</v>
      </c>
      <c r="O1190" t="s">
        <v>61</v>
      </c>
      <c r="P1190" t="s">
        <v>36</v>
      </c>
      <c r="Q1190" t="s">
        <v>61</v>
      </c>
      <c r="R1190" t="s">
        <v>47</v>
      </c>
      <c r="S1190" s="3">
        <v>4187</v>
      </c>
      <c r="T1190" s="3">
        <v>3356</v>
      </c>
      <c r="U1190" s="3" t="str">
        <f t="shared" si="75"/>
        <v>Low</v>
      </c>
      <c r="V1190">
        <v>1</v>
      </c>
      <c r="W1190" t="s">
        <v>31</v>
      </c>
      <c r="X1190" s="2">
        <v>13</v>
      </c>
      <c r="Y1190" t="s">
        <v>60</v>
      </c>
      <c r="Z1190" t="s">
        <v>61</v>
      </c>
      <c r="AA1190">
        <v>1</v>
      </c>
      <c r="AB1190">
        <v>10</v>
      </c>
      <c r="AC1190">
        <v>3</v>
      </c>
      <c r="AD1190">
        <v>2</v>
      </c>
      <c r="AE1190">
        <v>10</v>
      </c>
      <c r="AF1190">
        <v>0</v>
      </c>
      <c r="AG1190">
        <v>0</v>
      </c>
      <c r="AH1190">
        <v>9</v>
      </c>
      <c r="AI1190" t="str">
        <f t="shared" si="72"/>
        <v>6-10 Years</v>
      </c>
      <c r="AJ1190" t="str">
        <f t="shared" si="73"/>
        <v>0-2</v>
      </c>
    </row>
    <row r="1191" spans="1:36" x14ac:dyDescent="0.35">
      <c r="A1191">
        <v>1190</v>
      </c>
      <c r="B1191">
        <v>33</v>
      </c>
      <c r="C1191" t="str">
        <f t="shared" si="74"/>
        <v>26-35</v>
      </c>
      <c r="D1191" t="s">
        <v>38</v>
      </c>
      <c r="E1191" t="s">
        <v>32</v>
      </c>
      <c r="F1191" s="3">
        <v>1389</v>
      </c>
      <c r="G1191" t="s">
        <v>33</v>
      </c>
      <c r="H1191" s="1">
        <v>2</v>
      </c>
      <c r="I1191" t="s">
        <v>60</v>
      </c>
      <c r="J1191" t="s">
        <v>46</v>
      </c>
      <c r="K1191" t="s">
        <v>62</v>
      </c>
      <c r="L1191" t="s">
        <v>41</v>
      </c>
      <c r="M1191" s="3">
        <v>93</v>
      </c>
      <c r="N1191" t="s">
        <v>60</v>
      </c>
      <c r="O1191" t="s">
        <v>61</v>
      </c>
      <c r="P1191" t="s">
        <v>36</v>
      </c>
      <c r="Q1191" t="s">
        <v>62</v>
      </c>
      <c r="R1191" t="s">
        <v>47</v>
      </c>
      <c r="S1191" s="3">
        <v>5505</v>
      </c>
      <c r="T1191" s="3">
        <v>3921</v>
      </c>
      <c r="U1191" s="3" t="str">
        <f t="shared" si="75"/>
        <v>Medium</v>
      </c>
      <c r="V1191">
        <v>1</v>
      </c>
      <c r="W1191" t="s">
        <v>38</v>
      </c>
      <c r="X1191" s="2">
        <v>14</v>
      </c>
      <c r="Y1191" t="s">
        <v>60</v>
      </c>
      <c r="Z1191" t="s">
        <v>60</v>
      </c>
      <c r="AA1191">
        <v>2</v>
      </c>
      <c r="AB1191">
        <v>6</v>
      </c>
      <c r="AC1191">
        <v>5</v>
      </c>
      <c r="AD1191">
        <v>3</v>
      </c>
      <c r="AE1191">
        <v>6</v>
      </c>
      <c r="AF1191">
        <v>2</v>
      </c>
      <c r="AG1191">
        <v>0</v>
      </c>
      <c r="AH1191">
        <v>4</v>
      </c>
      <c r="AI1191" t="str">
        <f t="shared" si="72"/>
        <v>6-10 Years</v>
      </c>
      <c r="AJ1191" t="str">
        <f t="shared" si="73"/>
        <v>0-2</v>
      </c>
    </row>
    <row r="1192" spans="1:36" x14ac:dyDescent="0.35">
      <c r="A1192">
        <v>1191</v>
      </c>
      <c r="B1192">
        <v>32</v>
      </c>
      <c r="C1192" t="str">
        <f t="shared" si="74"/>
        <v>26-35</v>
      </c>
      <c r="D1192" t="s">
        <v>38</v>
      </c>
      <c r="E1192" t="s">
        <v>32</v>
      </c>
      <c r="F1192" s="3">
        <v>1389</v>
      </c>
      <c r="G1192" t="s">
        <v>40</v>
      </c>
      <c r="H1192" s="1">
        <v>2</v>
      </c>
      <c r="I1192" t="s">
        <v>61</v>
      </c>
      <c r="J1192" t="s">
        <v>46</v>
      </c>
      <c r="K1192" t="s">
        <v>62</v>
      </c>
      <c r="L1192" t="s">
        <v>41</v>
      </c>
      <c r="M1192" s="3">
        <v>45</v>
      </c>
      <c r="N1192" t="s">
        <v>60</v>
      </c>
      <c r="O1192" t="s">
        <v>61</v>
      </c>
      <c r="P1192" t="s">
        <v>42</v>
      </c>
      <c r="Q1192" t="s">
        <v>61</v>
      </c>
      <c r="R1192" t="s">
        <v>47</v>
      </c>
      <c r="S1192" s="3">
        <v>5470</v>
      </c>
      <c r="T1192" s="3">
        <v>25518</v>
      </c>
      <c r="U1192" s="3" t="str">
        <f t="shared" si="75"/>
        <v>Medium</v>
      </c>
      <c r="V1192">
        <v>0</v>
      </c>
      <c r="W1192" t="s">
        <v>38</v>
      </c>
      <c r="X1192" s="2">
        <v>13</v>
      </c>
      <c r="Y1192" t="s">
        <v>60</v>
      </c>
      <c r="Z1192" t="s">
        <v>60</v>
      </c>
      <c r="AA1192">
        <v>2</v>
      </c>
      <c r="AB1192">
        <v>10</v>
      </c>
      <c r="AC1192">
        <v>4</v>
      </c>
      <c r="AD1192">
        <v>2</v>
      </c>
      <c r="AE1192">
        <v>9</v>
      </c>
      <c r="AF1192">
        <v>5</v>
      </c>
      <c r="AG1192">
        <v>1</v>
      </c>
      <c r="AH1192">
        <v>6</v>
      </c>
      <c r="AI1192" t="str">
        <f t="shared" si="72"/>
        <v>6-10 Years</v>
      </c>
      <c r="AJ1192" t="str">
        <f t="shared" si="73"/>
        <v>0-2</v>
      </c>
    </row>
    <row r="1193" spans="1:36" x14ac:dyDescent="0.35">
      <c r="A1193">
        <v>1192</v>
      </c>
      <c r="B1193">
        <v>31</v>
      </c>
      <c r="C1193" t="str">
        <f t="shared" si="74"/>
        <v>26-35</v>
      </c>
      <c r="D1193" t="s">
        <v>38</v>
      </c>
      <c r="E1193" t="s">
        <v>32</v>
      </c>
      <c r="F1193" s="3">
        <v>1389</v>
      </c>
      <c r="G1193" t="s">
        <v>33</v>
      </c>
      <c r="H1193" s="1">
        <v>5</v>
      </c>
      <c r="I1193" t="s">
        <v>60</v>
      </c>
      <c r="J1193" t="s">
        <v>34</v>
      </c>
      <c r="K1193" t="s">
        <v>59</v>
      </c>
      <c r="L1193" t="s">
        <v>35</v>
      </c>
      <c r="M1193" s="3">
        <v>67</v>
      </c>
      <c r="N1193" t="s">
        <v>60</v>
      </c>
      <c r="O1193" t="s">
        <v>61</v>
      </c>
      <c r="P1193" t="s">
        <v>36</v>
      </c>
      <c r="Q1193" t="s">
        <v>62</v>
      </c>
      <c r="R1193" t="s">
        <v>43</v>
      </c>
      <c r="S1193" s="3">
        <v>5476</v>
      </c>
      <c r="T1193" s="3">
        <v>22589</v>
      </c>
      <c r="U1193" s="3" t="str">
        <f t="shared" si="75"/>
        <v>Medium</v>
      </c>
      <c r="V1193">
        <v>1</v>
      </c>
      <c r="W1193" t="s">
        <v>38</v>
      </c>
      <c r="X1193" s="2">
        <v>11</v>
      </c>
      <c r="Y1193" t="s">
        <v>60</v>
      </c>
      <c r="Z1193" t="s">
        <v>59</v>
      </c>
      <c r="AA1193">
        <v>2</v>
      </c>
      <c r="AB1193">
        <v>10</v>
      </c>
      <c r="AC1193">
        <v>2</v>
      </c>
      <c r="AD1193">
        <v>3</v>
      </c>
      <c r="AE1193">
        <v>10</v>
      </c>
      <c r="AF1193">
        <v>0</v>
      </c>
      <c r="AG1193">
        <v>0</v>
      </c>
      <c r="AH1193">
        <v>2</v>
      </c>
      <c r="AI1193" t="str">
        <f t="shared" si="72"/>
        <v>6-10 Years</v>
      </c>
      <c r="AJ1193" t="str">
        <f t="shared" si="73"/>
        <v>0-2</v>
      </c>
    </row>
    <row r="1194" spans="1:36" x14ac:dyDescent="0.35">
      <c r="A1194">
        <v>1193</v>
      </c>
      <c r="B1194">
        <v>49</v>
      </c>
      <c r="C1194" t="str">
        <f t="shared" si="74"/>
        <v>46-55</v>
      </c>
      <c r="D1194" t="s">
        <v>38</v>
      </c>
      <c r="E1194" t="s">
        <v>32</v>
      </c>
      <c r="F1194" s="3">
        <v>1389</v>
      </c>
      <c r="G1194" t="s">
        <v>40</v>
      </c>
      <c r="H1194" s="1">
        <v>16</v>
      </c>
      <c r="I1194" t="s">
        <v>61</v>
      </c>
      <c r="J1194" t="s">
        <v>46</v>
      </c>
      <c r="K1194" t="s">
        <v>62</v>
      </c>
      <c r="L1194" t="s">
        <v>35</v>
      </c>
      <c r="M1194" s="3">
        <v>74</v>
      </c>
      <c r="N1194" t="s">
        <v>60</v>
      </c>
      <c r="O1194" t="s">
        <v>59</v>
      </c>
      <c r="P1194" t="s">
        <v>45</v>
      </c>
      <c r="Q1194" t="s">
        <v>59</v>
      </c>
      <c r="R1194" t="s">
        <v>47</v>
      </c>
      <c r="S1194" s="3">
        <v>2587</v>
      </c>
      <c r="T1194" s="3">
        <v>24941</v>
      </c>
      <c r="U1194" s="3" t="str">
        <f t="shared" si="75"/>
        <v>Low</v>
      </c>
      <c r="V1194">
        <v>4</v>
      </c>
      <c r="W1194" t="s">
        <v>31</v>
      </c>
      <c r="X1194" s="2">
        <v>16</v>
      </c>
      <c r="Y1194" t="s">
        <v>60</v>
      </c>
      <c r="Z1194" t="s">
        <v>61</v>
      </c>
      <c r="AA1194">
        <v>1</v>
      </c>
      <c r="AB1194">
        <v>17</v>
      </c>
      <c r="AC1194">
        <v>2</v>
      </c>
      <c r="AD1194">
        <v>2</v>
      </c>
      <c r="AE1194">
        <v>2</v>
      </c>
      <c r="AF1194">
        <v>2</v>
      </c>
      <c r="AG1194">
        <v>2</v>
      </c>
      <c r="AH1194">
        <v>2</v>
      </c>
      <c r="AI1194" t="str">
        <f t="shared" si="72"/>
        <v>0-2 Years</v>
      </c>
      <c r="AJ1194" t="str">
        <f t="shared" si="73"/>
        <v>0-2</v>
      </c>
    </row>
    <row r="1195" spans="1:36" x14ac:dyDescent="0.35">
      <c r="A1195">
        <v>1194</v>
      </c>
      <c r="B1195">
        <v>38</v>
      </c>
      <c r="C1195" t="str">
        <f t="shared" si="74"/>
        <v>36-45</v>
      </c>
      <c r="D1195" t="s">
        <v>38</v>
      </c>
      <c r="E1195" t="s">
        <v>39</v>
      </c>
      <c r="F1195" s="3">
        <v>1389</v>
      </c>
      <c r="G1195" t="s">
        <v>40</v>
      </c>
      <c r="H1195" s="1">
        <v>2</v>
      </c>
      <c r="I1195" t="s">
        <v>61</v>
      </c>
      <c r="J1195" t="s">
        <v>46</v>
      </c>
      <c r="K1195" t="s">
        <v>62</v>
      </c>
      <c r="L1195" t="s">
        <v>35</v>
      </c>
      <c r="M1195" s="3">
        <v>42</v>
      </c>
      <c r="N1195" t="s">
        <v>61</v>
      </c>
      <c r="O1195" t="s">
        <v>59</v>
      </c>
      <c r="P1195" t="s">
        <v>45</v>
      </c>
      <c r="Q1195" t="s">
        <v>61</v>
      </c>
      <c r="R1195" t="s">
        <v>37</v>
      </c>
      <c r="S1195" s="3">
        <v>2440</v>
      </c>
      <c r="T1195" s="3">
        <v>23826</v>
      </c>
      <c r="U1195" s="3" t="str">
        <f t="shared" si="75"/>
        <v>Low</v>
      </c>
      <c r="V1195">
        <v>1</v>
      </c>
      <c r="W1195" t="s">
        <v>38</v>
      </c>
      <c r="X1195" s="2">
        <v>22</v>
      </c>
      <c r="Y1195" t="s">
        <v>62</v>
      </c>
      <c r="Z1195" t="s">
        <v>61</v>
      </c>
      <c r="AA1195">
        <v>0</v>
      </c>
      <c r="AB1195">
        <v>4</v>
      </c>
      <c r="AC1195">
        <v>3</v>
      </c>
      <c r="AD1195">
        <v>3</v>
      </c>
      <c r="AE1195">
        <v>4</v>
      </c>
      <c r="AF1195">
        <v>3</v>
      </c>
      <c r="AG1195">
        <v>3</v>
      </c>
      <c r="AH1195">
        <v>3</v>
      </c>
      <c r="AI1195" t="str">
        <f t="shared" si="72"/>
        <v>3-5 Years</v>
      </c>
      <c r="AJ1195" t="str">
        <f t="shared" si="73"/>
        <v>3-5</v>
      </c>
    </row>
    <row r="1196" spans="1:36" x14ac:dyDescent="0.35">
      <c r="A1196">
        <v>1195</v>
      </c>
      <c r="B1196">
        <v>47</v>
      </c>
      <c r="C1196" t="str">
        <f t="shared" si="74"/>
        <v>46-55</v>
      </c>
      <c r="D1196" t="s">
        <v>38</v>
      </c>
      <c r="E1196" t="s">
        <v>32</v>
      </c>
      <c r="F1196" s="3">
        <v>1389</v>
      </c>
      <c r="G1196" t="s">
        <v>33</v>
      </c>
      <c r="H1196" s="1">
        <v>2</v>
      </c>
      <c r="I1196" t="s">
        <v>60</v>
      </c>
      <c r="J1196" t="s">
        <v>34</v>
      </c>
      <c r="K1196" t="s">
        <v>61</v>
      </c>
      <c r="L1196" t="s">
        <v>35</v>
      </c>
      <c r="M1196" s="3">
        <v>47</v>
      </c>
      <c r="N1196" t="s">
        <v>62</v>
      </c>
      <c r="O1196" t="s">
        <v>62</v>
      </c>
      <c r="P1196" t="s">
        <v>51</v>
      </c>
      <c r="Q1196" t="s">
        <v>61</v>
      </c>
      <c r="R1196" t="s">
        <v>47</v>
      </c>
      <c r="S1196" s="3">
        <v>15972</v>
      </c>
      <c r="T1196" s="3">
        <v>21086</v>
      </c>
      <c r="U1196" s="3" t="str">
        <f t="shared" si="75"/>
        <v>High</v>
      </c>
      <c r="V1196">
        <v>6</v>
      </c>
      <c r="W1196" t="s">
        <v>38</v>
      </c>
      <c r="X1196" s="2">
        <v>14</v>
      </c>
      <c r="Y1196" t="s">
        <v>60</v>
      </c>
      <c r="Z1196" t="s">
        <v>60</v>
      </c>
      <c r="AA1196">
        <v>3</v>
      </c>
      <c r="AB1196">
        <v>29</v>
      </c>
      <c r="AC1196">
        <v>2</v>
      </c>
      <c r="AD1196">
        <v>3</v>
      </c>
      <c r="AE1196">
        <v>3</v>
      </c>
      <c r="AF1196">
        <v>2</v>
      </c>
      <c r="AG1196">
        <v>1</v>
      </c>
      <c r="AH1196">
        <v>2</v>
      </c>
      <c r="AI1196" t="str">
        <f t="shared" si="72"/>
        <v>3-5 Years</v>
      </c>
      <c r="AJ1196" t="str">
        <f t="shared" si="73"/>
        <v>0-2</v>
      </c>
    </row>
    <row r="1197" spans="1:36" x14ac:dyDescent="0.35">
      <c r="A1197">
        <v>1196</v>
      </c>
      <c r="B1197">
        <v>49</v>
      </c>
      <c r="C1197" t="str">
        <f t="shared" si="74"/>
        <v>46-55</v>
      </c>
      <c r="D1197" t="s">
        <v>38</v>
      </c>
      <c r="E1197" t="s">
        <v>32</v>
      </c>
      <c r="F1197" s="3">
        <v>1389</v>
      </c>
      <c r="G1197" t="s">
        <v>40</v>
      </c>
      <c r="H1197" s="1">
        <v>1</v>
      </c>
      <c r="I1197" t="s">
        <v>61</v>
      </c>
      <c r="J1197" t="s">
        <v>34</v>
      </c>
      <c r="K1197" t="s">
        <v>60</v>
      </c>
      <c r="L1197" t="s">
        <v>41</v>
      </c>
      <c r="M1197" s="3">
        <v>36</v>
      </c>
      <c r="N1197" t="s">
        <v>60</v>
      </c>
      <c r="O1197" t="s">
        <v>62</v>
      </c>
      <c r="P1197" t="s">
        <v>51</v>
      </c>
      <c r="Q1197" t="s">
        <v>60</v>
      </c>
      <c r="R1197" t="s">
        <v>37</v>
      </c>
      <c r="S1197" s="3">
        <v>15379</v>
      </c>
      <c r="T1197" s="3">
        <v>22384</v>
      </c>
      <c r="U1197" s="3" t="str">
        <f t="shared" si="75"/>
        <v>High</v>
      </c>
      <c r="V1197">
        <v>4</v>
      </c>
      <c r="W1197" t="s">
        <v>38</v>
      </c>
      <c r="X1197" s="2">
        <v>14</v>
      </c>
      <c r="Y1197" t="s">
        <v>60</v>
      </c>
      <c r="Z1197" t="s">
        <v>59</v>
      </c>
      <c r="AA1197">
        <v>0</v>
      </c>
      <c r="AB1197">
        <v>23</v>
      </c>
      <c r="AC1197">
        <v>2</v>
      </c>
      <c r="AD1197">
        <v>3</v>
      </c>
      <c r="AE1197">
        <v>8</v>
      </c>
      <c r="AF1197">
        <v>7</v>
      </c>
      <c r="AG1197">
        <v>0</v>
      </c>
      <c r="AH1197">
        <v>0</v>
      </c>
      <c r="AI1197" t="str">
        <f t="shared" si="72"/>
        <v>6-10 Years</v>
      </c>
      <c r="AJ1197" t="str">
        <f t="shared" si="73"/>
        <v>0-2</v>
      </c>
    </row>
    <row r="1198" spans="1:36" x14ac:dyDescent="0.35">
      <c r="A1198">
        <v>1197</v>
      </c>
      <c r="B1198">
        <v>41</v>
      </c>
      <c r="C1198" t="str">
        <f t="shared" si="74"/>
        <v>36-45</v>
      </c>
      <c r="D1198" t="s">
        <v>38</v>
      </c>
      <c r="E1198" t="s">
        <v>32</v>
      </c>
      <c r="F1198" s="3">
        <v>1389</v>
      </c>
      <c r="G1198" t="s">
        <v>33</v>
      </c>
      <c r="H1198" s="1">
        <v>23</v>
      </c>
      <c r="I1198" t="s">
        <v>58</v>
      </c>
      <c r="J1198" t="s">
        <v>34</v>
      </c>
      <c r="K1198" t="s">
        <v>62</v>
      </c>
      <c r="L1198" t="s">
        <v>41</v>
      </c>
      <c r="M1198" s="3">
        <v>80</v>
      </c>
      <c r="N1198" t="s">
        <v>60</v>
      </c>
      <c r="O1198" t="s">
        <v>60</v>
      </c>
      <c r="P1198" t="s">
        <v>36</v>
      </c>
      <c r="Q1198" t="s">
        <v>60</v>
      </c>
      <c r="R1198" t="s">
        <v>37</v>
      </c>
      <c r="S1198" s="3">
        <v>7082</v>
      </c>
      <c r="T1198" s="3">
        <v>11591</v>
      </c>
      <c r="U1198" s="3" t="str">
        <f t="shared" si="75"/>
        <v>Medium</v>
      </c>
      <c r="V1198">
        <v>3</v>
      </c>
      <c r="W1198" t="s">
        <v>31</v>
      </c>
      <c r="X1198" s="2">
        <v>16</v>
      </c>
      <c r="Y1198" t="s">
        <v>60</v>
      </c>
      <c r="Z1198" t="s">
        <v>62</v>
      </c>
      <c r="AA1198">
        <v>0</v>
      </c>
      <c r="AB1198">
        <v>21</v>
      </c>
      <c r="AC1198">
        <v>2</v>
      </c>
      <c r="AD1198">
        <v>3</v>
      </c>
      <c r="AE1198">
        <v>2</v>
      </c>
      <c r="AF1198">
        <v>0</v>
      </c>
      <c r="AG1198">
        <v>0</v>
      </c>
      <c r="AH1198">
        <v>2</v>
      </c>
      <c r="AI1198" t="str">
        <f t="shared" si="72"/>
        <v>0-2 Years</v>
      </c>
      <c r="AJ1198" t="str">
        <f t="shared" si="73"/>
        <v>0-2</v>
      </c>
    </row>
    <row r="1199" spans="1:36" x14ac:dyDescent="0.35">
      <c r="A1199">
        <v>1198</v>
      </c>
      <c r="B1199">
        <v>20</v>
      </c>
      <c r="C1199" t="str">
        <f t="shared" si="74"/>
        <v>18-25</v>
      </c>
      <c r="D1199" t="s">
        <v>38</v>
      </c>
      <c r="E1199" t="s">
        <v>32</v>
      </c>
      <c r="F1199" s="3">
        <v>1389</v>
      </c>
      <c r="G1199" t="s">
        <v>33</v>
      </c>
      <c r="H1199" s="1">
        <v>9</v>
      </c>
      <c r="I1199" t="s">
        <v>59</v>
      </c>
      <c r="J1199" t="s">
        <v>34</v>
      </c>
      <c r="K1199" t="s">
        <v>62</v>
      </c>
      <c r="L1199" t="s">
        <v>41</v>
      </c>
      <c r="M1199" s="3">
        <v>54</v>
      </c>
      <c r="N1199" t="s">
        <v>60</v>
      </c>
      <c r="O1199" t="s">
        <v>59</v>
      </c>
      <c r="P1199" t="s">
        <v>52</v>
      </c>
      <c r="Q1199" t="s">
        <v>59</v>
      </c>
      <c r="R1199" t="s">
        <v>37</v>
      </c>
      <c r="S1199" s="3">
        <v>2728</v>
      </c>
      <c r="T1199" s="3">
        <v>21082</v>
      </c>
      <c r="U1199" s="3" t="str">
        <f t="shared" si="75"/>
        <v>Low</v>
      </c>
      <c r="V1199">
        <v>1</v>
      </c>
      <c r="W1199" t="s">
        <v>38</v>
      </c>
      <c r="X1199" s="2">
        <v>11</v>
      </c>
      <c r="Y1199" t="s">
        <v>60</v>
      </c>
      <c r="Z1199" t="s">
        <v>59</v>
      </c>
      <c r="AA1199">
        <v>0</v>
      </c>
      <c r="AB1199">
        <v>2</v>
      </c>
      <c r="AC1199">
        <v>3</v>
      </c>
      <c r="AD1199">
        <v>3</v>
      </c>
      <c r="AE1199">
        <v>2</v>
      </c>
      <c r="AF1199">
        <v>2</v>
      </c>
      <c r="AG1199">
        <v>0</v>
      </c>
      <c r="AH1199">
        <v>2</v>
      </c>
      <c r="AI1199" t="str">
        <f t="shared" si="72"/>
        <v>0-2 Years</v>
      </c>
      <c r="AJ1199" t="str">
        <f t="shared" si="73"/>
        <v>0-2</v>
      </c>
    </row>
    <row r="1200" spans="1:36" x14ac:dyDescent="0.35">
      <c r="A1200">
        <v>1199</v>
      </c>
      <c r="B1200">
        <v>33</v>
      </c>
      <c r="C1200" t="str">
        <f t="shared" si="74"/>
        <v>26-35</v>
      </c>
      <c r="D1200" t="s">
        <v>38</v>
      </c>
      <c r="E1200" t="s">
        <v>50</v>
      </c>
      <c r="F1200" s="3">
        <v>1389</v>
      </c>
      <c r="G1200" t="s">
        <v>33</v>
      </c>
      <c r="H1200" s="1">
        <v>16</v>
      </c>
      <c r="I1200" t="s">
        <v>61</v>
      </c>
      <c r="J1200" t="s">
        <v>34</v>
      </c>
      <c r="K1200" t="s">
        <v>60</v>
      </c>
      <c r="L1200" t="s">
        <v>35</v>
      </c>
      <c r="M1200" s="3">
        <v>36</v>
      </c>
      <c r="N1200" t="s">
        <v>60</v>
      </c>
      <c r="O1200" t="s">
        <v>61</v>
      </c>
      <c r="P1200" t="s">
        <v>36</v>
      </c>
      <c r="Q1200" t="s">
        <v>62</v>
      </c>
      <c r="R1200" t="s">
        <v>47</v>
      </c>
      <c r="S1200" s="3">
        <v>5368</v>
      </c>
      <c r="T1200" s="3">
        <v>16130</v>
      </c>
      <c r="U1200" s="3" t="str">
        <f t="shared" si="75"/>
        <v>Medium</v>
      </c>
      <c r="V1200">
        <v>1</v>
      </c>
      <c r="W1200" t="s">
        <v>31</v>
      </c>
      <c r="X1200" s="2">
        <v>25</v>
      </c>
      <c r="Y1200" t="s">
        <v>62</v>
      </c>
      <c r="Z1200" t="s">
        <v>60</v>
      </c>
      <c r="AA1200">
        <v>1</v>
      </c>
      <c r="AB1200">
        <v>7</v>
      </c>
      <c r="AC1200">
        <v>2</v>
      </c>
      <c r="AD1200">
        <v>3</v>
      </c>
      <c r="AE1200">
        <v>6</v>
      </c>
      <c r="AF1200">
        <v>5</v>
      </c>
      <c r="AG1200">
        <v>1</v>
      </c>
      <c r="AH1200">
        <v>2</v>
      </c>
      <c r="AI1200" t="str">
        <f t="shared" si="72"/>
        <v>6-10 Years</v>
      </c>
      <c r="AJ1200" t="str">
        <f t="shared" si="73"/>
        <v>0-2</v>
      </c>
    </row>
    <row r="1201" spans="1:36" x14ac:dyDescent="0.35">
      <c r="A1201">
        <v>1200</v>
      </c>
      <c r="B1201">
        <v>36</v>
      </c>
      <c r="C1201" t="str">
        <f t="shared" si="74"/>
        <v>36-45</v>
      </c>
      <c r="D1201" t="s">
        <v>38</v>
      </c>
      <c r="E1201" t="s">
        <v>32</v>
      </c>
      <c r="F1201" s="3">
        <v>1389</v>
      </c>
      <c r="G1201" t="s">
        <v>40</v>
      </c>
      <c r="H1201" s="1">
        <v>26</v>
      </c>
      <c r="I1201" t="s">
        <v>60</v>
      </c>
      <c r="J1201" t="s">
        <v>34</v>
      </c>
      <c r="K1201" t="s">
        <v>59</v>
      </c>
      <c r="L1201" t="s">
        <v>41</v>
      </c>
      <c r="M1201" s="3">
        <v>80</v>
      </c>
      <c r="N1201" t="s">
        <v>60</v>
      </c>
      <c r="O1201" t="s">
        <v>61</v>
      </c>
      <c r="P1201" t="s">
        <v>49</v>
      </c>
      <c r="Q1201" t="s">
        <v>60</v>
      </c>
      <c r="R1201" t="s">
        <v>43</v>
      </c>
      <c r="S1201" s="3">
        <v>5347</v>
      </c>
      <c r="T1201" s="3">
        <v>7419</v>
      </c>
      <c r="U1201" s="3" t="str">
        <f t="shared" si="75"/>
        <v>Medium</v>
      </c>
      <c r="V1201">
        <v>6</v>
      </c>
      <c r="W1201" t="s">
        <v>38</v>
      </c>
      <c r="X1201" s="2">
        <v>14</v>
      </c>
      <c r="Y1201" t="s">
        <v>60</v>
      </c>
      <c r="Z1201" t="s">
        <v>61</v>
      </c>
      <c r="AA1201">
        <v>2</v>
      </c>
      <c r="AB1201">
        <v>10</v>
      </c>
      <c r="AC1201">
        <v>2</v>
      </c>
      <c r="AD1201">
        <v>2</v>
      </c>
      <c r="AE1201">
        <v>3</v>
      </c>
      <c r="AF1201">
        <v>2</v>
      </c>
      <c r="AG1201">
        <v>0</v>
      </c>
      <c r="AH1201">
        <v>2</v>
      </c>
      <c r="AI1201" t="str">
        <f t="shared" si="72"/>
        <v>3-5 Years</v>
      </c>
      <c r="AJ1201" t="str">
        <f t="shared" si="73"/>
        <v>0-2</v>
      </c>
    </row>
    <row r="1202" spans="1:36" x14ac:dyDescent="0.35">
      <c r="A1202">
        <v>1201</v>
      </c>
      <c r="B1202">
        <v>44</v>
      </c>
      <c r="C1202" t="str">
        <f t="shared" si="74"/>
        <v>36-45</v>
      </c>
      <c r="D1202" t="s">
        <v>38</v>
      </c>
      <c r="E1202" t="s">
        <v>32</v>
      </c>
      <c r="F1202" s="3">
        <v>1389</v>
      </c>
      <c r="G1202" t="s">
        <v>56</v>
      </c>
      <c r="H1202" s="1">
        <v>1</v>
      </c>
      <c r="I1202" t="s">
        <v>61</v>
      </c>
      <c r="J1202" t="s">
        <v>34</v>
      </c>
      <c r="K1202" t="s">
        <v>60</v>
      </c>
      <c r="L1202" t="s">
        <v>35</v>
      </c>
      <c r="M1202" s="3">
        <v>44</v>
      </c>
      <c r="N1202" t="s">
        <v>60</v>
      </c>
      <c r="O1202" t="s">
        <v>59</v>
      </c>
      <c r="P1202" t="s">
        <v>56</v>
      </c>
      <c r="Q1202" t="s">
        <v>62</v>
      </c>
      <c r="R1202" t="s">
        <v>47</v>
      </c>
      <c r="S1202" s="3">
        <v>3195</v>
      </c>
      <c r="T1202" s="3">
        <v>4167</v>
      </c>
      <c r="U1202" s="3" t="str">
        <f t="shared" si="75"/>
        <v>Low</v>
      </c>
      <c r="V1202">
        <v>4</v>
      </c>
      <c r="W1202" t="s">
        <v>31</v>
      </c>
      <c r="X1202" s="2">
        <v>18</v>
      </c>
      <c r="Y1202" t="s">
        <v>60</v>
      </c>
      <c r="Z1202" t="s">
        <v>59</v>
      </c>
      <c r="AA1202">
        <v>3</v>
      </c>
      <c r="AB1202">
        <v>8</v>
      </c>
      <c r="AC1202">
        <v>2</v>
      </c>
      <c r="AD1202">
        <v>3</v>
      </c>
      <c r="AE1202">
        <v>2</v>
      </c>
      <c r="AF1202">
        <v>2</v>
      </c>
      <c r="AG1202">
        <v>2</v>
      </c>
      <c r="AH1202">
        <v>2</v>
      </c>
      <c r="AI1202" t="str">
        <f t="shared" si="72"/>
        <v>0-2 Years</v>
      </c>
      <c r="AJ1202" t="str">
        <f t="shared" si="73"/>
        <v>0-2</v>
      </c>
    </row>
    <row r="1203" spans="1:36" x14ac:dyDescent="0.35">
      <c r="A1203">
        <v>1202</v>
      </c>
      <c r="B1203">
        <v>23</v>
      </c>
      <c r="C1203" t="str">
        <f t="shared" si="74"/>
        <v>18-25</v>
      </c>
      <c r="D1203" t="s">
        <v>31</v>
      </c>
      <c r="E1203" t="s">
        <v>32</v>
      </c>
      <c r="F1203" s="3">
        <v>1389</v>
      </c>
      <c r="G1203" t="s">
        <v>40</v>
      </c>
      <c r="H1203" s="1">
        <v>8</v>
      </c>
      <c r="I1203" t="s">
        <v>59</v>
      </c>
      <c r="J1203" t="s">
        <v>46</v>
      </c>
      <c r="K1203" t="s">
        <v>62</v>
      </c>
      <c r="L1203" t="s">
        <v>41</v>
      </c>
      <c r="M1203" s="3">
        <v>93</v>
      </c>
      <c r="N1203" t="s">
        <v>61</v>
      </c>
      <c r="O1203" t="s">
        <v>59</v>
      </c>
      <c r="P1203" t="s">
        <v>45</v>
      </c>
      <c r="Q1203" t="s">
        <v>60</v>
      </c>
      <c r="R1203" t="s">
        <v>37</v>
      </c>
      <c r="S1203" s="3">
        <v>3989</v>
      </c>
      <c r="T1203" s="3">
        <v>20586</v>
      </c>
      <c r="U1203" s="3" t="str">
        <f t="shared" si="75"/>
        <v>Low</v>
      </c>
      <c r="V1203">
        <v>1</v>
      </c>
      <c r="W1203" t="s">
        <v>31</v>
      </c>
      <c r="X1203" s="2">
        <v>11</v>
      </c>
      <c r="Y1203" t="s">
        <v>60</v>
      </c>
      <c r="Z1203" t="s">
        <v>59</v>
      </c>
      <c r="AA1203">
        <v>0</v>
      </c>
      <c r="AB1203">
        <v>5</v>
      </c>
      <c r="AC1203">
        <v>2</v>
      </c>
      <c r="AD1203">
        <v>3</v>
      </c>
      <c r="AE1203">
        <v>5</v>
      </c>
      <c r="AF1203">
        <v>4</v>
      </c>
      <c r="AG1203">
        <v>1</v>
      </c>
      <c r="AH1203">
        <v>2</v>
      </c>
      <c r="AI1203" t="str">
        <f t="shared" si="72"/>
        <v>3-5 Years</v>
      </c>
      <c r="AJ1203" t="str">
        <f t="shared" si="73"/>
        <v>0-2</v>
      </c>
    </row>
    <row r="1204" spans="1:36" x14ac:dyDescent="0.35">
      <c r="A1204">
        <v>1203</v>
      </c>
      <c r="B1204">
        <v>38</v>
      </c>
      <c r="C1204" t="str">
        <f t="shared" si="74"/>
        <v>36-45</v>
      </c>
      <c r="D1204" t="s">
        <v>38</v>
      </c>
      <c r="E1204" t="s">
        <v>32</v>
      </c>
      <c r="F1204" s="3">
        <v>1389</v>
      </c>
      <c r="G1204" t="s">
        <v>40</v>
      </c>
      <c r="H1204" s="1">
        <v>4</v>
      </c>
      <c r="I1204" t="s">
        <v>58</v>
      </c>
      <c r="J1204" t="s">
        <v>46</v>
      </c>
      <c r="K1204" t="s">
        <v>62</v>
      </c>
      <c r="L1204" t="s">
        <v>35</v>
      </c>
      <c r="M1204" s="3">
        <v>87</v>
      </c>
      <c r="N1204" t="s">
        <v>60</v>
      </c>
      <c r="O1204" t="s">
        <v>59</v>
      </c>
      <c r="P1204" t="s">
        <v>45</v>
      </c>
      <c r="Q1204" t="s">
        <v>60</v>
      </c>
      <c r="R1204" t="s">
        <v>43</v>
      </c>
      <c r="S1204" s="3">
        <v>3306</v>
      </c>
      <c r="T1204" s="3">
        <v>26176</v>
      </c>
      <c r="U1204" s="3" t="str">
        <f t="shared" si="75"/>
        <v>Low</v>
      </c>
      <c r="V1204">
        <v>7</v>
      </c>
      <c r="W1204" t="s">
        <v>38</v>
      </c>
      <c r="X1204" s="2">
        <v>19</v>
      </c>
      <c r="Y1204" t="s">
        <v>60</v>
      </c>
      <c r="Z1204" t="s">
        <v>62</v>
      </c>
      <c r="AA1204">
        <v>1</v>
      </c>
      <c r="AB1204">
        <v>7</v>
      </c>
      <c r="AC1204">
        <v>5</v>
      </c>
      <c r="AD1204">
        <v>2</v>
      </c>
      <c r="AE1204">
        <v>0</v>
      </c>
      <c r="AF1204">
        <v>0</v>
      </c>
      <c r="AG1204">
        <v>0</v>
      </c>
      <c r="AH1204">
        <v>0</v>
      </c>
      <c r="AI1204" t="str">
        <f t="shared" si="72"/>
        <v>0-2 Years</v>
      </c>
      <c r="AJ1204" t="str">
        <f t="shared" si="73"/>
        <v>0-2</v>
      </c>
    </row>
    <row r="1205" spans="1:36" x14ac:dyDescent="0.35">
      <c r="A1205">
        <v>1204</v>
      </c>
      <c r="B1205">
        <v>53</v>
      </c>
      <c r="C1205" t="str">
        <f t="shared" si="74"/>
        <v>46-55</v>
      </c>
      <c r="D1205" t="s">
        <v>38</v>
      </c>
      <c r="E1205" t="s">
        <v>32</v>
      </c>
      <c r="F1205" s="3">
        <v>1389</v>
      </c>
      <c r="G1205" t="s">
        <v>40</v>
      </c>
      <c r="H1205" s="1">
        <v>24</v>
      </c>
      <c r="I1205" t="s">
        <v>60</v>
      </c>
      <c r="J1205" t="s">
        <v>46</v>
      </c>
      <c r="K1205" t="s">
        <v>61</v>
      </c>
      <c r="L1205" t="s">
        <v>41</v>
      </c>
      <c r="M1205" s="3">
        <v>48</v>
      </c>
      <c r="N1205" t="s">
        <v>62</v>
      </c>
      <c r="O1205" t="s">
        <v>60</v>
      </c>
      <c r="P1205" t="s">
        <v>49</v>
      </c>
      <c r="Q1205" t="s">
        <v>62</v>
      </c>
      <c r="R1205" t="s">
        <v>43</v>
      </c>
      <c r="S1205" s="3">
        <v>7005</v>
      </c>
      <c r="T1205" s="3">
        <v>3458</v>
      </c>
      <c r="U1205" s="3" t="str">
        <f t="shared" si="75"/>
        <v>Medium</v>
      </c>
      <c r="V1205">
        <v>3</v>
      </c>
      <c r="W1205" t="s">
        <v>38</v>
      </c>
      <c r="X1205" s="2">
        <v>15</v>
      </c>
      <c r="Y1205" t="s">
        <v>60</v>
      </c>
      <c r="Z1205" t="s">
        <v>60</v>
      </c>
      <c r="AA1205">
        <v>0</v>
      </c>
      <c r="AB1205">
        <v>11</v>
      </c>
      <c r="AC1205">
        <v>2</v>
      </c>
      <c r="AD1205">
        <v>3</v>
      </c>
      <c r="AE1205">
        <v>4</v>
      </c>
      <c r="AF1205">
        <v>3</v>
      </c>
      <c r="AG1205">
        <v>1</v>
      </c>
      <c r="AH1205">
        <v>2</v>
      </c>
      <c r="AI1205" t="str">
        <f t="shared" si="72"/>
        <v>3-5 Years</v>
      </c>
      <c r="AJ1205" t="str">
        <f t="shared" si="73"/>
        <v>0-2</v>
      </c>
    </row>
    <row r="1206" spans="1:36" x14ac:dyDescent="0.35">
      <c r="A1206">
        <v>1205</v>
      </c>
      <c r="B1206">
        <v>48</v>
      </c>
      <c r="C1206" t="str">
        <f t="shared" si="74"/>
        <v>46-55</v>
      </c>
      <c r="D1206" t="s">
        <v>31</v>
      </c>
      <c r="E1206" t="s">
        <v>39</v>
      </c>
      <c r="F1206" s="3">
        <v>1389</v>
      </c>
      <c r="G1206" t="s">
        <v>33</v>
      </c>
      <c r="H1206" s="1">
        <v>7</v>
      </c>
      <c r="I1206" t="s">
        <v>58</v>
      </c>
      <c r="J1206" t="s">
        <v>46</v>
      </c>
      <c r="K1206" t="s">
        <v>62</v>
      </c>
      <c r="L1206" t="s">
        <v>35</v>
      </c>
      <c r="M1206" s="3">
        <v>95</v>
      </c>
      <c r="N1206" t="s">
        <v>60</v>
      </c>
      <c r="O1206" t="s">
        <v>59</v>
      </c>
      <c r="P1206" t="s">
        <v>52</v>
      </c>
      <c r="Q1206" t="s">
        <v>60</v>
      </c>
      <c r="R1206" t="s">
        <v>43</v>
      </c>
      <c r="S1206" s="3">
        <v>2655</v>
      </c>
      <c r="T1206" s="3">
        <v>11740</v>
      </c>
      <c r="U1206" s="3" t="str">
        <f t="shared" si="75"/>
        <v>Low</v>
      </c>
      <c r="V1206">
        <v>2</v>
      </c>
      <c r="W1206" t="s">
        <v>31</v>
      </c>
      <c r="X1206" s="2">
        <v>11</v>
      </c>
      <c r="Y1206" t="s">
        <v>60</v>
      </c>
      <c r="Z1206" t="s">
        <v>60</v>
      </c>
      <c r="AA1206">
        <v>2</v>
      </c>
      <c r="AB1206">
        <v>19</v>
      </c>
      <c r="AC1206">
        <v>3</v>
      </c>
      <c r="AD1206">
        <v>3</v>
      </c>
      <c r="AE1206">
        <v>9</v>
      </c>
      <c r="AF1206">
        <v>7</v>
      </c>
      <c r="AG1206">
        <v>7</v>
      </c>
      <c r="AH1206">
        <v>7</v>
      </c>
      <c r="AI1206" t="str">
        <f t="shared" si="72"/>
        <v>6-10 Years</v>
      </c>
      <c r="AJ1206" t="str">
        <f t="shared" si="73"/>
        <v>6+</v>
      </c>
    </row>
    <row r="1207" spans="1:36" x14ac:dyDescent="0.35">
      <c r="A1207">
        <v>1206</v>
      </c>
      <c r="B1207">
        <v>32</v>
      </c>
      <c r="C1207" t="str">
        <f t="shared" si="74"/>
        <v>26-35</v>
      </c>
      <c r="D1207" t="s">
        <v>31</v>
      </c>
      <c r="E1207" t="s">
        <v>32</v>
      </c>
      <c r="F1207" s="3">
        <v>1389</v>
      </c>
      <c r="G1207" t="s">
        <v>40</v>
      </c>
      <c r="H1207" s="1">
        <v>2</v>
      </c>
      <c r="I1207" t="s">
        <v>60</v>
      </c>
      <c r="J1207" t="s">
        <v>34</v>
      </c>
      <c r="K1207" t="s">
        <v>62</v>
      </c>
      <c r="L1207" t="s">
        <v>41</v>
      </c>
      <c r="M1207" s="3">
        <v>95</v>
      </c>
      <c r="N1207" t="s">
        <v>60</v>
      </c>
      <c r="O1207" t="s">
        <v>59</v>
      </c>
      <c r="P1207" t="s">
        <v>45</v>
      </c>
      <c r="Q1207" t="s">
        <v>61</v>
      </c>
      <c r="R1207" t="s">
        <v>37</v>
      </c>
      <c r="S1207" s="3">
        <v>1393</v>
      </c>
      <c r="T1207" s="3">
        <v>24852</v>
      </c>
      <c r="U1207" s="3" t="str">
        <f t="shared" si="75"/>
        <v>Low</v>
      </c>
      <c r="V1207">
        <v>1</v>
      </c>
      <c r="W1207" t="s">
        <v>38</v>
      </c>
      <c r="X1207" s="2">
        <v>12</v>
      </c>
      <c r="Y1207" t="s">
        <v>60</v>
      </c>
      <c r="Z1207" t="s">
        <v>59</v>
      </c>
      <c r="AA1207">
        <v>0</v>
      </c>
      <c r="AB1207">
        <v>1</v>
      </c>
      <c r="AC1207">
        <v>2</v>
      </c>
      <c r="AD1207">
        <v>3</v>
      </c>
      <c r="AE1207">
        <v>1</v>
      </c>
      <c r="AF1207">
        <v>0</v>
      </c>
      <c r="AG1207">
        <v>0</v>
      </c>
      <c r="AH1207">
        <v>0</v>
      </c>
      <c r="AI1207" t="str">
        <f t="shared" si="72"/>
        <v>0-2 Years</v>
      </c>
      <c r="AJ1207" t="str">
        <f t="shared" si="73"/>
        <v>0-2</v>
      </c>
    </row>
    <row r="1208" spans="1:36" x14ac:dyDescent="0.35">
      <c r="A1208">
        <v>1207</v>
      </c>
      <c r="B1208">
        <v>26</v>
      </c>
      <c r="C1208" t="str">
        <f t="shared" si="74"/>
        <v>26-35</v>
      </c>
      <c r="D1208" t="s">
        <v>38</v>
      </c>
      <c r="E1208" t="s">
        <v>50</v>
      </c>
      <c r="F1208" s="3">
        <v>1389</v>
      </c>
      <c r="G1208" t="s">
        <v>40</v>
      </c>
      <c r="H1208" s="1">
        <v>7</v>
      </c>
      <c r="I1208" t="s">
        <v>61</v>
      </c>
      <c r="J1208" t="s">
        <v>46</v>
      </c>
      <c r="K1208" t="s">
        <v>62</v>
      </c>
      <c r="L1208" t="s">
        <v>41</v>
      </c>
      <c r="M1208" s="3">
        <v>76</v>
      </c>
      <c r="N1208" t="s">
        <v>60</v>
      </c>
      <c r="O1208" t="s">
        <v>59</v>
      </c>
      <c r="P1208" t="s">
        <v>45</v>
      </c>
      <c r="Q1208" t="s">
        <v>62</v>
      </c>
      <c r="R1208" t="s">
        <v>37</v>
      </c>
      <c r="S1208" s="3">
        <v>2570</v>
      </c>
      <c r="T1208" s="3">
        <v>11925</v>
      </c>
      <c r="U1208" s="3" t="str">
        <f t="shared" si="75"/>
        <v>Low</v>
      </c>
      <c r="V1208">
        <v>1</v>
      </c>
      <c r="W1208" t="s">
        <v>38</v>
      </c>
      <c r="X1208" s="2">
        <v>20</v>
      </c>
      <c r="Y1208" t="s">
        <v>62</v>
      </c>
      <c r="Z1208" t="s">
        <v>60</v>
      </c>
      <c r="AA1208">
        <v>0</v>
      </c>
      <c r="AB1208">
        <v>7</v>
      </c>
      <c r="AC1208">
        <v>5</v>
      </c>
      <c r="AD1208">
        <v>3</v>
      </c>
      <c r="AE1208">
        <v>7</v>
      </c>
      <c r="AF1208">
        <v>7</v>
      </c>
      <c r="AG1208">
        <v>5</v>
      </c>
      <c r="AH1208">
        <v>7</v>
      </c>
      <c r="AI1208" t="str">
        <f t="shared" si="72"/>
        <v>6-10 Years</v>
      </c>
      <c r="AJ1208" t="str">
        <f t="shared" si="73"/>
        <v>3-5</v>
      </c>
    </row>
    <row r="1209" spans="1:36" x14ac:dyDescent="0.35">
      <c r="A1209">
        <v>1208</v>
      </c>
      <c r="B1209">
        <v>55</v>
      </c>
      <c r="C1209" t="str">
        <f t="shared" si="74"/>
        <v>46-55</v>
      </c>
      <c r="D1209" t="s">
        <v>38</v>
      </c>
      <c r="E1209" t="s">
        <v>32</v>
      </c>
      <c r="F1209" s="3">
        <v>1389</v>
      </c>
      <c r="G1209" t="s">
        <v>40</v>
      </c>
      <c r="H1209" s="1">
        <v>22</v>
      </c>
      <c r="I1209" t="s">
        <v>61</v>
      </c>
      <c r="J1209" t="s">
        <v>55</v>
      </c>
      <c r="K1209" t="s">
        <v>59</v>
      </c>
      <c r="L1209" t="s">
        <v>41</v>
      </c>
      <c r="M1209" s="3">
        <v>94</v>
      </c>
      <c r="N1209" t="s">
        <v>61</v>
      </c>
      <c r="O1209" t="s">
        <v>59</v>
      </c>
      <c r="P1209" t="s">
        <v>42</v>
      </c>
      <c r="Q1209" t="s">
        <v>61</v>
      </c>
      <c r="R1209" t="s">
        <v>47</v>
      </c>
      <c r="S1209" s="3">
        <v>3537</v>
      </c>
      <c r="T1209" s="3">
        <v>23737</v>
      </c>
      <c r="U1209" s="3" t="str">
        <f t="shared" si="75"/>
        <v>Low</v>
      </c>
      <c r="V1209">
        <v>5</v>
      </c>
      <c r="W1209" t="s">
        <v>38</v>
      </c>
      <c r="X1209" s="2">
        <v>12</v>
      </c>
      <c r="Y1209" t="s">
        <v>60</v>
      </c>
      <c r="Z1209" t="s">
        <v>62</v>
      </c>
      <c r="AA1209">
        <v>1</v>
      </c>
      <c r="AB1209">
        <v>8</v>
      </c>
      <c r="AC1209">
        <v>1</v>
      </c>
      <c r="AD1209">
        <v>3</v>
      </c>
      <c r="AE1209">
        <v>4</v>
      </c>
      <c r="AF1209">
        <v>2</v>
      </c>
      <c r="AG1209">
        <v>1</v>
      </c>
      <c r="AH1209">
        <v>2</v>
      </c>
      <c r="AI1209" t="str">
        <f t="shared" si="72"/>
        <v>3-5 Years</v>
      </c>
      <c r="AJ1209" t="str">
        <f t="shared" si="73"/>
        <v>0-2</v>
      </c>
    </row>
    <row r="1210" spans="1:36" x14ac:dyDescent="0.35">
      <c r="A1210">
        <v>1209</v>
      </c>
      <c r="B1210">
        <v>34</v>
      </c>
      <c r="C1210" t="str">
        <f t="shared" si="74"/>
        <v>26-35</v>
      </c>
      <c r="D1210" t="s">
        <v>38</v>
      </c>
      <c r="E1210" t="s">
        <v>32</v>
      </c>
      <c r="F1210" s="3">
        <v>1389</v>
      </c>
      <c r="G1210" t="s">
        <v>40</v>
      </c>
      <c r="H1210" s="1">
        <v>5</v>
      </c>
      <c r="I1210" t="s">
        <v>58</v>
      </c>
      <c r="J1210" t="s">
        <v>46</v>
      </c>
      <c r="K1210" t="s">
        <v>61</v>
      </c>
      <c r="L1210" t="s">
        <v>41</v>
      </c>
      <c r="M1210" s="3">
        <v>57</v>
      </c>
      <c r="N1210" t="s">
        <v>61</v>
      </c>
      <c r="O1210" t="s">
        <v>61</v>
      </c>
      <c r="P1210" t="s">
        <v>45</v>
      </c>
      <c r="Q1210" t="s">
        <v>62</v>
      </c>
      <c r="R1210" t="s">
        <v>43</v>
      </c>
      <c r="S1210" s="3">
        <v>3986</v>
      </c>
      <c r="T1210" s="3">
        <v>11912</v>
      </c>
      <c r="U1210" s="3" t="str">
        <f t="shared" si="75"/>
        <v>Low</v>
      </c>
      <c r="V1210">
        <v>1</v>
      </c>
      <c r="W1210" t="s">
        <v>38</v>
      </c>
      <c r="X1210" s="2">
        <v>14</v>
      </c>
      <c r="Y1210" t="s">
        <v>60</v>
      </c>
      <c r="Z1210" t="s">
        <v>60</v>
      </c>
      <c r="AA1210">
        <v>1</v>
      </c>
      <c r="AB1210">
        <v>15</v>
      </c>
      <c r="AC1210">
        <v>3</v>
      </c>
      <c r="AD1210">
        <v>4</v>
      </c>
      <c r="AE1210">
        <v>15</v>
      </c>
      <c r="AF1210">
        <v>10</v>
      </c>
      <c r="AG1210">
        <v>4</v>
      </c>
      <c r="AH1210">
        <v>13</v>
      </c>
      <c r="AI1210" t="str">
        <f t="shared" si="72"/>
        <v>10+ Years</v>
      </c>
      <c r="AJ1210" t="str">
        <f t="shared" si="73"/>
        <v>3-5</v>
      </c>
    </row>
    <row r="1211" spans="1:36" x14ac:dyDescent="0.35">
      <c r="A1211">
        <v>1210</v>
      </c>
      <c r="B1211">
        <v>60</v>
      </c>
      <c r="C1211" t="str">
        <f t="shared" si="74"/>
        <v>55+</v>
      </c>
      <c r="D1211" t="s">
        <v>38</v>
      </c>
      <c r="E1211" t="s">
        <v>32</v>
      </c>
      <c r="F1211" s="3">
        <v>1389</v>
      </c>
      <c r="G1211" t="s">
        <v>40</v>
      </c>
      <c r="H1211" s="1">
        <v>1</v>
      </c>
      <c r="I1211" t="s">
        <v>60</v>
      </c>
      <c r="J1211" t="s">
        <v>46</v>
      </c>
      <c r="K1211" t="s">
        <v>60</v>
      </c>
      <c r="L1211" t="s">
        <v>41</v>
      </c>
      <c r="M1211" s="3">
        <v>92</v>
      </c>
      <c r="N1211" t="s">
        <v>59</v>
      </c>
      <c r="O1211" t="s">
        <v>60</v>
      </c>
      <c r="P1211" t="s">
        <v>49</v>
      </c>
      <c r="Q1211" t="s">
        <v>62</v>
      </c>
      <c r="R1211" t="s">
        <v>47</v>
      </c>
      <c r="S1211" s="3">
        <v>10883</v>
      </c>
      <c r="T1211" s="3">
        <v>20467</v>
      </c>
      <c r="U1211" s="3" t="str">
        <f t="shared" si="75"/>
        <v>High</v>
      </c>
      <c r="V1211">
        <v>3</v>
      </c>
      <c r="W1211" t="s">
        <v>38</v>
      </c>
      <c r="X1211" s="2">
        <v>20</v>
      </c>
      <c r="Y1211" t="s">
        <v>62</v>
      </c>
      <c r="Z1211" t="s">
        <v>60</v>
      </c>
      <c r="AA1211">
        <v>1</v>
      </c>
      <c r="AB1211">
        <v>19</v>
      </c>
      <c r="AC1211">
        <v>2</v>
      </c>
      <c r="AD1211">
        <v>4</v>
      </c>
      <c r="AE1211">
        <v>1</v>
      </c>
      <c r="AF1211">
        <v>0</v>
      </c>
      <c r="AG1211">
        <v>0</v>
      </c>
      <c r="AH1211">
        <v>0</v>
      </c>
      <c r="AI1211" t="str">
        <f t="shared" si="72"/>
        <v>0-2 Years</v>
      </c>
      <c r="AJ1211" t="str">
        <f t="shared" si="73"/>
        <v>0-2</v>
      </c>
    </row>
    <row r="1212" spans="1:36" x14ac:dyDescent="0.35">
      <c r="A1212">
        <v>1211</v>
      </c>
      <c r="B1212">
        <v>33</v>
      </c>
      <c r="C1212" t="str">
        <f t="shared" si="74"/>
        <v>26-35</v>
      </c>
      <c r="D1212" t="s">
        <v>38</v>
      </c>
      <c r="E1212" t="s">
        <v>32</v>
      </c>
      <c r="F1212" s="3">
        <v>1389</v>
      </c>
      <c r="G1212" t="s">
        <v>40</v>
      </c>
      <c r="H1212" s="1">
        <v>21</v>
      </c>
      <c r="I1212" t="s">
        <v>61</v>
      </c>
      <c r="J1212" t="s">
        <v>46</v>
      </c>
      <c r="K1212" t="s">
        <v>61</v>
      </c>
      <c r="L1212" t="s">
        <v>41</v>
      </c>
      <c r="M1212" s="3">
        <v>79</v>
      </c>
      <c r="N1212" t="s">
        <v>62</v>
      </c>
      <c r="O1212" t="s">
        <v>59</v>
      </c>
      <c r="P1212" t="s">
        <v>45</v>
      </c>
      <c r="Q1212" t="s">
        <v>61</v>
      </c>
      <c r="R1212" t="s">
        <v>43</v>
      </c>
      <c r="S1212" s="3">
        <v>2028</v>
      </c>
      <c r="T1212" s="3">
        <v>13637</v>
      </c>
      <c r="U1212" s="3" t="str">
        <f t="shared" si="75"/>
        <v>Low</v>
      </c>
      <c r="V1212">
        <v>1</v>
      </c>
      <c r="W1212" t="s">
        <v>38</v>
      </c>
      <c r="X1212" s="2">
        <v>18</v>
      </c>
      <c r="Y1212" t="s">
        <v>60</v>
      </c>
      <c r="Z1212" t="s">
        <v>62</v>
      </c>
      <c r="AA1212">
        <v>3</v>
      </c>
      <c r="AB1212">
        <v>14</v>
      </c>
      <c r="AC1212">
        <v>6</v>
      </c>
      <c r="AD1212">
        <v>3</v>
      </c>
      <c r="AE1212">
        <v>14</v>
      </c>
      <c r="AF1212">
        <v>11</v>
      </c>
      <c r="AG1212">
        <v>2</v>
      </c>
      <c r="AH1212">
        <v>13</v>
      </c>
      <c r="AI1212" t="str">
        <f t="shared" si="72"/>
        <v>10+ Years</v>
      </c>
      <c r="AJ1212" t="str">
        <f t="shared" si="73"/>
        <v>0-2</v>
      </c>
    </row>
    <row r="1213" spans="1:36" x14ac:dyDescent="0.35">
      <c r="A1213">
        <v>1212</v>
      </c>
      <c r="B1213">
        <v>37</v>
      </c>
      <c r="C1213" t="str">
        <f t="shared" si="74"/>
        <v>36-45</v>
      </c>
      <c r="D1213" t="s">
        <v>38</v>
      </c>
      <c r="E1213" t="s">
        <v>39</v>
      </c>
      <c r="F1213" s="3">
        <v>1389</v>
      </c>
      <c r="G1213" t="s">
        <v>33</v>
      </c>
      <c r="H1213" s="1">
        <v>1</v>
      </c>
      <c r="I1213" t="s">
        <v>60</v>
      </c>
      <c r="J1213" t="s">
        <v>46</v>
      </c>
      <c r="K1213" t="s">
        <v>60</v>
      </c>
      <c r="L1213" t="s">
        <v>41</v>
      </c>
      <c r="M1213" s="3">
        <v>31</v>
      </c>
      <c r="N1213" t="s">
        <v>59</v>
      </c>
      <c r="O1213" t="s">
        <v>61</v>
      </c>
      <c r="P1213" t="s">
        <v>36</v>
      </c>
      <c r="Q1213" t="s">
        <v>62</v>
      </c>
      <c r="R1213" t="s">
        <v>47</v>
      </c>
      <c r="S1213" s="3">
        <v>9525</v>
      </c>
      <c r="T1213" s="3">
        <v>7677</v>
      </c>
      <c r="U1213" s="3" t="str">
        <f t="shared" si="75"/>
        <v>Medium</v>
      </c>
      <c r="V1213">
        <v>1</v>
      </c>
      <c r="W1213" t="s">
        <v>38</v>
      </c>
      <c r="X1213" s="2">
        <v>14</v>
      </c>
      <c r="Y1213" t="s">
        <v>60</v>
      </c>
      <c r="Z1213" t="s">
        <v>60</v>
      </c>
      <c r="AA1213">
        <v>2</v>
      </c>
      <c r="AB1213">
        <v>6</v>
      </c>
      <c r="AC1213">
        <v>2</v>
      </c>
      <c r="AD1213">
        <v>2</v>
      </c>
      <c r="AE1213">
        <v>6</v>
      </c>
      <c r="AF1213">
        <v>3</v>
      </c>
      <c r="AG1213">
        <v>1</v>
      </c>
      <c r="AH1213">
        <v>3</v>
      </c>
      <c r="AI1213" t="str">
        <f t="shared" si="72"/>
        <v>6-10 Years</v>
      </c>
      <c r="AJ1213" t="str">
        <f t="shared" si="73"/>
        <v>0-2</v>
      </c>
    </row>
    <row r="1214" spans="1:36" x14ac:dyDescent="0.35">
      <c r="A1214">
        <v>1213</v>
      </c>
      <c r="B1214">
        <v>34</v>
      </c>
      <c r="C1214" t="str">
        <f t="shared" si="74"/>
        <v>26-35</v>
      </c>
      <c r="D1214" t="s">
        <v>38</v>
      </c>
      <c r="E1214" t="s">
        <v>32</v>
      </c>
      <c r="F1214" s="3">
        <v>1389</v>
      </c>
      <c r="G1214" t="s">
        <v>40</v>
      </c>
      <c r="H1214" s="1">
        <v>19</v>
      </c>
      <c r="I1214" t="s">
        <v>61</v>
      </c>
      <c r="J1214" t="s">
        <v>34</v>
      </c>
      <c r="K1214" t="s">
        <v>61</v>
      </c>
      <c r="L1214" t="s">
        <v>35</v>
      </c>
      <c r="M1214" s="3">
        <v>35</v>
      </c>
      <c r="N1214" t="s">
        <v>61</v>
      </c>
      <c r="O1214" t="s">
        <v>59</v>
      </c>
      <c r="P1214" t="s">
        <v>42</v>
      </c>
      <c r="Q1214" t="s">
        <v>62</v>
      </c>
      <c r="R1214" t="s">
        <v>43</v>
      </c>
      <c r="S1214" s="3">
        <v>2929</v>
      </c>
      <c r="T1214" s="3">
        <v>20338</v>
      </c>
      <c r="U1214" s="3" t="str">
        <f t="shared" si="75"/>
        <v>Low</v>
      </c>
      <c r="V1214">
        <v>1</v>
      </c>
      <c r="W1214" t="s">
        <v>38</v>
      </c>
      <c r="X1214" s="2">
        <v>12</v>
      </c>
      <c r="Y1214" t="s">
        <v>60</v>
      </c>
      <c r="Z1214" t="s">
        <v>61</v>
      </c>
      <c r="AA1214">
        <v>0</v>
      </c>
      <c r="AB1214">
        <v>10</v>
      </c>
      <c r="AC1214">
        <v>3</v>
      </c>
      <c r="AD1214">
        <v>3</v>
      </c>
      <c r="AE1214">
        <v>10</v>
      </c>
      <c r="AF1214">
        <v>9</v>
      </c>
      <c r="AG1214">
        <v>8</v>
      </c>
      <c r="AH1214">
        <v>7</v>
      </c>
      <c r="AI1214" t="str">
        <f t="shared" si="72"/>
        <v>6-10 Years</v>
      </c>
      <c r="AJ1214" t="str">
        <f t="shared" si="73"/>
        <v>6+</v>
      </c>
    </row>
    <row r="1215" spans="1:36" x14ac:dyDescent="0.35">
      <c r="A1215">
        <v>1214</v>
      </c>
      <c r="B1215">
        <v>23</v>
      </c>
      <c r="C1215" t="str">
        <f t="shared" si="74"/>
        <v>18-25</v>
      </c>
      <c r="D1215" t="s">
        <v>31</v>
      </c>
      <c r="E1215" t="s">
        <v>32</v>
      </c>
      <c r="F1215" s="3">
        <v>1389</v>
      </c>
      <c r="G1215" t="s">
        <v>33</v>
      </c>
      <c r="H1215" s="1">
        <v>7</v>
      </c>
      <c r="I1215" t="s">
        <v>61</v>
      </c>
      <c r="J1215" t="s">
        <v>34</v>
      </c>
      <c r="K1215" t="s">
        <v>60</v>
      </c>
      <c r="L1215" t="s">
        <v>41</v>
      </c>
      <c r="M1215" s="3">
        <v>99</v>
      </c>
      <c r="N1215" t="s">
        <v>60</v>
      </c>
      <c r="O1215" t="s">
        <v>59</v>
      </c>
      <c r="P1215" t="s">
        <v>52</v>
      </c>
      <c r="Q1215" t="s">
        <v>62</v>
      </c>
      <c r="R1215" t="s">
        <v>47</v>
      </c>
      <c r="S1215" s="3">
        <v>2275</v>
      </c>
      <c r="T1215" s="3">
        <v>25103</v>
      </c>
      <c r="U1215" s="3" t="str">
        <f t="shared" si="75"/>
        <v>Low</v>
      </c>
      <c r="V1215">
        <v>1</v>
      </c>
      <c r="W1215" t="s">
        <v>31</v>
      </c>
      <c r="X1215" s="2">
        <v>21</v>
      </c>
      <c r="Y1215" t="s">
        <v>62</v>
      </c>
      <c r="Z1215" t="s">
        <v>61</v>
      </c>
      <c r="AA1215">
        <v>1</v>
      </c>
      <c r="AB1215">
        <v>3</v>
      </c>
      <c r="AC1215">
        <v>2</v>
      </c>
      <c r="AD1215">
        <v>3</v>
      </c>
      <c r="AE1215">
        <v>3</v>
      </c>
      <c r="AF1215">
        <v>2</v>
      </c>
      <c r="AG1215">
        <v>0</v>
      </c>
      <c r="AH1215">
        <v>2</v>
      </c>
      <c r="AI1215" t="str">
        <f t="shared" si="72"/>
        <v>3-5 Years</v>
      </c>
      <c r="AJ1215" t="str">
        <f t="shared" si="73"/>
        <v>0-2</v>
      </c>
    </row>
    <row r="1216" spans="1:36" x14ac:dyDescent="0.35">
      <c r="A1216">
        <v>1215</v>
      </c>
      <c r="B1216">
        <v>44</v>
      </c>
      <c r="C1216" t="str">
        <f t="shared" si="74"/>
        <v>36-45</v>
      </c>
      <c r="D1216" t="s">
        <v>38</v>
      </c>
      <c r="E1216" t="s">
        <v>32</v>
      </c>
      <c r="F1216" s="3">
        <v>1389</v>
      </c>
      <c r="G1216" t="s">
        <v>40</v>
      </c>
      <c r="H1216" s="1">
        <v>2</v>
      </c>
      <c r="I1216" t="s">
        <v>61</v>
      </c>
      <c r="J1216" t="s">
        <v>34</v>
      </c>
      <c r="K1216" t="s">
        <v>60</v>
      </c>
      <c r="L1216" t="s">
        <v>35</v>
      </c>
      <c r="M1216" s="3">
        <v>96</v>
      </c>
      <c r="N1216" t="s">
        <v>62</v>
      </c>
      <c r="O1216" t="s">
        <v>60</v>
      </c>
      <c r="P1216" t="s">
        <v>49</v>
      </c>
      <c r="Q1216" t="s">
        <v>62</v>
      </c>
      <c r="R1216" t="s">
        <v>43</v>
      </c>
      <c r="S1216" s="3">
        <v>7879</v>
      </c>
      <c r="T1216" s="3">
        <v>14810</v>
      </c>
      <c r="U1216" s="3" t="str">
        <f t="shared" si="75"/>
        <v>Medium</v>
      </c>
      <c r="V1216">
        <v>1</v>
      </c>
      <c r="W1216" t="s">
        <v>31</v>
      </c>
      <c r="X1216" s="2">
        <v>19</v>
      </c>
      <c r="Y1216" t="s">
        <v>60</v>
      </c>
      <c r="Z1216" t="s">
        <v>61</v>
      </c>
      <c r="AA1216">
        <v>1</v>
      </c>
      <c r="AB1216">
        <v>9</v>
      </c>
      <c r="AC1216">
        <v>2</v>
      </c>
      <c r="AD1216">
        <v>3</v>
      </c>
      <c r="AE1216">
        <v>8</v>
      </c>
      <c r="AF1216">
        <v>7</v>
      </c>
      <c r="AG1216">
        <v>6</v>
      </c>
      <c r="AH1216">
        <v>7</v>
      </c>
      <c r="AI1216" t="str">
        <f t="shared" si="72"/>
        <v>6-10 Years</v>
      </c>
      <c r="AJ1216" t="str">
        <f t="shared" si="73"/>
        <v>6+</v>
      </c>
    </row>
    <row r="1217" spans="1:36" x14ac:dyDescent="0.35">
      <c r="A1217">
        <v>1216</v>
      </c>
      <c r="B1217">
        <v>35</v>
      </c>
      <c r="C1217" t="str">
        <f t="shared" si="74"/>
        <v>26-35</v>
      </c>
      <c r="D1217" t="s">
        <v>38</v>
      </c>
      <c r="E1217" t="s">
        <v>39</v>
      </c>
      <c r="F1217" s="3">
        <v>1389</v>
      </c>
      <c r="G1217" t="s">
        <v>40</v>
      </c>
      <c r="H1217" s="1">
        <v>2</v>
      </c>
      <c r="I1217" t="s">
        <v>60</v>
      </c>
      <c r="J1217" t="s">
        <v>46</v>
      </c>
      <c r="K1217" t="s">
        <v>59</v>
      </c>
      <c r="L1217" t="s">
        <v>41</v>
      </c>
      <c r="M1217" s="3">
        <v>79</v>
      </c>
      <c r="N1217" t="s">
        <v>61</v>
      </c>
      <c r="O1217" t="s">
        <v>59</v>
      </c>
      <c r="P1217" t="s">
        <v>42</v>
      </c>
      <c r="Q1217" t="s">
        <v>62</v>
      </c>
      <c r="R1217" t="s">
        <v>37</v>
      </c>
      <c r="S1217" s="3">
        <v>4930</v>
      </c>
      <c r="T1217" s="3">
        <v>13970</v>
      </c>
      <c r="U1217" s="3" t="str">
        <f t="shared" si="75"/>
        <v>Low</v>
      </c>
      <c r="V1217">
        <v>0</v>
      </c>
      <c r="W1217" t="s">
        <v>31</v>
      </c>
      <c r="X1217" s="2">
        <v>14</v>
      </c>
      <c r="Y1217" t="s">
        <v>60</v>
      </c>
      <c r="Z1217" t="s">
        <v>60</v>
      </c>
      <c r="AA1217">
        <v>0</v>
      </c>
      <c r="AB1217">
        <v>6</v>
      </c>
      <c r="AC1217">
        <v>2</v>
      </c>
      <c r="AD1217">
        <v>4</v>
      </c>
      <c r="AE1217">
        <v>5</v>
      </c>
      <c r="AF1217">
        <v>4</v>
      </c>
      <c r="AG1217">
        <v>1</v>
      </c>
      <c r="AH1217">
        <v>4</v>
      </c>
      <c r="AI1217" t="str">
        <f t="shared" si="72"/>
        <v>3-5 Years</v>
      </c>
      <c r="AJ1217" t="str">
        <f t="shared" si="73"/>
        <v>0-2</v>
      </c>
    </row>
    <row r="1218" spans="1:36" x14ac:dyDescent="0.35">
      <c r="A1218">
        <v>1217</v>
      </c>
      <c r="B1218">
        <v>43</v>
      </c>
      <c r="C1218" t="str">
        <f t="shared" si="74"/>
        <v>36-45</v>
      </c>
      <c r="D1218" t="s">
        <v>38</v>
      </c>
      <c r="E1218" t="s">
        <v>32</v>
      </c>
      <c r="F1218" s="3">
        <v>1389</v>
      </c>
      <c r="G1218" t="s">
        <v>33</v>
      </c>
      <c r="H1218" s="1">
        <v>2</v>
      </c>
      <c r="I1218" t="s">
        <v>61</v>
      </c>
      <c r="J1218" t="s">
        <v>46</v>
      </c>
      <c r="K1218" t="s">
        <v>62</v>
      </c>
      <c r="L1218" t="s">
        <v>41</v>
      </c>
      <c r="M1218" s="3">
        <v>73</v>
      </c>
      <c r="N1218" t="s">
        <v>60</v>
      </c>
      <c r="O1218" t="s">
        <v>61</v>
      </c>
      <c r="P1218" t="s">
        <v>36</v>
      </c>
      <c r="Q1218" t="s">
        <v>62</v>
      </c>
      <c r="R1218" t="s">
        <v>43</v>
      </c>
      <c r="S1218" s="3">
        <v>7847</v>
      </c>
      <c r="T1218" s="3">
        <v>6069</v>
      </c>
      <c r="U1218" s="3" t="str">
        <f t="shared" si="75"/>
        <v>Medium</v>
      </c>
      <c r="V1218">
        <v>1</v>
      </c>
      <c r="W1218" t="s">
        <v>31</v>
      </c>
      <c r="X1218" s="2">
        <v>17</v>
      </c>
      <c r="Y1218" t="s">
        <v>60</v>
      </c>
      <c r="Z1218" t="s">
        <v>59</v>
      </c>
      <c r="AA1218">
        <v>1</v>
      </c>
      <c r="AB1218">
        <v>10</v>
      </c>
      <c r="AC1218">
        <v>3</v>
      </c>
      <c r="AD1218">
        <v>3</v>
      </c>
      <c r="AE1218">
        <v>10</v>
      </c>
      <c r="AF1218">
        <v>9</v>
      </c>
      <c r="AG1218">
        <v>8</v>
      </c>
      <c r="AH1218">
        <v>8</v>
      </c>
      <c r="AI1218" t="str">
        <f t="shared" ref="AI1218:AI1281" si="76">IF(AE1218&lt;=2,"0-2 Years",
IF(AE1218&lt;=5,"3-5 Years",
IF(AE1218&lt;=10,"6-10 Years","10+ Years")))</f>
        <v>6-10 Years</v>
      </c>
      <c r="AJ1218" t="str">
        <f t="shared" ref="AJ1218:AJ1281" si="77">IF(AG1218&lt;=2,"0-2",
IF(AG1218&lt;=5,"3-5","6+"))</f>
        <v>6+</v>
      </c>
    </row>
    <row r="1219" spans="1:36" x14ac:dyDescent="0.35">
      <c r="A1219">
        <v>1218</v>
      </c>
      <c r="B1219">
        <v>24</v>
      </c>
      <c r="C1219" t="str">
        <f t="shared" ref="C1219:C1282" si="78">IF(B1219&lt;=25,"18-25",
IF(B1219&lt;=35,"26-35",
IF(B1219&lt;=45,"36-45",
IF(B1219&lt;=55,"46-55","55+"))))</f>
        <v>18-25</v>
      </c>
      <c r="D1219" t="s">
        <v>38</v>
      </c>
      <c r="E1219" t="s">
        <v>32</v>
      </c>
      <c r="F1219" s="3">
        <v>1389</v>
      </c>
      <c r="G1219" t="s">
        <v>40</v>
      </c>
      <c r="H1219" s="1">
        <v>9</v>
      </c>
      <c r="I1219" t="s">
        <v>61</v>
      </c>
      <c r="J1219" t="s">
        <v>46</v>
      </c>
      <c r="K1219" t="s">
        <v>60</v>
      </c>
      <c r="L1219" t="s">
        <v>41</v>
      </c>
      <c r="M1219" s="3">
        <v>62</v>
      </c>
      <c r="N1219" t="s">
        <v>62</v>
      </c>
      <c r="O1219" t="s">
        <v>59</v>
      </c>
      <c r="P1219" t="s">
        <v>42</v>
      </c>
      <c r="Q1219" t="s">
        <v>60</v>
      </c>
      <c r="R1219" t="s">
        <v>43</v>
      </c>
      <c r="S1219" s="3">
        <v>4401</v>
      </c>
      <c r="T1219" s="3">
        <v>17616</v>
      </c>
      <c r="U1219" s="3" t="str">
        <f t="shared" ref="U1219:U1282" si="79">_xlfn.IFS(S1219&lt;5000,"Low",S1219&lt;10000,"Medium",S1219&gt;10000,"High")</f>
        <v>Low</v>
      </c>
      <c r="V1219">
        <v>1</v>
      </c>
      <c r="W1219" t="s">
        <v>38</v>
      </c>
      <c r="X1219" s="2">
        <v>16</v>
      </c>
      <c r="Y1219" t="s">
        <v>60</v>
      </c>
      <c r="Z1219" t="s">
        <v>62</v>
      </c>
      <c r="AA1219">
        <v>1</v>
      </c>
      <c r="AB1219">
        <v>5</v>
      </c>
      <c r="AC1219">
        <v>1</v>
      </c>
      <c r="AD1219">
        <v>3</v>
      </c>
      <c r="AE1219">
        <v>5</v>
      </c>
      <c r="AF1219">
        <v>3</v>
      </c>
      <c r="AG1219">
        <v>0</v>
      </c>
      <c r="AH1219">
        <v>4</v>
      </c>
      <c r="AI1219" t="str">
        <f t="shared" si="76"/>
        <v>3-5 Years</v>
      </c>
      <c r="AJ1219" t="str">
        <f t="shared" si="77"/>
        <v>0-2</v>
      </c>
    </row>
    <row r="1220" spans="1:36" x14ac:dyDescent="0.35">
      <c r="A1220">
        <v>1219</v>
      </c>
      <c r="B1220">
        <v>41</v>
      </c>
      <c r="C1220" t="str">
        <f t="shared" si="78"/>
        <v>36-45</v>
      </c>
      <c r="D1220" t="s">
        <v>38</v>
      </c>
      <c r="E1220" t="s">
        <v>32</v>
      </c>
      <c r="F1220" s="3">
        <v>1389</v>
      </c>
      <c r="G1220" t="s">
        <v>33</v>
      </c>
      <c r="H1220" s="1">
        <v>6</v>
      </c>
      <c r="I1220" t="s">
        <v>61</v>
      </c>
      <c r="J1220" t="s">
        <v>54</v>
      </c>
      <c r="K1220" t="s">
        <v>62</v>
      </c>
      <c r="L1220" t="s">
        <v>41</v>
      </c>
      <c r="M1220" s="3">
        <v>35</v>
      </c>
      <c r="N1220" t="s">
        <v>60</v>
      </c>
      <c r="O1220" t="s">
        <v>60</v>
      </c>
      <c r="P1220" t="s">
        <v>36</v>
      </c>
      <c r="Q1220" t="s">
        <v>60</v>
      </c>
      <c r="R1220" t="s">
        <v>37</v>
      </c>
      <c r="S1220" s="3">
        <v>9241</v>
      </c>
      <c r="T1220" s="3">
        <v>15869</v>
      </c>
      <c r="U1220" s="3" t="str">
        <f t="shared" si="79"/>
        <v>Medium</v>
      </c>
      <c r="V1220">
        <v>1</v>
      </c>
      <c r="W1220" t="s">
        <v>38</v>
      </c>
      <c r="X1220" s="2">
        <v>12</v>
      </c>
      <c r="Y1220" t="s">
        <v>60</v>
      </c>
      <c r="Z1220" t="s">
        <v>61</v>
      </c>
      <c r="AA1220">
        <v>0</v>
      </c>
      <c r="AB1220">
        <v>10</v>
      </c>
      <c r="AC1220">
        <v>3</v>
      </c>
      <c r="AD1220">
        <v>3</v>
      </c>
      <c r="AE1220">
        <v>10</v>
      </c>
      <c r="AF1220">
        <v>8</v>
      </c>
      <c r="AG1220">
        <v>8</v>
      </c>
      <c r="AH1220">
        <v>7</v>
      </c>
      <c r="AI1220" t="str">
        <f t="shared" si="76"/>
        <v>6-10 Years</v>
      </c>
      <c r="AJ1220" t="str">
        <f t="shared" si="77"/>
        <v>6+</v>
      </c>
    </row>
    <row r="1221" spans="1:36" x14ac:dyDescent="0.35">
      <c r="A1221">
        <v>1220</v>
      </c>
      <c r="B1221">
        <v>29</v>
      </c>
      <c r="C1221" t="str">
        <f t="shared" si="78"/>
        <v>26-35</v>
      </c>
      <c r="D1221" t="s">
        <v>38</v>
      </c>
      <c r="E1221" t="s">
        <v>32</v>
      </c>
      <c r="F1221" s="3">
        <v>1389</v>
      </c>
      <c r="G1221" t="s">
        <v>40</v>
      </c>
      <c r="H1221" s="1">
        <v>9</v>
      </c>
      <c r="I1221" t="s">
        <v>60</v>
      </c>
      <c r="J1221" t="s">
        <v>46</v>
      </c>
      <c r="K1221" t="s">
        <v>62</v>
      </c>
      <c r="L1221" t="s">
        <v>35</v>
      </c>
      <c r="M1221" s="3">
        <v>43</v>
      </c>
      <c r="N1221" t="s">
        <v>60</v>
      </c>
      <c r="O1221" t="s">
        <v>59</v>
      </c>
      <c r="P1221" t="s">
        <v>45</v>
      </c>
      <c r="Q1221" t="s">
        <v>60</v>
      </c>
      <c r="R1221" t="s">
        <v>43</v>
      </c>
      <c r="S1221" s="3">
        <v>2974</v>
      </c>
      <c r="T1221" s="3">
        <v>25412</v>
      </c>
      <c r="U1221" s="3" t="str">
        <f t="shared" si="79"/>
        <v>Low</v>
      </c>
      <c r="V1221">
        <v>9</v>
      </c>
      <c r="W1221" t="s">
        <v>38</v>
      </c>
      <c r="X1221" s="2">
        <v>17</v>
      </c>
      <c r="Y1221" t="s">
        <v>60</v>
      </c>
      <c r="Z1221" t="s">
        <v>60</v>
      </c>
      <c r="AA1221">
        <v>1</v>
      </c>
      <c r="AB1221">
        <v>9</v>
      </c>
      <c r="AC1221">
        <v>2</v>
      </c>
      <c r="AD1221">
        <v>3</v>
      </c>
      <c r="AE1221">
        <v>5</v>
      </c>
      <c r="AF1221">
        <v>3</v>
      </c>
      <c r="AG1221">
        <v>1</v>
      </c>
      <c r="AH1221">
        <v>2</v>
      </c>
      <c r="AI1221" t="str">
        <f t="shared" si="76"/>
        <v>3-5 Years</v>
      </c>
      <c r="AJ1221" t="str">
        <f t="shared" si="77"/>
        <v>0-2</v>
      </c>
    </row>
    <row r="1222" spans="1:36" x14ac:dyDescent="0.35">
      <c r="A1222">
        <v>1221</v>
      </c>
      <c r="B1222">
        <v>36</v>
      </c>
      <c r="C1222" t="str">
        <f t="shared" si="78"/>
        <v>36-45</v>
      </c>
      <c r="D1222" t="s">
        <v>38</v>
      </c>
      <c r="E1222" t="s">
        <v>32</v>
      </c>
      <c r="F1222" s="3">
        <v>1389</v>
      </c>
      <c r="G1222" t="s">
        <v>33</v>
      </c>
      <c r="H1222" s="1">
        <v>2</v>
      </c>
      <c r="I1222" t="s">
        <v>60</v>
      </c>
      <c r="J1222" t="s">
        <v>34</v>
      </c>
      <c r="K1222" t="s">
        <v>60</v>
      </c>
      <c r="L1222" t="s">
        <v>35</v>
      </c>
      <c r="M1222" s="3">
        <v>51</v>
      </c>
      <c r="N1222" t="s">
        <v>60</v>
      </c>
      <c r="O1222" t="s">
        <v>61</v>
      </c>
      <c r="P1222" t="s">
        <v>52</v>
      </c>
      <c r="Q1222" t="s">
        <v>62</v>
      </c>
      <c r="R1222" t="s">
        <v>37</v>
      </c>
      <c r="S1222" s="3">
        <v>4502</v>
      </c>
      <c r="T1222" s="3">
        <v>7439</v>
      </c>
      <c r="U1222" s="3" t="str">
        <f t="shared" si="79"/>
        <v>Low</v>
      </c>
      <c r="V1222">
        <v>3</v>
      </c>
      <c r="W1222" t="s">
        <v>38</v>
      </c>
      <c r="X1222" s="2">
        <v>15</v>
      </c>
      <c r="Y1222" t="s">
        <v>60</v>
      </c>
      <c r="Z1222" t="s">
        <v>60</v>
      </c>
      <c r="AA1222">
        <v>0</v>
      </c>
      <c r="AB1222">
        <v>17</v>
      </c>
      <c r="AC1222">
        <v>2</v>
      </c>
      <c r="AD1222">
        <v>2</v>
      </c>
      <c r="AE1222">
        <v>13</v>
      </c>
      <c r="AF1222">
        <v>7</v>
      </c>
      <c r="AG1222">
        <v>6</v>
      </c>
      <c r="AH1222">
        <v>7</v>
      </c>
      <c r="AI1222" t="str">
        <f t="shared" si="76"/>
        <v>10+ Years</v>
      </c>
      <c r="AJ1222" t="str">
        <f t="shared" si="77"/>
        <v>6+</v>
      </c>
    </row>
    <row r="1223" spans="1:36" x14ac:dyDescent="0.35">
      <c r="A1223">
        <v>1222</v>
      </c>
      <c r="B1223">
        <v>45</v>
      </c>
      <c r="C1223" t="str">
        <f t="shared" si="78"/>
        <v>36-45</v>
      </c>
      <c r="D1223" t="s">
        <v>38</v>
      </c>
      <c r="E1223" t="s">
        <v>50</v>
      </c>
      <c r="F1223" s="3">
        <v>1389</v>
      </c>
      <c r="G1223" t="s">
        <v>40</v>
      </c>
      <c r="H1223" s="1">
        <v>1</v>
      </c>
      <c r="I1223" t="s">
        <v>59</v>
      </c>
      <c r="J1223" t="s">
        <v>34</v>
      </c>
      <c r="K1223" t="s">
        <v>60</v>
      </c>
      <c r="L1223" t="s">
        <v>41</v>
      </c>
      <c r="M1223" s="3">
        <v>74</v>
      </c>
      <c r="N1223" t="s">
        <v>61</v>
      </c>
      <c r="O1223" t="s">
        <v>60</v>
      </c>
      <c r="P1223" t="s">
        <v>49</v>
      </c>
      <c r="Q1223" t="s">
        <v>60</v>
      </c>
      <c r="R1223" t="s">
        <v>43</v>
      </c>
      <c r="S1223" s="3">
        <v>10748</v>
      </c>
      <c r="T1223" s="3">
        <v>3395</v>
      </c>
      <c r="U1223" s="3" t="str">
        <f t="shared" si="79"/>
        <v>High</v>
      </c>
      <c r="V1223">
        <v>3</v>
      </c>
      <c r="W1223" t="s">
        <v>38</v>
      </c>
      <c r="X1223" s="2">
        <v>23</v>
      </c>
      <c r="Y1223" t="s">
        <v>62</v>
      </c>
      <c r="Z1223" t="s">
        <v>62</v>
      </c>
      <c r="AA1223">
        <v>1</v>
      </c>
      <c r="AB1223">
        <v>25</v>
      </c>
      <c r="AC1223">
        <v>3</v>
      </c>
      <c r="AD1223">
        <v>2</v>
      </c>
      <c r="AE1223">
        <v>23</v>
      </c>
      <c r="AF1223">
        <v>15</v>
      </c>
      <c r="AG1223">
        <v>14</v>
      </c>
      <c r="AH1223">
        <v>4</v>
      </c>
      <c r="AI1223" t="str">
        <f t="shared" si="76"/>
        <v>10+ Years</v>
      </c>
      <c r="AJ1223" t="str">
        <f t="shared" si="77"/>
        <v>6+</v>
      </c>
    </row>
    <row r="1224" spans="1:36" x14ac:dyDescent="0.35">
      <c r="A1224">
        <v>1223</v>
      </c>
      <c r="B1224">
        <v>24</v>
      </c>
      <c r="C1224" t="str">
        <f t="shared" si="78"/>
        <v>18-25</v>
      </c>
      <c r="D1224" t="s">
        <v>31</v>
      </c>
      <c r="E1224" t="s">
        <v>32</v>
      </c>
      <c r="F1224" s="3">
        <v>1389</v>
      </c>
      <c r="G1224" t="s">
        <v>56</v>
      </c>
      <c r="H1224" s="1">
        <v>22</v>
      </c>
      <c r="I1224" t="s">
        <v>59</v>
      </c>
      <c r="J1224" t="s">
        <v>56</v>
      </c>
      <c r="K1224" t="s">
        <v>62</v>
      </c>
      <c r="L1224" t="s">
        <v>41</v>
      </c>
      <c r="M1224" s="3">
        <v>58</v>
      </c>
      <c r="N1224" t="s">
        <v>59</v>
      </c>
      <c r="O1224" t="s">
        <v>59</v>
      </c>
      <c r="P1224" t="s">
        <v>56</v>
      </c>
      <c r="Q1224" t="s">
        <v>60</v>
      </c>
      <c r="R1224" t="s">
        <v>43</v>
      </c>
      <c r="S1224" s="3">
        <v>1555</v>
      </c>
      <c r="T1224" s="3">
        <v>11585</v>
      </c>
      <c r="U1224" s="3" t="str">
        <f t="shared" si="79"/>
        <v>Low</v>
      </c>
      <c r="V1224">
        <v>1</v>
      </c>
      <c r="W1224" t="s">
        <v>38</v>
      </c>
      <c r="X1224" s="2">
        <v>11</v>
      </c>
      <c r="Y1224" t="s">
        <v>60</v>
      </c>
      <c r="Z1224" t="s">
        <v>60</v>
      </c>
      <c r="AA1224">
        <v>1</v>
      </c>
      <c r="AB1224">
        <v>1</v>
      </c>
      <c r="AC1224">
        <v>2</v>
      </c>
      <c r="AD1224">
        <v>3</v>
      </c>
      <c r="AE1224">
        <v>1</v>
      </c>
      <c r="AF1224">
        <v>0</v>
      </c>
      <c r="AG1224">
        <v>0</v>
      </c>
      <c r="AH1224">
        <v>0</v>
      </c>
      <c r="AI1224" t="str">
        <f t="shared" si="76"/>
        <v>0-2 Years</v>
      </c>
      <c r="AJ1224" t="str">
        <f t="shared" si="77"/>
        <v>0-2</v>
      </c>
    </row>
    <row r="1225" spans="1:36" x14ac:dyDescent="0.35">
      <c r="A1225">
        <v>1224</v>
      </c>
      <c r="B1225">
        <v>47</v>
      </c>
      <c r="C1225" t="str">
        <f t="shared" si="78"/>
        <v>46-55</v>
      </c>
      <c r="D1225" t="s">
        <v>31</v>
      </c>
      <c r="E1225" t="s">
        <v>39</v>
      </c>
      <c r="F1225" s="3">
        <v>1389</v>
      </c>
      <c r="G1225" t="s">
        <v>33</v>
      </c>
      <c r="H1225" s="1">
        <v>9</v>
      </c>
      <c r="I1225" t="s">
        <v>61</v>
      </c>
      <c r="J1225" t="s">
        <v>34</v>
      </c>
      <c r="K1225" t="s">
        <v>60</v>
      </c>
      <c r="L1225" t="s">
        <v>41</v>
      </c>
      <c r="M1225" s="3">
        <v>82</v>
      </c>
      <c r="N1225" t="s">
        <v>59</v>
      </c>
      <c r="O1225" t="s">
        <v>62</v>
      </c>
      <c r="P1225" t="s">
        <v>36</v>
      </c>
      <c r="Q1225" t="s">
        <v>60</v>
      </c>
      <c r="R1225" t="s">
        <v>43</v>
      </c>
      <c r="S1225" s="3">
        <v>12936</v>
      </c>
      <c r="T1225" s="3">
        <v>24164</v>
      </c>
      <c r="U1225" s="3" t="str">
        <f t="shared" si="79"/>
        <v>High</v>
      </c>
      <c r="V1225">
        <v>7</v>
      </c>
      <c r="W1225" t="s">
        <v>38</v>
      </c>
      <c r="X1225" s="2">
        <v>11</v>
      </c>
      <c r="Y1225" t="s">
        <v>60</v>
      </c>
      <c r="Z1225" t="s">
        <v>60</v>
      </c>
      <c r="AA1225">
        <v>0</v>
      </c>
      <c r="AB1225">
        <v>25</v>
      </c>
      <c r="AC1225">
        <v>3</v>
      </c>
      <c r="AD1225">
        <v>1</v>
      </c>
      <c r="AE1225">
        <v>23</v>
      </c>
      <c r="AF1225">
        <v>5</v>
      </c>
      <c r="AG1225">
        <v>14</v>
      </c>
      <c r="AH1225">
        <v>10</v>
      </c>
      <c r="AI1225" t="str">
        <f t="shared" si="76"/>
        <v>10+ Years</v>
      </c>
      <c r="AJ1225" t="str">
        <f t="shared" si="77"/>
        <v>6+</v>
      </c>
    </row>
    <row r="1226" spans="1:36" x14ac:dyDescent="0.35">
      <c r="A1226">
        <v>1225</v>
      </c>
      <c r="B1226">
        <v>26</v>
      </c>
      <c r="C1226" t="str">
        <f t="shared" si="78"/>
        <v>26-35</v>
      </c>
      <c r="D1226" t="s">
        <v>38</v>
      </c>
      <c r="E1226" t="s">
        <v>32</v>
      </c>
      <c r="F1226" s="3">
        <v>1389</v>
      </c>
      <c r="G1226" t="s">
        <v>40</v>
      </c>
      <c r="H1226" s="1">
        <v>17</v>
      </c>
      <c r="I1226" t="s">
        <v>60</v>
      </c>
      <c r="J1226" t="s">
        <v>46</v>
      </c>
      <c r="K1226" t="s">
        <v>62</v>
      </c>
      <c r="L1226" t="s">
        <v>41</v>
      </c>
      <c r="M1226" s="3">
        <v>62</v>
      </c>
      <c r="N1226" t="s">
        <v>59</v>
      </c>
      <c r="O1226" t="s">
        <v>59</v>
      </c>
      <c r="P1226" t="s">
        <v>45</v>
      </c>
      <c r="Q1226" t="s">
        <v>60</v>
      </c>
      <c r="R1226" t="s">
        <v>43</v>
      </c>
      <c r="S1226" s="3">
        <v>2305</v>
      </c>
      <c r="T1226" s="3">
        <v>6217</v>
      </c>
      <c r="U1226" s="3" t="str">
        <f t="shared" si="79"/>
        <v>Low</v>
      </c>
      <c r="V1226">
        <v>1</v>
      </c>
      <c r="W1226" t="s">
        <v>38</v>
      </c>
      <c r="X1226" s="2">
        <v>15</v>
      </c>
      <c r="Y1226" t="s">
        <v>60</v>
      </c>
      <c r="Z1226" t="s">
        <v>60</v>
      </c>
      <c r="AA1226">
        <v>3</v>
      </c>
      <c r="AB1226">
        <v>3</v>
      </c>
      <c r="AC1226">
        <v>3</v>
      </c>
      <c r="AD1226">
        <v>4</v>
      </c>
      <c r="AE1226">
        <v>3</v>
      </c>
      <c r="AF1226">
        <v>2</v>
      </c>
      <c r="AG1226">
        <v>0</v>
      </c>
      <c r="AH1226">
        <v>2</v>
      </c>
      <c r="AI1226" t="str">
        <f t="shared" si="76"/>
        <v>3-5 Years</v>
      </c>
      <c r="AJ1226" t="str">
        <f t="shared" si="77"/>
        <v>0-2</v>
      </c>
    </row>
    <row r="1227" spans="1:36" x14ac:dyDescent="0.35">
      <c r="A1227">
        <v>1226</v>
      </c>
      <c r="B1227">
        <v>45</v>
      </c>
      <c r="C1227" t="str">
        <f t="shared" si="78"/>
        <v>36-45</v>
      </c>
      <c r="D1227" t="s">
        <v>38</v>
      </c>
      <c r="E1227" t="s">
        <v>32</v>
      </c>
      <c r="F1227" s="3">
        <v>1389</v>
      </c>
      <c r="G1227" t="s">
        <v>40</v>
      </c>
      <c r="H1227" s="1">
        <v>28</v>
      </c>
      <c r="I1227" t="s">
        <v>58</v>
      </c>
      <c r="J1227" t="s">
        <v>55</v>
      </c>
      <c r="K1227" t="s">
        <v>62</v>
      </c>
      <c r="L1227" t="s">
        <v>35</v>
      </c>
      <c r="M1227" s="3">
        <v>48</v>
      </c>
      <c r="N1227" t="s">
        <v>61</v>
      </c>
      <c r="O1227" t="s">
        <v>62</v>
      </c>
      <c r="P1227" t="s">
        <v>53</v>
      </c>
      <c r="Q1227" t="s">
        <v>61</v>
      </c>
      <c r="R1227" t="s">
        <v>37</v>
      </c>
      <c r="S1227" s="3">
        <v>16704</v>
      </c>
      <c r="T1227" s="3">
        <v>17119</v>
      </c>
      <c r="U1227" s="3" t="str">
        <f t="shared" si="79"/>
        <v>High</v>
      </c>
      <c r="V1227">
        <v>1</v>
      </c>
      <c r="W1227" t="s">
        <v>38</v>
      </c>
      <c r="X1227" s="2">
        <v>11</v>
      </c>
      <c r="Y1227" t="s">
        <v>60</v>
      </c>
      <c r="Z1227" t="s">
        <v>60</v>
      </c>
      <c r="AA1227">
        <v>0</v>
      </c>
      <c r="AB1227">
        <v>21</v>
      </c>
      <c r="AC1227">
        <v>2</v>
      </c>
      <c r="AD1227">
        <v>3</v>
      </c>
      <c r="AE1227">
        <v>21</v>
      </c>
      <c r="AF1227">
        <v>6</v>
      </c>
      <c r="AG1227">
        <v>8</v>
      </c>
      <c r="AH1227">
        <v>6</v>
      </c>
      <c r="AI1227" t="str">
        <f t="shared" si="76"/>
        <v>10+ Years</v>
      </c>
      <c r="AJ1227" t="str">
        <f t="shared" si="77"/>
        <v>6+</v>
      </c>
    </row>
    <row r="1228" spans="1:36" x14ac:dyDescent="0.35">
      <c r="A1228">
        <v>1227</v>
      </c>
      <c r="B1228">
        <v>32</v>
      </c>
      <c r="C1228" t="str">
        <f t="shared" si="78"/>
        <v>26-35</v>
      </c>
      <c r="D1228" t="s">
        <v>38</v>
      </c>
      <c r="E1228" t="s">
        <v>39</v>
      </c>
      <c r="F1228" s="3">
        <v>1389</v>
      </c>
      <c r="G1228" t="s">
        <v>40</v>
      </c>
      <c r="H1228" s="1">
        <v>10</v>
      </c>
      <c r="I1228" t="s">
        <v>61</v>
      </c>
      <c r="J1228" t="s">
        <v>34</v>
      </c>
      <c r="K1228" t="s">
        <v>59</v>
      </c>
      <c r="L1228" t="s">
        <v>41</v>
      </c>
      <c r="M1228" s="3">
        <v>56</v>
      </c>
      <c r="N1228" t="s">
        <v>60</v>
      </c>
      <c r="O1228" t="s">
        <v>59</v>
      </c>
      <c r="P1228" t="s">
        <v>42</v>
      </c>
      <c r="Q1228" t="s">
        <v>60</v>
      </c>
      <c r="R1228" t="s">
        <v>43</v>
      </c>
      <c r="S1228" s="3">
        <v>3433</v>
      </c>
      <c r="T1228" s="3">
        <v>17360</v>
      </c>
      <c r="U1228" s="3" t="str">
        <f t="shared" si="79"/>
        <v>Low</v>
      </c>
      <c r="V1228">
        <v>6</v>
      </c>
      <c r="W1228" t="s">
        <v>38</v>
      </c>
      <c r="X1228" s="2">
        <v>13</v>
      </c>
      <c r="Y1228" t="s">
        <v>60</v>
      </c>
      <c r="Z1228" t="s">
        <v>59</v>
      </c>
      <c r="AA1228">
        <v>1</v>
      </c>
      <c r="AB1228">
        <v>10</v>
      </c>
      <c r="AC1228">
        <v>3</v>
      </c>
      <c r="AD1228">
        <v>2</v>
      </c>
      <c r="AE1228">
        <v>5</v>
      </c>
      <c r="AF1228">
        <v>2</v>
      </c>
      <c r="AG1228">
        <v>1</v>
      </c>
      <c r="AH1228">
        <v>3</v>
      </c>
      <c r="AI1228" t="str">
        <f t="shared" si="76"/>
        <v>3-5 Years</v>
      </c>
      <c r="AJ1228" t="str">
        <f t="shared" si="77"/>
        <v>0-2</v>
      </c>
    </row>
    <row r="1229" spans="1:36" x14ac:dyDescent="0.35">
      <c r="A1229">
        <v>1228</v>
      </c>
      <c r="B1229">
        <v>31</v>
      </c>
      <c r="C1229" t="str">
        <f t="shared" si="78"/>
        <v>26-35</v>
      </c>
      <c r="D1229" t="s">
        <v>38</v>
      </c>
      <c r="E1229" t="s">
        <v>32</v>
      </c>
      <c r="F1229" s="3">
        <v>1389</v>
      </c>
      <c r="G1229" t="s">
        <v>40</v>
      </c>
      <c r="H1229" s="1">
        <v>2</v>
      </c>
      <c r="I1229" t="s">
        <v>60</v>
      </c>
      <c r="J1229" t="s">
        <v>34</v>
      </c>
      <c r="K1229" t="s">
        <v>61</v>
      </c>
      <c r="L1229" t="s">
        <v>41</v>
      </c>
      <c r="M1229" s="3">
        <v>69</v>
      </c>
      <c r="N1229" t="s">
        <v>60</v>
      </c>
      <c r="O1229" t="s">
        <v>59</v>
      </c>
      <c r="P1229" t="s">
        <v>45</v>
      </c>
      <c r="Q1229" t="s">
        <v>60</v>
      </c>
      <c r="R1229" t="s">
        <v>43</v>
      </c>
      <c r="S1229" s="3">
        <v>3477</v>
      </c>
      <c r="T1229" s="3">
        <v>18103</v>
      </c>
      <c r="U1229" s="3" t="str">
        <f t="shared" si="79"/>
        <v>Low</v>
      </c>
      <c r="V1229">
        <v>1</v>
      </c>
      <c r="W1229" t="s">
        <v>38</v>
      </c>
      <c r="X1229" s="2">
        <v>14</v>
      </c>
      <c r="Y1229" t="s">
        <v>60</v>
      </c>
      <c r="Z1229" t="s">
        <v>62</v>
      </c>
      <c r="AA1229">
        <v>1</v>
      </c>
      <c r="AB1229">
        <v>6</v>
      </c>
      <c r="AC1229">
        <v>2</v>
      </c>
      <c r="AD1229">
        <v>4</v>
      </c>
      <c r="AE1229">
        <v>5</v>
      </c>
      <c r="AF1229">
        <v>2</v>
      </c>
      <c r="AG1229">
        <v>0</v>
      </c>
      <c r="AH1229">
        <v>3</v>
      </c>
      <c r="AI1229" t="str">
        <f t="shared" si="76"/>
        <v>3-5 Years</v>
      </c>
      <c r="AJ1229" t="str">
        <f t="shared" si="77"/>
        <v>0-2</v>
      </c>
    </row>
    <row r="1230" spans="1:36" x14ac:dyDescent="0.35">
      <c r="A1230">
        <v>1229</v>
      </c>
      <c r="B1230">
        <v>41</v>
      </c>
      <c r="C1230" t="str">
        <f t="shared" si="78"/>
        <v>36-45</v>
      </c>
      <c r="D1230" t="s">
        <v>38</v>
      </c>
      <c r="E1230" t="s">
        <v>50</v>
      </c>
      <c r="F1230" s="3">
        <v>1389</v>
      </c>
      <c r="G1230" t="s">
        <v>56</v>
      </c>
      <c r="H1230" s="1">
        <v>4</v>
      </c>
      <c r="I1230" t="s">
        <v>61</v>
      </c>
      <c r="J1230" t="s">
        <v>56</v>
      </c>
      <c r="K1230" t="s">
        <v>60</v>
      </c>
      <c r="L1230" t="s">
        <v>41</v>
      </c>
      <c r="M1230" s="3">
        <v>60</v>
      </c>
      <c r="N1230" t="s">
        <v>59</v>
      </c>
      <c r="O1230" t="s">
        <v>61</v>
      </c>
      <c r="P1230" t="s">
        <v>56</v>
      </c>
      <c r="Q1230" t="s">
        <v>61</v>
      </c>
      <c r="R1230" t="s">
        <v>43</v>
      </c>
      <c r="S1230" s="3">
        <v>6430</v>
      </c>
      <c r="T1230" s="3">
        <v>20794</v>
      </c>
      <c r="U1230" s="3" t="str">
        <f t="shared" si="79"/>
        <v>Medium</v>
      </c>
      <c r="V1230">
        <v>6</v>
      </c>
      <c r="W1230" t="s">
        <v>38</v>
      </c>
      <c r="X1230" s="2">
        <v>19</v>
      </c>
      <c r="Y1230" t="s">
        <v>60</v>
      </c>
      <c r="Z1230" t="s">
        <v>61</v>
      </c>
      <c r="AA1230">
        <v>1</v>
      </c>
      <c r="AB1230">
        <v>10</v>
      </c>
      <c r="AC1230">
        <v>4</v>
      </c>
      <c r="AD1230">
        <v>3</v>
      </c>
      <c r="AE1230">
        <v>3</v>
      </c>
      <c r="AF1230">
        <v>2</v>
      </c>
      <c r="AG1230">
        <v>1</v>
      </c>
      <c r="AH1230">
        <v>2</v>
      </c>
      <c r="AI1230" t="str">
        <f t="shared" si="76"/>
        <v>3-5 Years</v>
      </c>
      <c r="AJ1230" t="str">
        <f t="shared" si="77"/>
        <v>0-2</v>
      </c>
    </row>
    <row r="1231" spans="1:36" x14ac:dyDescent="0.35">
      <c r="A1231">
        <v>1230</v>
      </c>
      <c r="B1231">
        <v>40</v>
      </c>
      <c r="C1231" t="str">
        <f t="shared" si="78"/>
        <v>36-45</v>
      </c>
      <c r="D1231" t="s">
        <v>38</v>
      </c>
      <c r="E1231" t="s">
        <v>32</v>
      </c>
      <c r="F1231" s="3">
        <v>1389</v>
      </c>
      <c r="G1231" t="s">
        <v>40</v>
      </c>
      <c r="H1231" s="1">
        <v>8</v>
      </c>
      <c r="I1231" t="s">
        <v>58</v>
      </c>
      <c r="J1231" t="s">
        <v>34</v>
      </c>
      <c r="K1231" t="s">
        <v>61</v>
      </c>
      <c r="L1231" t="s">
        <v>35</v>
      </c>
      <c r="M1231" s="3">
        <v>92</v>
      </c>
      <c r="N1231" t="s">
        <v>60</v>
      </c>
      <c r="O1231" t="s">
        <v>61</v>
      </c>
      <c r="P1231" t="s">
        <v>48</v>
      </c>
      <c r="Q1231" t="s">
        <v>59</v>
      </c>
      <c r="R1231" t="s">
        <v>43</v>
      </c>
      <c r="S1231" s="3">
        <v>6516</v>
      </c>
      <c r="T1231" s="3">
        <v>5041</v>
      </c>
      <c r="U1231" s="3" t="str">
        <f t="shared" si="79"/>
        <v>Medium</v>
      </c>
      <c r="V1231">
        <v>2</v>
      </c>
      <c r="W1231" t="s">
        <v>31</v>
      </c>
      <c r="X1231" s="2">
        <v>16</v>
      </c>
      <c r="Y1231" t="s">
        <v>60</v>
      </c>
      <c r="Z1231" t="s">
        <v>61</v>
      </c>
      <c r="AA1231">
        <v>1</v>
      </c>
      <c r="AB1231">
        <v>18</v>
      </c>
      <c r="AC1231">
        <v>3</v>
      </c>
      <c r="AD1231">
        <v>3</v>
      </c>
      <c r="AE1231">
        <v>1</v>
      </c>
      <c r="AF1231">
        <v>0</v>
      </c>
      <c r="AG1231">
        <v>0</v>
      </c>
      <c r="AH1231">
        <v>0</v>
      </c>
      <c r="AI1231" t="str">
        <f t="shared" si="76"/>
        <v>0-2 Years</v>
      </c>
      <c r="AJ1231" t="str">
        <f t="shared" si="77"/>
        <v>0-2</v>
      </c>
    </row>
    <row r="1232" spans="1:36" x14ac:dyDescent="0.35">
      <c r="A1232">
        <v>1231</v>
      </c>
      <c r="B1232">
        <v>24</v>
      </c>
      <c r="C1232" t="str">
        <f t="shared" si="78"/>
        <v>18-25</v>
      </c>
      <c r="D1232" t="s">
        <v>38</v>
      </c>
      <c r="E1232" t="s">
        <v>32</v>
      </c>
      <c r="F1232" s="3">
        <v>1389</v>
      </c>
      <c r="G1232" t="s">
        <v>40</v>
      </c>
      <c r="H1232" s="1">
        <v>29</v>
      </c>
      <c r="I1232" t="s">
        <v>59</v>
      </c>
      <c r="J1232" t="s">
        <v>46</v>
      </c>
      <c r="K1232" t="s">
        <v>61</v>
      </c>
      <c r="L1232" t="s">
        <v>41</v>
      </c>
      <c r="M1232" s="3">
        <v>91</v>
      </c>
      <c r="N1232" t="s">
        <v>60</v>
      </c>
      <c r="O1232" t="s">
        <v>59</v>
      </c>
      <c r="P1232" t="s">
        <v>45</v>
      </c>
      <c r="Q1232" t="s">
        <v>59</v>
      </c>
      <c r="R1232" t="s">
        <v>47</v>
      </c>
      <c r="S1232" s="3">
        <v>3907</v>
      </c>
      <c r="T1232" s="3">
        <v>3622</v>
      </c>
      <c r="U1232" s="3" t="str">
        <f t="shared" si="79"/>
        <v>Low</v>
      </c>
      <c r="V1232">
        <v>1</v>
      </c>
      <c r="W1232" t="s">
        <v>38</v>
      </c>
      <c r="X1232" s="2">
        <v>13</v>
      </c>
      <c r="Y1232" t="s">
        <v>60</v>
      </c>
      <c r="Z1232" t="s">
        <v>61</v>
      </c>
      <c r="AA1232">
        <v>3</v>
      </c>
      <c r="AB1232">
        <v>6</v>
      </c>
      <c r="AC1232">
        <v>2</v>
      </c>
      <c r="AD1232">
        <v>4</v>
      </c>
      <c r="AE1232">
        <v>6</v>
      </c>
      <c r="AF1232">
        <v>2</v>
      </c>
      <c r="AG1232">
        <v>1</v>
      </c>
      <c r="AH1232">
        <v>2</v>
      </c>
      <c r="AI1232" t="str">
        <f t="shared" si="76"/>
        <v>6-10 Years</v>
      </c>
      <c r="AJ1232" t="str">
        <f t="shared" si="77"/>
        <v>0-2</v>
      </c>
    </row>
    <row r="1233" spans="1:36" x14ac:dyDescent="0.35">
      <c r="A1233">
        <v>1232</v>
      </c>
      <c r="B1233">
        <v>46</v>
      </c>
      <c r="C1233" t="str">
        <f t="shared" si="78"/>
        <v>46-55</v>
      </c>
      <c r="D1233" t="s">
        <v>38</v>
      </c>
      <c r="E1233" t="s">
        <v>32</v>
      </c>
      <c r="F1233" s="3">
        <v>1389</v>
      </c>
      <c r="G1233" t="s">
        <v>40</v>
      </c>
      <c r="H1233" s="1">
        <v>13</v>
      </c>
      <c r="I1233" t="s">
        <v>60</v>
      </c>
      <c r="J1233" t="s">
        <v>34</v>
      </c>
      <c r="K1233" t="s">
        <v>60</v>
      </c>
      <c r="L1233" t="s">
        <v>41</v>
      </c>
      <c r="M1233" s="3">
        <v>34</v>
      </c>
      <c r="N1233" t="s">
        <v>60</v>
      </c>
      <c r="O1233" t="s">
        <v>61</v>
      </c>
      <c r="P1233" t="s">
        <v>49</v>
      </c>
      <c r="Q1233" t="s">
        <v>61</v>
      </c>
      <c r="R1233" t="s">
        <v>37</v>
      </c>
      <c r="S1233" s="3">
        <v>5562</v>
      </c>
      <c r="T1233" s="3">
        <v>9697</v>
      </c>
      <c r="U1233" s="3" t="str">
        <f t="shared" si="79"/>
        <v>Medium</v>
      </c>
      <c r="V1233">
        <v>6</v>
      </c>
      <c r="W1233" t="s">
        <v>38</v>
      </c>
      <c r="X1233" s="2">
        <v>14</v>
      </c>
      <c r="Y1233" t="s">
        <v>60</v>
      </c>
      <c r="Z1233" t="s">
        <v>62</v>
      </c>
      <c r="AA1233">
        <v>0</v>
      </c>
      <c r="AB1233">
        <v>19</v>
      </c>
      <c r="AC1233">
        <v>3</v>
      </c>
      <c r="AD1233">
        <v>3</v>
      </c>
      <c r="AE1233">
        <v>10</v>
      </c>
      <c r="AF1233">
        <v>7</v>
      </c>
      <c r="AG1233">
        <v>0</v>
      </c>
      <c r="AH1233">
        <v>9</v>
      </c>
      <c r="AI1233" t="str">
        <f t="shared" si="76"/>
        <v>6-10 Years</v>
      </c>
      <c r="AJ1233" t="str">
        <f t="shared" si="77"/>
        <v>0-2</v>
      </c>
    </row>
    <row r="1234" spans="1:36" x14ac:dyDescent="0.35">
      <c r="A1234">
        <v>1233</v>
      </c>
      <c r="B1234">
        <v>35</v>
      </c>
      <c r="C1234" t="str">
        <f t="shared" si="78"/>
        <v>26-35</v>
      </c>
      <c r="D1234" t="s">
        <v>38</v>
      </c>
      <c r="E1234" t="s">
        <v>32</v>
      </c>
      <c r="F1234" s="3">
        <v>1389</v>
      </c>
      <c r="G1234" t="s">
        <v>40</v>
      </c>
      <c r="H1234" s="1">
        <v>27</v>
      </c>
      <c r="I1234" t="s">
        <v>60</v>
      </c>
      <c r="J1234" t="s">
        <v>34</v>
      </c>
      <c r="K1234" t="s">
        <v>62</v>
      </c>
      <c r="L1234" t="s">
        <v>41</v>
      </c>
      <c r="M1234" s="3">
        <v>49</v>
      </c>
      <c r="N1234" t="s">
        <v>60</v>
      </c>
      <c r="O1234" t="s">
        <v>61</v>
      </c>
      <c r="P1234" t="s">
        <v>48</v>
      </c>
      <c r="Q1234" t="s">
        <v>60</v>
      </c>
      <c r="R1234" t="s">
        <v>43</v>
      </c>
      <c r="S1234" s="3">
        <v>6883</v>
      </c>
      <c r="T1234" s="3">
        <v>5151</v>
      </c>
      <c r="U1234" s="3" t="str">
        <f t="shared" si="79"/>
        <v>Medium</v>
      </c>
      <c r="V1234">
        <v>2</v>
      </c>
      <c r="W1234" t="s">
        <v>38</v>
      </c>
      <c r="X1234" s="2">
        <v>16</v>
      </c>
      <c r="Y1234" t="s">
        <v>60</v>
      </c>
      <c r="Z1234" t="s">
        <v>61</v>
      </c>
      <c r="AA1234">
        <v>1</v>
      </c>
      <c r="AB1234">
        <v>17</v>
      </c>
      <c r="AC1234">
        <v>3</v>
      </c>
      <c r="AD1234">
        <v>3</v>
      </c>
      <c r="AE1234">
        <v>7</v>
      </c>
      <c r="AF1234">
        <v>7</v>
      </c>
      <c r="AG1234">
        <v>0</v>
      </c>
      <c r="AH1234">
        <v>7</v>
      </c>
      <c r="AI1234" t="str">
        <f t="shared" si="76"/>
        <v>6-10 Years</v>
      </c>
      <c r="AJ1234" t="str">
        <f t="shared" si="77"/>
        <v>0-2</v>
      </c>
    </row>
    <row r="1235" spans="1:36" x14ac:dyDescent="0.35">
      <c r="A1235">
        <v>1234</v>
      </c>
      <c r="B1235">
        <v>30</v>
      </c>
      <c r="C1235" t="str">
        <f t="shared" si="78"/>
        <v>26-35</v>
      </c>
      <c r="D1235" t="s">
        <v>38</v>
      </c>
      <c r="E1235" t="s">
        <v>32</v>
      </c>
      <c r="F1235" s="3">
        <v>1389</v>
      </c>
      <c r="G1235" t="s">
        <v>40</v>
      </c>
      <c r="H1235" s="1">
        <v>16</v>
      </c>
      <c r="I1235" t="s">
        <v>59</v>
      </c>
      <c r="J1235" t="s">
        <v>34</v>
      </c>
      <c r="K1235" t="s">
        <v>61</v>
      </c>
      <c r="L1235" t="s">
        <v>41</v>
      </c>
      <c r="M1235" s="3">
        <v>33</v>
      </c>
      <c r="N1235" t="s">
        <v>60</v>
      </c>
      <c r="O1235" t="s">
        <v>59</v>
      </c>
      <c r="P1235" t="s">
        <v>42</v>
      </c>
      <c r="Q1235" t="s">
        <v>62</v>
      </c>
      <c r="R1235" t="s">
        <v>43</v>
      </c>
      <c r="S1235" s="3">
        <v>2862</v>
      </c>
      <c r="T1235" s="3">
        <v>3811</v>
      </c>
      <c r="U1235" s="3" t="str">
        <f t="shared" si="79"/>
        <v>Low</v>
      </c>
      <c r="V1235">
        <v>1</v>
      </c>
      <c r="W1235" t="s">
        <v>38</v>
      </c>
      <c r="X1235" s="2">
        <v>12</v>
      </c>
      <c r="Y1235" t="s">
        <v>60</v>
      </c>
      <c r="Z1235" t="s">
        <v>61</v>
      </c>
      <c r="AA1235">
        <v>1</v>
      </c>
      <c r="AB1235">
        <v>10</v>
      </c>
      <c r="AC1235">
        <v>2</v>
      </c>
      <c r="AD1235">
        <v>2</v>
      </c>
      <c r="AE1235">
        <v>10</v>
      </c>
      <c r="AF1235">
        <v>0</v>
      </c>
      <c r="AG1235">
        <v>0</v>
      </c>
      <c r="AH1235">
        <v>8</v>
      </c>
      <c r="AI1235" t="str">
        <f t="shared" si="76"/>
        <v>6-10 Years</v>
      </c>
      <c r="AJ1235" t="str">
        <f t="shared" si="77"/>
        <v>0-2</v>
      </c>
    </row>
    <row r="1236" spans="1:36" x14ac:dyDescent="0.35">
      <c r="A1236">
        <v>1235</v>
      </c>
      <c r="B1236">
        <v>47</v>
      </c>
      <c r="C1236" t="str">
        <f t="shared" si="78"/>
        <v>46-55</v>
      </c>
      <c r="D1236" t="s">
        <v>38</v>
      </c>
      <c r="E1236" t="s">
        <v>50</v>
      </c>
      <c r="F1236" s="3">
        <v>1389</v>
      </c>
      <c r="G1236" t="s">
        <v>33</v>
      </c>
      <c r="H1236" s="1">
        <v>2</v>
      </c>
      <c r="I1236" t="s">
        <v>60</v>
      </c>
      <c r="J1236" t="s">
        <v>54</v>
      </c>
      <c r="K1236" t="s">
        <v>60</v>
      </c>
      <c r="L1236" t="s">
        <v>41</v>
      </c>
      <c r="M1236" s="3">
        <v>87</v>
      </c>
      <c r="N1236" t="s">
        <v>60</v>
      </c>
      <c r="O1236" t="s">
        <v>61</v>
      </c>
      <c r="P1236" t="s">
        <v>36</v>
      </c>
      <c r="Q1236" t="s">
        <v>61</v>
      </c>
      <c r="R1236" t="s">
        <v>43</v>
      </c>
      <c r="S1236" s="3">
        <v>4978</v>
      </c>
      <c r="T1236" s="3">
        <v>3536</v>
      </c>
      <c r="U1236" s="3" t="str">
        <f t="shared" si="79"/>
        <v>Low</v>
      </c>
      <c r="V1236">
        <v>7</v>
      </c>
      <c r="W1236" t="s">
        <v>38</v>
      </c>
      <c r="X1236" s="2">
        <v>11</v>
      </c>
      <c r="Y1236" t="s">
        <v>60</v>
      </c>
      <c r="Z1236" t="s">
        <v>62</v>
      </c>
      <c r="AA1236">
        <v>1</v>
      </c>
      <c r="AB1236">
        <v>4</v>
      </c>
      <c r="AC1236">
        <v>3</v>
      </c>
      <c r="AD1236">
        <v>1</v>
      </c>
      <c r="AE1236">
        <v>1</v>
      </c>
      <c r="AF1236">
        <v>0</v>
      </c>
      <c r="AG1236">
        <v>0</v>
      </c>
      <c r="AH1236">
        <v>0</v>
      </c>
      <c r="AI1236" t="str">
        <f t="shared" si="76"/>
        <v>0-2 Years</v>
      </c>
      <c r="AJ1236" t="str">
        <f t="shared" si="77"/>
        <v>0-2</v>
      </c>
    </row>
    <row r="1237" spans="1:36" x14ac:dyDescent="0.35">
      <c r="A1237">
        <v>1236</v>
      </c>
      <c r="B1237">
        <v>46</v>
      </c>
      <c r="C1237" t="str">
        <f t="shared" si="78"/>
        <v>46-55</v>
      </c>
      <c r="D1237" t="s">
        <v>38</v>
      </c>
      <c r="E1237" t="s">
        <v>32</v>
      </c>
      <c r="F1237" s="3">
        <v>1389</v>
      </c>
      <c r="G1237" t="s">
        <v>33</v>
      </c>
      <c r="H1237" s="1">
        <v>2</v>
      </c>
      <c r="I1237" t="s">
        <v>61</v>
      </c>
      <c r="J1237" t="s">
        <v>34</v>
      </c>
      <c r="K1237" t="s">
        <v>60</v>
      </c>
      <c r="L1237" t="s">
        <v>41</v>
      </c>
      <c r="M1237" s="3">
        <v>74</v>
      </c>
      <c r="N1237" t="s">
        <v>60</v>
      </c>
      <c r="O1237" t="s">
        <v>60</v>
      </c>
      <c r="P1237" t="s">
        <v>36</v>
      </c>
      <c r="Q1237" t="s">
        <v>62</v>
      </c>
      <c r="R1237" t="s">
        <v>47</v>
      </c>
      <c r="S1237" s="3">
        <v>10368</v>
      </c>
      <c r="T1237" s="3">
        <v>5596</v>
      </c>
      <c r="U1237" s="3" t="str">
        <f t="shared" si="79"/>
        <v>High</v>
      </c>
      <c r="V1237">
        <v>4</v>
      </c>
      <c r="W1237" t="s">
        <v>31</v>
      </c>
      <c r="X1237" s="2">
        <v>12</v>
      </c>
      <c r="Y1237" t="s">
        <v>60</v>
      </c>
      <c r="Z1237" t="s">
        <v>61</v>
      </c>
      <c r="AA1237">
        <v>1</v>
      </c>
      <c r="AB1237">
        <v>13</v>
      </c>
      <c r="AC1237">
        <v>5</v>
      </c>
      <c r="AD1237">
        <v>2</v>
      </c>
      <c r="AE1237">
        <v>10</v>
      </c>
      <c r="AF1237">
        <v>6</v>
      </c>
      <c r="AG1237">
        <v>0</v>
      </c>
      <c r="AH1237">
        <v>3</v>
      </c>
      <c r="AI1237" t="str">
        <f t="shared" si="76"/>
        <v>6-10 Years</v>
      </c>
      <c r="AJ1237" t="str">
        <f t="shared" si="77"/>
        <v>0-2</v>
      </c>
    </row>
    <row r="1238" spans="1:36" x14ac:dyDescent="0.35">
      <c r="A1238">
        <v>1237</v>
      </c>
      <c r="B1238">
        <v>36</v>
      </c>
      <c r="C1238" t="str">
        <f t="shared" si="78"/>
        <v>36-45</v>
      </c>
      <c r="D1238" t="s">
        <v>31</v>
      </c>
      <c r="E1238" t="s">
        <v>32</v>
      </c>
      <c r="F1238" s="3">
        <v>1389</v>
      </c>
      <c r="G1238" t="s">
        <v>33</v>
      </c>
      <c r="H1238" s="1">
        <v>13</v>
      </c>
      <c r="I1238" t="s">
        <v>62</v>
      </c>
      <c r="J1238" t="s">
        <v>54</v>
      </c>
      <c r="K1238" t="s">
        <v>61</v>
      </c>
      <c r="L1238" t="s">
        <v>41</v>
      </c>
      <c r="M1238" s="3">
        <v>96</v>
      </c>
      <c r="N1238" t="s">
        <v>61</v>
      </c>
      <c r="O1238" t="s">
        <v>61</v>
      </c>
      <c r="P1238" t="s">
        <v>36</v>
      </c>
      <c r="Q1238" t="s">
        <v>59</v>
      </c>
      <c r="R1238" t="s">
        <v>47</v>
      </c>
      <c r="S1238" s="3">
        <v>6134</v>
      </c>
      <c r="T1238" s="3">
        <v>8658</v>
      </c>
      <c r="U1238" s="3" t="str">
        <f t="shared" si="79"/>
        <v>Medium</v>
      </c>
      <c r="V1238">
        <v>5</v>
      </c>
      <c r="W1238" t="s">
        <v>31</v>
      </c>
      <c r="X1238" s="2">
        <v>13</v>
      </c>
      <c r="Y1238" t="s">
        <v>60</v>
      </c>
      <c r="Z1238" t="s">
        <v>61</v>
      </c>
      <c r="AA1238">
        <v>3</v>
      </c>
      <c r="AB1238">
        <v>16</v>
      </c>
      <c r="AC1238">
        <v>3</v>
      </c>
      <c r="AD1238">
        <v>3</v>
      </c>
      <c r="AE1238">
        <v>2</v>
      </c>
      <c r="AF1238">
        <v>2</v>
      </c>
      <c r="AG1238">
        <v>2</v>
      </c>
      <c r="AH1238">
        <v>2</v>
      </c>
      <c r="AI1238" t="str">
        <f t="shared" si="76"/>
        <v>0-2 Years</v>
      </c>
      <c r="AJ1238" t="str">
        <f t="shared" si="77"/>
        <v>0-2</v>
      </c>
    </row>
    <row r="1239" spans="1:36" x14ac:dyDescent="0.35">
      <c r="A1239">
        <v>1238</v>
      </c>
      <c r="B1239">
        <v>32</v>
      </c>
      <c r="C1239" t="str">
        <f t="shared" si="78"/>
        <v>26-35</v>
      </c>
      <c r="D1239" t="s">
        <v>31</v>
      </c>
      <c r="E1239" t="s">
        <v>32</v>
      </c>
      <c r="F1239" s="3">
        <v>1389</v>
      </c>
      <c r="G1239" t="s">
        <v>33</v>
      </c>
      <c r="H1239" s="1">
        <v>1</v>
      </c>
      <c r="I1239" t="s">
        <v>58</v>
      </c>
      <c r="J1239" t="s">
        <v>34</v>
      </c>
      <c r="K1239" t="s">
        <v>59</v>
      </c>
      <c r="L1239" t="s">
        <v>41</v>
      </c>
      <c r="M1239" s="3">
        <v>34</v>
      </c>
      <c r="N1239" t="s">
        <v>59</v>
      </c>
      <c r="O1239" t="s">
        <v>61</v>
      </c>
      <c r="P1239" t="s">
        <v>36</v>
      </c>
      <c r="Q1239" t="s">
        <v>61</v>
      </c>
      <c r="R1239" t="s">
        <v>37</v>
      </c>
      <c r="S1239" s="3">
        <v>6735</v>
      </c>
      <c r="T1239" s="3">
        <v>12147</v>
      </c>
      <c r="U1239" s="3" t="str">
        <f t="shared" si="79"/>
        <v>Medium</v>
      </c>
      <c r="V1239">
        <v>6</v>
      </c>
      <c r="W1239" t="s">
        <v>38</v>
      </c>
      <c r="X1239" s="2">
        <v>15</v>
      </c>
      <c r="Y1239" t="s">
        <v>60</v>
      </c>
      <c r="Z1239" t="s">
        <v>61</v>
      </c>
      <c r="AA1239">
        <v>0</v>
      </c>
      <c r="AB1239">
        <v>10</v>
      </c>
      <c r="AC1239">
        <v>2</v>
      </c>
      <c r="AD1239">
        <v>3</v>
      </c>
      <c r="AE1239">
        <v>0</v>
      </c>
      <c r="AF1239">
        <v>0</v>
      </c>
      <c r="AG1239">
        <v>0</v>
      </c>
      <c r="AH1239">
        <v>0</v>
      </c>
      <c r="AI1239" t="str">
        <f t="shared" si="76"/>
        <v>0-2 Years</v>
      </c>
      <c r="AJ1239" t="str">
        <f t="shared" si="77"/>
        <v>0-2</v>
      </c>
    </row>
    <row r="1240" spans="1:36" x14ac:dyDescent="0.35">
      <c r="A1240">
        <v>1239</v>
      </c>
      <c r="B1240">
        <v>23</v>
      </c>
      <c r="C1240" t="str">
        <f t="shared" si="78"/>
        <v>18-25</v>
      </c>
      <c r="D1240" t="s">
        <v>38</v>
      </c>
      <c r="E1240" t="s">
        <v>32</v>
      </c>
      <c r="F1240" s="3">
        <v>1389</v>
      </c>
      <c r="G1240" t="s">
        <v>40</v>
      </c>
      <c r="H1240" s="1">
        <v>4</v>
      </c>
      <c r="I1240" t="s">
        <v>59</v>
      </c>
      <c r="J1240" t="s">
        <v>46</v>
      </c>
      <c r="K1240" t="s">
        <v>60</v>
      </c>
      <c r="L1240" t="s">
        <v>35</v>
      </c>
      <c r="M1240" s="3">
        <v>51</v>
      </c>
      <c r="N1240" t="s">
        <v>60</v>
      </c>
      <c r="O1240" t="s">
        <v>59</v>
      </c>
      <c r="P1240" t="s">
        <v>45</v>
      </c>
      <c r="Q1240" t="s">
        <v>61</v>
      </c>
      <c r="R1240" t="s">
        <v>37</v>
      </c>
      <c r="S1240" s="3">
        <v>3295</v>
      </c>
      <c r="T1240" s="3">
        <v>12862</v>
      </c>
      <c r="U1240" s="3" t="str">
        <f t="shared" si="79"/>
        <v>Low</v>
      </c>
      <c r="V1240">
        <v>1</v>
      </c>
      <c r="W1240" t="s">
        <v>38</v>
      </c>
      <c r="X1240" s="2">
        <v>13</v>
      </c>
      <c r="Y1240" t="s">
        <v>60</v>
      </c>
      <c r="Z1240" t="s">
        <v>60</v>
      </c>
      <c r="AA1240">
        <v>0</v>
      </c>
      <c r="AB1240">
        <v>3</v>
      </c>
      <c r="AC1240">
        <v>3</v>
      </c>
      <c r="AD1240">
        <v>1</v>
      </c>
      <c r="AE1240">
        <v>3</v>
      </c>
      <c r="AF1240">
        <v>2</v>
      </c>
      <c r="AG1240">
        <v>1</v>
      </c>
      <c r="AH1240">
        <v>2</v>
      </c>
      <c r="AI1240" t="str">
        <f t="shared" si="76"/>
        <v>3-5 Years</v>
      </c>
      <c r="AJ1240" t="str">
        <f t="shared" si="77"/>
        <v>0-2</v>
      </c>
    </row>
    <row r="1241" spans="1:36" x14ac:dyDescent="0.35">
      <c r="A1241">
        <v>1240</v>
      </c>
      <c r="B1241">
        <v>31</v>
      </c>
      <c r="C1241" t="str">
        <f t="shared" si="78"/>
        <v>26-35</v>
      </c>
      <c r="D1241" t="s">
        <v>38</v>
      </c>
      <c r="E1241" t="s">
        <v>39</v>
      </c>
      <c r="F1241" s="3">
        <v>1389</v>
      </c>
      <c r="G1241" t="s">
        <v>40</v>
      </c>
      <c r="H1241" s="1">
        <v>24</v>
      </c>
      <c r="I1241" t="s">
        <v>59</v>
      </c>
      <c r="J1241" t="s">
        <v>55</v>
      </c>
      <c r="K1241" t="s">
        <v>62</v>
      </c>
      <c r="L1241" t="s">
        <v>35</v>
      </c>
      <c r="M1241" s="3">
        <v>30</v>
      </c>
      <c r="N1241" t="s">
        <v>60</v>
      </c>
      <c r="O1241" t="s">
        <v>61</v>
      </c>
      <c r="P1241" t="s">
        <v>48</v>
      </c>
      <c r="Q1241" t="s">
        <v>62</v>
      </c>
      <c r="R1241" t="s">
        <v>37</v>
      </c>
      <c r="S1241" s="3">
        <v>5238</v>
      </c>
      <c r="T1241" s="3">
        <v>6670</v>
      </c>
      <c r="U1241" s="3" t="str">
        <f t="shared" si="79"/>
        <v>Medium</v>
      </c>
      <c r="V1241">
        <v>2</v>
      </c>
      <c r="W1241" t="s">
        <v>38</v>
      </c>
      <c r="X1241" s="2">
        <v>20</v>
      </c>
      <c r="Y1241" t="s">
        <v>62</v>
      </c>
      <c r="Z1241" t="s">
        <v>62</v>
      </c>
      <c r="AA1241">
        <v>0</v>
      </c>
      <c r="AB1241">
        <v>9</v>
      </c>
      <c r="AC1241">
        <v>3</v>
      </c>
      <c r="AD1241">
        <v>2</v>
      </c>
      <c r="AE1241">
        <v>5</v>
      </c>
      <c r="AF1241">
        <v>4</v>
      </c>
      <c r="AG1241">
        <v>1</v>
      </c>
      <c r="AH1241">
        <v>4</v>
      </c>
      <c r="AI1241" t="str">
        <f t="shared" si="76"/>
        <v>3-5 Years</v>
      </c>
      <c r="AJ1241" t="str">
        <f t="shared" si="77"/>
        <v>0-2</v>
      </c>
    </row>
    <row r="1242" spans="1:36" x14ac:dyDescent="0.35">
      <c r="A1242">
        <v>1241</v>
      </c>
      <c r="B1242">
        <v>39</v>
      </c>
      <c r="C1242" t="str">
        <f t="shared" si="78"/>
        <v>36-45</v>
      </c>
      <c r="D1242" t="s">
        <v>38</v>
      </c>
      <c r="E1242" t="s">
        <v>50</v>
      </c>
      <c r="F1242" s="3">
        <v>1389</v>
      </c>
      <c r="G1242" t="s">
        <v>40</v>
      </c>
      <c r="H1242" s="1">
        <v>1</v>
      </c>
      <c r="I1242" t="s">
        <v>61</v>
      </c>
      <c r="J1242" t="s">
        <v>34</v>
      </c>
      <c r="K1242" t="s">
        <v>62</v>
      </c>
      <c r="L1242" t="s">
        <v>41</v>
      </c>
      <c r="M1242" s="3">
        <v>77</v>
      </c>
      <c r="N1242" t="s">
        <v>60</v>
      </c>
      <c r="O1242" t="s">
        <v>61</v>
      </c>
      <c r="P1242" t="s">
        <v>45</v>
      </c>
      <c r="Q1242" t="s">
        <v>62</v>
      </c>
      <c r="R1242" t="s">
        <v>43</v>
      </c>
      <c r="S1242" s="3">
        <v>6472</v>
      </c>
      <c r="T1242" s="3">
        <v>8989</v>
      </c>
      <c r="U1242" s="3" t="str">
        <f t="shared" si="79"/>
        <v>Medium</v>
      </c>
      <c r="V1242">
        <v>1</v>
      </c>
      <c r="W1242" t="s">
        <v>31</v>
      </c>
      <c r="X1242" s="2">
        <v>15</v>
      </c>
      <c r="Y1242" t="s">
        <v>60</v>
      </c>
      <c r="Z1242" t="s">
        <v>62</v>
      </c>
      <c r="AA1242">
        <v>1</v>
      </c>
      <c r="AB1242">
        <v>9</v>
      </c>
      <c r="AC1242">
        <v>2</v>
      </c>
      <c r="AD1242">
        <v>3</v>
      </c>
      <c r="AE1242">
        <v>9</v>
      </c>
      <c r="AF1242">
        <v>8</v>
      </c>
      <c r="AG1242">
        <v>5</v>
      </c>
      <c r="AH1242">
        <v>8</v>
      </c>
      <c r="AI1242" t="str">
        <f t="shared" si="76"/>
        <v>6-10 Years</v>
      </c>
      <c r="AJ1242" t="str">
        <f t="shared" si="77"/>
        <v>3-5</v>
      </c>
    </row>
    <row r="1243" spans="1:36" x14ac:dyDescent="0.35">
      <c r="A1243">
        <v>1242</v>
      </c>
      <c r="B1243">
        <v>32</v>
      </c>
      <c r="C1243" t="str">
        <f t="shared" si="78"/>
        <v>26-35</v>
      </c>
      <c r="D1243" t="s">
        <v>38</v>
      </c>
      <c r="E1243" t="s">
        <v>32</v>
      </c>
      <c r="F1243" s="3">
        <v>1389</v>
      </c>
      <c r="G1243" t="s">
        <v>33</v>
      </c>
      <c r="H1243" s="1">
        <v>19</v>
      </c>
      <c r="I1243" t="s">
        <v>61</v>
      </c>
      <c r="J1243" t="s">
        <v>34</v>
      </c>
      <c r="K1243" t="s">
        <v>62</v>
      </c>
      <c r="L1243" t="s">
        <v>41</v>
      </c>
      <c r="M1243" s="3">
        <v>80</v>
      </c>
      <c r="N1243" t="s">
        <v>59</v>
      </c>
      <c r="O1243" t="s">
        <v>60</v>
      </c>
      <c r="P1243" t="s">
        <v>36</v>
      </c>
      <c r="Q1243" t="s">
        <v>60</v>
      </c>
      <c r="R1243" t="s">
        <v>43</v>
      </c>
      <c r="S1243" s="3">
        <v>9610</v>
      </c>
      <c r="T1243" s="3">
        <v>3840</v>
      </c>
      <c r="U1243" s="3" t="str">
        <f t="shared" si="79"/>
        <v>Medium</v>
      </c>
      <c r="V1243">
        <v>3</v>
      </c>
      <c r="W1243" t="s">
        <v>38</v>
      </c>
      <c r="X1243" s="2">
        <v>13</v>
      </c>
      <c r="Y1243" t="s">
        <v>60</v>
      </c>
      <c r="Z1243" t="s">
        <v>60</v>
      </c>
      <c r="AA1243">
        <v>1</v>
      </c>
      <c r="AB1243">
        <v>10</v>
      </c>
      <c r="AC1243">
        <v>2</v>
      </c>
      <c r="AD1243">
        <v>1</v>
      </c>
      <c r="AE1243">
        <v>4</v>
      </c>
      <c r="AF1243">
        <v>3</v>
      </c>
      <c r="AG1243">
        <v>0</v>
      </c>
      <c r="AH1243">
        <v>2</v>
      </c>
      <c r="AI1243" t="str">
        <f t="shared" si="76"/>
        <v>3-5 Years</v>
      </c>
      <c r="AJ1243" t="str">
        <f t="shared" si="77"/>
        <v>0-2</v>
      </c>
    </row>
    <row r="1244" spans="1:36" x14ac:dyDescent="0.35">
      <c r="A1244">
        <v>1243</v>
      </c>
      <c r="B1244">
        <v>40</v>
      </c>
      <c r="C1244" t="str">
        <f t="shared" si="78"/>
        <v>36-45</v>
      </c>
      <c r="D1244" t="s">
        <v>38</v>
      </c>
      <c r="E1244" t="s">
        <v>32</v>
      </c>
      <c r="F1244" s="3">
        <v>1389</v>
      </c>
      <c r="G1244" t="s">
        <v>33</v>
      </c>
      <c r="H1244" s="1">
        <v>7</v>
      </c>
      <c r="I1244" t="s">
        <v>60</v>
      </c>
      <c r="J1244" t="s">
        <v>46</v>
      </c>
      <c r="K1244" t="s">
        <v>61</v>
      </c>
      <c r="L1244" t="s">
        <v>41</v>
      </c>
      <c r="M1244" s="3">
        <v>88</v>
      </c>
      <c r="N1244" t="s">
        <v>60</v>
      </c>
      <c r="O1244" t="e">
        <v>#N/A</v>
      </c>
      <c r="P1244" t="s">
        <v>51</v>
      </c>
      <c r="Q1244" t="s">
        <v>61</v>
      </c>
      <c r="R1244" t="s">
        <v>37</v>
      </c>
      <c r="S1244" s="3">
        <v>19833</v>
      </c>
      <c r="T1244" s="3">
        <v>4349</v>
      </c>
      <c r="U1244" s="3" t="str">
        <f t="shared" si="79"/>
        <v>High</v>
      </c>
      <c r="V1244">
        <v>1</v>
      </c>
      <c r="W1244" t="s">
        <v>38</v>
      </c>
      <c r="X1244" s="2">
        <v>14</v>
      </c>
      <c r="Y1244" t="s">
        <v>60</v>
      </c>
      <c r="Z1244" t="s">
        <v>61</v>
      </c>
      <c r="AA1244">
        <v>0</v>
      </c>
      <c r="AB1244">
        <v>21</v>
      </c>
      <c r="AC1244">
        <v>3</v>
      </c>
      <c r="AD1244">
        <v>2</v>
      </c>
      <c r="AE1244">
        <v>21</v>
      </c>
      <c r="AF1244">
        <v>8</v>
      </c>
      <c r="AG1244">
        <v>12</v>
      </c>
      <c r="AH1244">
        <v>8</v>
      </c>
      <c r="AI1244" t="str">
        <f t="shared" si="76"/>
        <v>10+ Years</v>
      </c>
      <c r="AJ1244" t="str">
        <f t="shared" si="77"/>
        <v>6+</v>
      </c>
    </row>
    <row r="1245" spans="1:36" x14ac:dyDescent="0.35">
      <c r="A1245">
        <v>1244</v>
      </c>
      <c r="B1245">
        <v>45</v>
      </c>
      <c r="C1245" t="str">
        <f t="shared" si="78"/>
        <v>36-45</v>
      </c>
      <c r="D1245" t="s">
        <v>38</v>
      </c>
      <c r="E1245" t="s">
        <v>32</v>
      </c>
      <c r="F1245" s="3">
        <v>1389</v>
      </c>
      <c r="G1245" t="s">
        <v>56</v>
      </c>
      <c r="H1245" s="1">
        <v>4</v>
      </c>
      <c r="I1245" t="s">
        <v>61</v>
      </c>
      <c r="J1245" t="s">
        <v>34</v>
      </c>
      <c r="K1245" t="s">
        <v>60</v>
      </c>
      <c r="L1245" t="s">
        <v>35</v>
      </c>
      <c r="M1245" s="3">
        <v>56</v>
      </c>
      <c r="N1245" t="s">
        <v>59</v>
      </c>
      <c r="O1245" t="s">
        <v>60</v>
      </c>
      <c r="P1245" t="s">
        <v>56</v>
      </c>
      <c r="Q1245" t="s">
        <v>60</v>
      </c>
      <c r="R1245" t="s">
        <v>43</v>
      </c>
      <c r="S1245" s="3">
        <v>9756</v>
      </c>
      <c r="T1245" s="3">
        <v>6595</v>
      </c>
      <c r="U1245" s="3" t="str">
        <f t="shared" si="79"/>
        <v>Medium</v>
      </c>
      <c r="V1245">
        <v>4</v>
      </c>
      <c r="W1245" t="s">
        <v>38</v>
      </c>
      <c r="X1245" s="2">
        <v>21</v>
      </c>
      <c r="Y1245" t="s">
        <v>62</v>
      </c>
      <c r="Z1245" t="s">
        <v>60</v>
      </c>
      <c r="AA1245">
        <v>2</v>
      </c>
      <c r="AB1245">
        <v>9</v>
      </c>
      <c r="AC1245">
        <v>2</v>
      </c>
      <c r="AD1245">
        <v>4</v>
      </c>
      <c r="AE1245">
        <v>5</v>
      </c>
      <c r="AF1245">
        <v>0</v>
      </c>
      <c r="AG1245">
        <v>0</v>
      </c>
      <c r="AH1245">
        <v>3</v>
      </c>
      <c r="AI1245" t="str">
        <f t="shared" si="76"/>
        <v>3-5 Years</v>
      </c>
      <c r="AJ1245" t="str">
        <f t="shared" si="77"/>
        <v>0-2</v>
      </c>
    </row>
    <row r="1246" spans="1:36" x14ac:dyDescent="0.35">
      <c r="A1246">
        <v>1245</v>
      </c>
      <c r="B1246">
        <v>30</v>
      </c>
      <c r="C1246" t="str">
        <f t="shared" si="78"/>
        <v>26-35</v>
      </c>
      <c r="D1246" t="s">
        <v>38</v>
      </c>
      <c r="E1246" t="s">
        <v>39</v>
      </c>
      <c r="F1246" s="3">
        <v>1389</v>
      </c>
      <c r="G1246" t="s">
        <v>40</v>
      </c>
      <c r="H1246" s="1">
        <v>2</v>
      </c>
      <c r="I1246" t="s">
        <v>60</v>
      </c>
      <c r="J1246" t="s">
        <v>55</v>
      </c>
      <c r="K1246" t="s">
        <v>62</v>
      </c>
      <c r="L1246" t="s">
        <v>35</v>
      </c>
      <c r="M1246" s="3">
        <v>78</v>
      </c>
      <c r="N1246" t="s">
        <v>61</v>
      </c>
      <c r="O1246" t="s">
        <v>59</v>
      </c>
      <c r="P1246" t="s">
        <v>42</v>
      </c>
      <c r="Q1246" t="s">
        <v>59</v>
      </c>
      <c r="R1246" t="s">
        <v>37</v>
      </c>
      <c r="S1246" s="3">
        <v>4968</v>
      </c>
      <c r="T1246" s="3">
        <v>26427</v>
      </c>
      <c r="U1246" s="3" t="str">
        <f t="shared" si="79"/>
        <v>Low</v>
      </c>
      <c r="V1246">
        <v>0</v>
      </c>
      <c r="W1246" t="s">
        <v>38</v>
      </c>
      <c r="X1246" s="2">
        <v>16</v>
      </c>
      <c r="Y1246" t="s">
        <v>60</v>
      </c>
      <c r="Z1246" t="s">
        <v>62</v>
      </c>
      <c r="AA1246">
        <v>0</v>
      </c>
      <c r="AB1246">
        <v>10</v>
      </c>
      <c r="AC1246">
        <v>2</v>
      </c>
      <c r="AD1246">
        <v>3</v>
      </c>
      <c r="AE1246">
        <v>9</v>
      </c>
      <c r="AF1246">
        <v>7</v>
      </c>
      <c r="AG1246">
        <v>0</v>
      </c>
      <c r="AH1246">
        <v>7</v>
      </c>
      <c r="AI1246" t="str">
        <f t="shared" si="76"/>
        <v>6-10 Years</v>
      </c>
      <c r="AJ1246" t="str">
        <f t="shared" si="77"/>
        <v>0-2</v>
      </c>
    </row>
    <row r="1247" spans="1:36" x14ac:dyDescent="0.35">
      <c r="A1247">
        <v>1246</v>
      </c>
      <c r="B1247">
        <v>24</v>
      </c>
      <c r="C1247" t="str">
        <f t="shared" si="78"/>
        <v>18-25</v>
      </c>
      <c r="D1247" t="s">
        <v>38</v>
      </c>
      <c r="E1247" t="s">
        <v>39</v>
      </c>
      <c r="F1247" s="3">
        <v>1389</v>
      </c>
      <c r="G1247" t="s">
        <v>56</v>
      </c>
      <c r="H1247" s="1">
        <v>10</v>
      </c>
      <c r="I1247" t="s">
        <v>61</v>
      </c>
      <c r="J1247" t="s">
        <v>46</v>
      </c>
      <c r="K1247" t="s">
        <v>59</v>
      </c>
      <c r="L1247" t="s">
        <v>41</v>
      </c>
      <c r="M1247" s="3">
        <v>59</v>
      </c>
      <c r="N1247" t="s">
        <v>60</v>
      </c>
      <c r="O1247" t="s">
        <v>59</v>
      </c>
      <c r="P1247" t="s">
        <v>56</v>
      </c>
      <c r="Q1247" t="s">
        <v>62</v>
      </c>
      <c r="R1247" t="s">
        <v>43</v>
      </c>
      <c r="S1247" s="3">
        <v>2145</v>
      </c>
      <c r="T1247" s="3">
        <v>2097</v>
      </c>
      <c r="U1247" s="3" t="str">
        <f t="shared" si="79"/>
        <v>Low</v>
      </c>
      <c r="V1247">
        <v>0</v>
      </c>
      <c r="W1247" t="s">
        <v>38</v>
      </c>
      <c r="X1247" s="2">
        <v>14</v>
      </c>
      <c r="Y1247" t="s">
        <v>60</v>
      </c>
      <c r="Z1247" t="s">
        <v>62</v>
      </c>
      <c r="AA1247">
        <v>1</v>
      </c>
      <c r="AB1247">
        <v>3</v>
      </c>
      <c r="AC1247">
        <v>2</v>
      </c>
      <c r="AD1247">
        <v>3</v>
      </c>
      <c r="AE1247">
        <v>2</v>
      </c>
      <c r="AF1247">
        <v>2</v>
      </c>
      <c r="AG1247">
        <v>2</v>
      </c>
      <c r="AH1247">
        <v>1</v>
      </c>
      <c r="AI1247" t="str">
        <f t="shared" si="76"/>
        <v>0-2 Years</v>
      </c>
      <c r="AJ1247" t="str">
        <f t="shared" si="77"/>
        <v>0-2</v>
      </c>
    </row>
    <row r="1248" spans="1:36" x14ac:dyDescent="0.35">
      <c r="A1248">
        <v>1247</v>
      </c>
      <c r="B1248">
        <v>30</v>
      </c>
      <c r="C1248" t="str">
        <f t="shared" si="78"/>
        <v>26-35</v>
      </c>
      <c r="D1248" t="s">
        <v>31</v>
      </c>
      <c r="E1248" t="s">
        <v>39</v>
      </c>
      <c r="F1248" s="3">
        <v>1389</v>
      </c>
      <c r="G1248" t="s">
        <v>56</v>
      </c>
      <c r="H1248" s="1">
        <v>8</v>
      </c>
      <c r="I1248" t="s">
        <v>61</v>
      </c>
      <c r="J1248" t="s">
        <v>56</v>
      </c>
      <c r="K1248" t="s">
        <v>60</v>
      </c>
      <c r="L1248" t="s">
        <v>35</v>
      </c>
      <c r="M1248" s="3">
        <v>66</v>
      </c>
      <c r="N1248" t="s">
        <v>61</v>
      </c>
      <c r="O1248" t="s">
        <v>59</v>
      </c>
      <c r="P1248" t="s">
        <v>56</v>
      </c>
      <c r="Q1248" t="s">
        <v>62</v>
      </c>
      <c r="R1248" t="s">
        <v>47</v>
      </c>
      <c r="S1248" s="3">
        <v>2180</v>
      </c>
      <c r="T1248" s="3">
        <v>9732</v>
      </c>
      <c r="U1248" s="3" t="str">
        <f t="shared" si="79"/>
        <v>Low</v>
      </c>
      <c r="V1248">
        <v>6</v>
      </c>
      <c r="W1248" t="s">
        <v>38</v>
      </c>
      <c r="X1248" s="2">
        <v>11</v>
      </c>
      <c r="Y1248" t="s">
        <v>60</v>
      </c>
      <c r="Z1248" t="s">
        <v>60</v>
      </c>
      <c r="AA1248">
        <v>1</v>
      </c>
      <c r="AB1248">
        <v>6</v>
      </c>
      <c r="AC1248">
        <v>0</v>
      </c>
      <c r="AD1248">
        <v>2</v>
      </c>
      <c r="AE1248">
        <v>4</v>
      </c>
      <c r="AF1248">
        <v>2</v>
      </c>
      <c r="AG1248">
        <v>1</v>
      </c>
      <c r="AH1248">
        <v>2</v>
      </c>
      <c r="AI1248" t="str">
        <f t="shared" si="76"/>
        <v>3-5 Years</v>
      </c>
      <c r="AJ1248" t="str">
        <f t="shared" si="77"/>
        <v>0-2</v>
      </c>
    </row>
    <row r="1249" spans="1:36" x14ac:dyDescent="0.35">
      <c r="A1249">
        <v>1248</v>
      </c>
      <c r="B1249">
        <v>31</v>
      </c>
      <c r="C1249" t="str">
        <f t="shared" si="78"/>
        <v>26-35</v>
      </c>
      <c r="D1249" t="s">
        <v>38</v>
      </c>
      <c r="E1249" t="s">
        <v>32</v>
      </c>
      <c r="F1249" s="3">
        <v>1389</v>
      </c>
      <c r="G1249" t="s">
        <v>33</v>
      </c>
      <c r="H1249" s="1">
        <v>5</v>
      </c>
      <c r="I1249" t="s">
        <v>61</v>
      </c>
      <c r="J1249" t="s">
        <v>55</v>
      </c>
      <c r="K1249" t="s">
        <v>59</v>
      </c>
      <c r="L1249" t="s">
        <v>41</v>
      </c>
      <c r="M1249" s="3">
        <v>51</v>
      </c>
      <c r="N1249" t="s">
        <v>60</v>
      </c>
      <c r="O1249" t="s">
        <v>61</v>
      </c>
      <c r="P1249" t="s">
        <v>36</v>
      </c>
      <c r="Q1249" t="s">
        <v>60</v>
      </c>
      <c r="R1249" t="s">
        <v>43</v>
      </c>
      <c r="S1249" s="3">
        <v>8346</v>
      </c>
      <c r="T1249" s="3">
        <v>20943</v>
      </c>
      <c r="U1249" s="3" t="str">
        <f t="shared" si="79"/>
        <v>Medium</v>
      </c>
      <c r="V1249">
        <v>1</v>
      </c>
      <c r="W1249" t="s">
        <v>38</v>
      </c>
      <c r="X1249" s="2">
        <v>19</v>
      </c>
      <c r="Y1249" t="s">
        <v>60</v>
      </c>
      <c r="Z1249" t="s">
        <v>60</v>
      </c>
      <c r="AA1249">
        <v>1</v>
      </c>
      <c r="AB1249">
        <v>6</v>
      </c>
      <c r="AC1249">
        <v>3</v>
      </c>
      <c r="AD1249">
        <v>3</v>
      </c>
      <c r="AE1249">
        <v>5</v>
      </c>
      <c r="AF1249">
        <v>2</v>
      </c>
      <c r="AG1249">
        <v>0</v>
      </c>
      <c r="AH1249">
        <v>2</v>
      </c>
      <c r="AI1249" t="str">
        <f t="shared" si="76"/>
        <v>3-5 Years</v>
      </c>
      <c r="AJ1249" t="str">
        <f t="shared" si="77"/>
        <v>0-2</v>
      </c>
    </row>
    <row r="1250" spans="1:36" x14ac:dyDescent="0.35">
      <c r="A1250">
        <v>1249</v>
      </c>
      <c r="B1250">
        <v>27</v>
      </c>
      <c r="C1250" t="str">
        <f t="shared" si="78"/>
        <v>26-35</v>
      </c>
      <c r="D1250" t="s">
        <v>38</v>
      </c>
      <c r="E1250" t="s">
        <v>32</v>
      </c>
      <c r="F1250" s="3">
        <v>1389</v>
      </c>
      <c r="G1250" t="s">
        <v>40</v>
      </c>
      <c r="H1250" s="1">
        <v>8</v>
      </c>
      <c r="I1250" t="s">
        <v>61</v>
      </c>
      <c r="J1250" t="s">
        <v>46</v>
      </c>
      <c r="K1250" t="s">
        <v>60</v>
      </c>
      <c r="L1250" t="s">
        <v>35</v>
      </c>
      <c r="M1250" s="3">
        <v>67</v>
      </c>
      <c r="N1250" t="s">
        <v>60</v>
      </c>
      <c r="O1250" t="s">
        <v>59</v>
      </c>
      <c r="P1250" t="s">
        <v>42</v>
      </c>
      <c r="Q1250" t="s">
        <v>62</v>
      </c>
      <c r="R1250" t="s">
        <v>37</v>
      </c>
      <c r="S1250" s="3">
        <v>3445</v>
      </c>
      <c r="T1250" s="3">
        <v>6152</v>
      </c>
      <c r="U1250" s="3" t="str">
        <f t="shared" si="79"/>
        <v>Low</v>
      </c>
      <c r="V1250">
        <v>1</v>
      </c>
      <c r="W1250" t="s">
        <v>38</v>
      </c>
      <c r="X1250" s="2">
        <v>11</v>
      </c>
      <c r="Y1250" t="s">
        <v>60</v>
      </c>
      <c r="Z1250" t="s">
        <v>60</v>
      </c>
      <c r="AA1250">
        <v>0</v>
      </c>
      <c r="AB1250">
        <v>6</v>
      </c>
      <c r="AC1250">
        <v>5</v>
      </c>
      <c r="AD1250">
        <v>2</v>
      </c>
      <c r="AE1250">
        <v>6</v>
      </c>
      <c r="AF1250">
        <v>2</v>
      </c>
      <c r="AG1250">
        <v>1</v>
      </c>
      <c r="AH1250">
        <v>4</v>
      </c>
      <c r="AI1250" t="str">
        <f t="shared" si="76"/>
        <v>6-10 Years</v>
      </c>
      <c r="AJ1250" t="str">
        <f t="shared" si="77"/>
        <v>0-2</v>
      </c>
    </row>
    <row r="1251" spans="1:36" x14ac:dyDescent="0.35">
      <c r="A1251">
        <v>1250</v>
      </c>
      <c r="B1251">
        <v>29</v>
      </c>
      <c r="C1251" t="str">
        <f t="shared" si="78"/>
        <v>26-35</v>
      </c>
      <c r="D1251" t="s">
        <v>31</v>
      </c>
      <c r="E1251" t="s">
        <v>32</v>
      </c>
      <c r="F1251" s="3">
        <v>1389</v>
      </c>
      <c r="G1251" t="s">
        <v>33</v>
      </c>
      <c r="H1251" s="1">
        <v>9</v>
      </c>
      <c r="I1251" t="s">
        <v>61</v>
      </c>
      <c r="J1251" t="s">
        <v>54</v>
      </c>
      <c r="K1251" t="s">
        <v>61</v>
      </c>
      <c r="L1251" t="s">
        <v>35</v>
      </c>
      <c r="M1251" s="3">
        <v>52</v>
      </c>
      <c r="N1251" t="s">
        <v>59</v>
      </c>
      <c r="O1251" t="s">
        <v>59</v>
      </c>
      <c r="P1251" t="s">
        <v>52</v>
      </c>
      <c r="Q1251" t="s">
        <v>61</v>
      </c>
      <c r="R1251" t="s">
        <v>37</v>
      </c>
      <c r="S1251" s="3">
        <v>2760</v>
      </c>
      <c r="T1251" s="3">
        <v>14630</v>
      </c>
      <c r="U1251" s="3" t="str">
        <f t="shared" si="79"/>
        <v>Low</v>
      </c>
      <c r="V1251">
        <v>1</v>
      </c>
      <c r="W1251" t="s">
        <v>38</v>
      </c>
      <c r="X1251" s="2">
        <v>13</v>
      </c>
      <c r="Y1251" t="s">
        <v>60</v>
      </c>
      <c r="Z1251" t="s">
        <v>60</v>
      </c>
      <c r="AA1251">
        <v>0</v>
      </c>
      <c r="AB1251">
        <v>2</v>
      </c>
      <c r="AC1251">
        <v>3</v>
      </c>
      <c r="AD1251">
        <v>3</v>
      </c>
      <c r="AE1251">
        <v>2</v>
      </c>
      <c r="AF1251">
        <v>2</v>
      </c>
      <c r="AG1251">
        <v>2</v>
      </c>
      <c r="AH1251">
        <v>2</v>
      </c>
      <c r="AI1251" t="str">
        <f t="shared" si="76"/>
        <v>0-2 Years</v>
      </c>
      <c r="AJ1251" t="str">
        <f t="shared" si="77"/>
        <v>0-2</v>
      </c>
    </row>
    <row r="1252" spans="1:36" x14ac:dyDescent="0.35">
      <c r="A1252">
        <v>1251</v>
      </c>
      <c r="B1252">
        <v>29</v>
      </c>
      <c r="C1252" t="str">
        <f t="shared" si="78"/>
        <v>26-35</v>
      </c>
      <c r="D1252" t="s">
        <v>38</v>
      </c>
      <c r="E1252" t="s">
        <v>39</v>
      </c>
      <c r="F1252" s="3">
        <v>1389</v>
      </c>
      <c r="G1252" t="s">
        <v>40</v>
      </c>
      <c r="H1252" s="1">
        <v>1</v>
      </c>
      <c r="I1252" t="s">
        <v>61</v>
      </c>
      <c r="J1252" t="s">
        <v>34</v>
      </c>
      <c r="K1252" t="s">
        <v>62</v>
      </c>
      <c r="L1252" t="s">
        <v>41</v>
      </c>
      <c r="M1252" s="3">
        <v>70</v>
      </c>
      <c r="N1252" t="s">
        <v>62</v>
      </c>
      <c r="O1252" t="s">
        <v>61</v>
      </c>
      <c r="P1252" t="s">
        <v>49</v>
      </c>
      <c r="Q1252" t="s">
        <v>60</v>
      </c>
      <c r="R1252" t="s">
        <v>37</v>
      </c>
      <c r="S1252" s="3">
        <v>6294</v>
      </c>
      <c r="T1252" s="3">
        <v>23060</v>
      </c>
      <c r="U1252" s="3" t="str">
        <f t="shared" si="79"/>
        <v>Medium</v>
      </c>
      <c r="V1252">
        <v>8</v>
      </c>
      <c r="W1252" t="s">
        <v>31</v>
      </c>
      <c r="X1252" s="2">
        <v>12</v>
      </c>
      <c r="Y1252" t="s">
        <v>60</v>
      </c>
      <c r="Z1252" t="s">
        <v>62</v>
      </c>
      <c r="AA1252">
        <v>0</v>
      </c>
      <c r="AB1252">
        <v>10</v>
      </c>
      <c r="AC1252">
        <v>5</v>
      </c>
      <c r="AD1252">
        <v>4</v>
      </c>
      <c r="AE1252">
        <v>3</v>
      </c>
      <c r="AF1252">
        <v>2</v>
      </c>
      <c r="AG1252">
        <v>0</v>
      </c>
      <c r="AH1252">
        <v>2</v>
      </c>
      <c r="AI1252" t="str">
        <f t="shared" si="76"/>
        <v>3-5 Years</v>
      </c>
      <c r="AJ1252" t="str">
        <f t="shared" si="77"/>
        <v>0-2</v>
      </c>
    </row>
    <row r="1253" spans="1:36" x14ac:dyDescent="0.35">
      <c r="A1253">
        <v>1252</v>
      </c>
      <c r="B1253">
        <v>30</v>
      </c>
      <c r="C1253" t="str">
        <f t="shared" si="78"/>
        <v>26-35</v>
      </c>
      <c r="D1253" t="s">
        <v>38</v>
      </c>
      <c r="E1253" t="s">
        <v>32</v>
      </c>
      <c r="F1253" s="3">
        <v>1389</v>
      </c>
      <c r="G1253" t="s">
        <v>33</v>
      </c>
      <c r="H1253" s="1">
        <v>15</v>
      </c>
      <c r="I1253" t="s">
        <v>58</v>
      </c>
      <c r="J1253" t="s">
        <v>54</v>
      </c>
      <c r="K1253" t="s">
        <v>60</v>
      </c>
      <c r="L1253" t="s">
        <v>41</v>
      </c>
      <c r="M1253" s="3">
        <v>94</v>
      </c>
      <c r="N1253" t="s">
        <v>61</v>
      </c>
      <c r="O1253" t="s">
        <v>60</v>
      </c>
      <c r="P1253" t="s">
        <v>36</v>
      </c>
      <c r="Q1253" t="s">
        <v>59</v>
      </c>
      <c r="R1253" t="s">
        <v>47</v>
      </c>
      <c r="S1253" s="3">
        <v>7140</v>
      </c>
      <c r="T1253" s="3">
        <v>3088</v>
      </c>
      <c r="U1253" s="3" t="str">
        <f t="shared" si="79"/>
        <v>Medium</v>
      </c>
      <c r="V1253">
        <v>2</v>
      </c>
      <c r="W1253" t="s">
        <v>38</v>
      </c>
      <c r="X1253" s="2">
        <v>11</v>
      </c>
      <c r="Y1253" t="s">
        <v>60</v>
      </c>
      <c r="Z1253" t="s">
        <v>59</v>
      </c>
      <c r="AA1253">
        <v>1</v>
      </c>
      <c r="AB1253">
        <v>12</v>
      </c>
      <c r="AC1253">
        <v>2</v>
      </c>
      <c r="AD1253">
        <v>3</v>
      </c>
      <c r="AE1253">
        <v>7</v>
      </c>
      <c r="AF1253">
        <v>7</v>
      </c>
      <c r="AG1253">
        <v>1</v>
      </c>
      <c r="AH1253">
        <v>7</v>
      </c>
      <c r="AI1253" t="str">
        <f t="shared" si="76"/>
        <v>6-10 Years</v>
      </c>
      <c r="AJ1253" t="str">
        <f t="shared" si="77"/>
        <v>0-2</v>
      </c>
    </row>
    <row r="1254" spans="1:36" x14ac:dyDescent="0.35">
      <c r="A1254">
        <v>1253</v>
      </c>
      <c r="B1254">
        <v>34</v>
      </c>
      <c r="C1254" t="str">
        <f t="shared" si="78"/>
        <v>26-35</v>
      </c>
      <c r="D1254" t="s">
        <v>38</v>
      </c>
      <c r="E1254" t="s">
        <v>32</v>
      </c>
      <c r="F1254" s="3">
        <v>1389</v>
      </c>
      <c r="G1254" t="s">
        <v>40</v>
      </c>
      <c r="H1254" s="1">
        <v>2</v>
      </c>
      <c r="I1254" t="s">
        <v>60</v>
      </c>
      <c r="J1254" t="s">
        <v>46</v>
      </c>
      <c r="K1254" t="s">
        <v>62</v>
      </c>
      <c r="L1254" t="s">
        <v>41</v>
      </c>
      <c r="M1254" s="3">
        <v>97</v>
      </c>
      <c r="N1254" t="s">
        <v>62</v>
      </c>
      <c r="O1254" t="s">
        <v>59</v>
      </c>
      <c r="P1254" t="s">
        <v>42</v>
      </c>
      <c r="Q1254" t="s">
        <v>62</v>
      </c>
      <c r="R1254" t="s">
        <v>43</v>
      </c>
      <c r="S1254" s="3">
        <v>2932</v>
      </c>
      <c r="T1254" s="3">
        <v>5586</v>
      </c>
      <c r="U1254" s="3" t="str">
        <f t="shared" si="79"/>
        <v>Low</v>
      </c>
      <c r="V1254">
        <v>0</v>
      </c>
      <c r="W1254" t="s">
        <v>31</v>
      </c>
      <c r="X1254" s="2">
        <v>14</v>
      </c>
      <c r="Y1254" t="s">
        <v>60</v>
      </c>
      <c r="Z1254" t="s">
        <v>59</v>
      </c>
      <c r="AA1254">
        <v>3</v>
      </c>
      <c r="AB1254">
        <v>6</v>
      </c>
      <c r="AC1254">
        <v>3</v>
      </c>
      <c r="AD1254">
        <v>3</v>
      </c>
      <c r="AE1254">
        <v>5</v>
      </c>
      <c r="AF1254">
        <v>0</v>
      </c>
      <c r="AG1254">
        <v>1</v>
      </c>
      <c r="AH1254">
        <v>2</v>
      </c>
      <c r="AI1254" t="str">
        <f t="shared" si="76"/>
        <v>3-5 Years</v>
      </c>
      <c r="AJ1254" t="str">
        <f t="shared" si="77"/>
        <v>0-2</v>
      </c>
    </row>
    <row r="1255" spans="1:36" x14ac:dyDescent="0.35">
      <c r="A1255">
        <v>1254</v>
      </c>
      <c r="B1255">
        <v>33</v>
      </c>
      <c r="C1255" t="str">
        <f t="shared" si="78"/>
        <v>26-35</v>
      </c>
      <c r="D1255" t="s">
        <v>38</v>
      </c>
      <c r="E1255" t="s">
        <v>50</v>
      </c>
      <c r="F1255" s="3">
        <v>1389</v>
      </c>
      <c r="G1255" t="s">
        <v>33</v>
      </c>
      <c r="H1255" s="1">
        <v>2</v>
      </c>
      <c r="I1255" t="s">
        <v>61</v>
      </c>
      <c r="J1255" t="s">
        <v>54</v>
      </c>
      <c r="K1255" t="s">
        <v>62</v>
      </c>
      <c r="L1255" t="s">
        <v>35</v>
      </c>
      <c r="M1255" s="3">
        <v>62</v>
      </c>
      <c r="N1255" t="s">
        <v>60</v>
      </c>
      <c r="O1255" t="s">
        <v>61</v>
      </c>
      <c r="P1255" t="s">
        <v>36</v>
      </c>
      <c r="Q1255" t="s">
        <v>61</v>
      </c>
      <c r="R1255" t="s">
        <v>37</v>
      </c>
      <c r="S1255" s="3">
        <v>5147</v>
      </c>
      <c r="T1255" s="3">
        <v>10697</v>
      </c>
      <c r="U1255" s="3" t="str">
        <f t="shared" si="79"/>
        <v>Medium</v>
      </c>
      <c r="V1255">
        <v>8</v>
      </c>
      <c r="W1255" t="s">
        <v>38</v>
      </c>
      <c r="X1255" s="2">
        <v>15</v>
      </c>
      <c r="Y1255" t="s">
        <v>60</v>
      </c>
      <c r="Z1255" t="s">
        <v>62</v>
      </c>
      <c r="AA1255">
        <v>0</v>
      </c>
      <c r="AB1255">
        <v>13</v>
      </c>
      <c r="AC1255">
        <v>2</v>
      </c>
      <c r="AD1255">
        <v>2</v>
      </c>
      <c r="AE1255">
        <v>11</v>
      </c>
      <c r="AF1255">
        <v>7</v>
      </c>
      <c r="AG1255">
        <v>1</v>
      </c>
      <c r="AH1255">
        <v>7</v>
      </c>
      <c r="AI1255" t="str">
        <f t="shared" si="76"/>
        <v>10+ Years</v>
      </c>
      <c r="AJ1255" t="str">
        <f t="shared" si="77"/>
        <v>0-2</v>
      </c>
    </row>
    <row r="1256" spans="1:36" x14ac:dyDescent="0.35">
      <c r="A1256">
        <v>1255</v>
      </c>
      <c r="B1256">
        <v>49</v>
      </c>
      <c r="C1256" t="str">
        <f t="shared" si="78"/>
        <v>46-55</v>
      </c>
      <c r="D1256" t="s">
        <v>38</v>
      </c>
      <c r="E1256" t="s">
        <v>32</v>
      </c>
      <c r="F1256" s="3">
        <v>1389</v>
      </c>
      <c r="G1256" t="s">
        <v>33</v>
      </c>
      <c r="H1256" s="1">
        <v>11</v>
      </c>
      <c r="I1256" t="s">
        <v>60</v>
      </c>
      <c r="J1256" t="s">
        <v>54</v>
      </c>
      <c r="K1256" t="s">
        <v>62</v>
      </c>
      <c r="L1256" t="s">
        <v>35</v>
      </c>
      <c r="M1256" s="3">
        <v>80</v>
      </c>
      <c r="N1256" t="s">
        <v>60</v>
      </c>
      <c r="O1256" t="s">
        <v>61</v>
      </c>
      <c r="P1256" t="s">
        <v>36</v>
      </c>
      <c r="Q1256" t="s">
        <v>62</v>
      </c>
      <c r="R1256" t="s">
        <v>37</v>
      </c>
      <c r="S1256" s="3">
        <v>4507</v>
      </c>
      <c r="T1256" s="3">
        <v>8191</v>
      </c>
      <c r="U1256" s="3" t="str">
        <f t="shared" si="79"/>
        <v>Low</v>
      </c>
      <c r="V1256">
        <v>3</v>
      </c>
      <c r="W1256" t="s">
        <v>38</v>
      </c>
      <c r="X1256" s="2">
        <v>12</v>
      </c>
      <c r="Y1256" t="s">
        <v>60</v>
      </c>
      <c r="Z1256" t="s">
        <v>60</v>
      </c>
      <c r="AA1256">
        <v>0</v>
      </c>
      <c r="AB1256">
        <v>8</v>
      </c>
      <c r="AC1256">
        <v>1</v>
      </c>
      <c r="AD1256">
        <v>4</v>
      </c>
      <c r="AE1256">
        <v>5</v>
      </c>
      <c r="AF1256">
        <v>1</v>
      </c>
      <c r="AG1256">
        <v>0</v>
      </c>
      <c r="AH1256">
        <v>4</v>
      </c>
      <c r="AI1256" t="str">
        <f t="shared" si="76"/>
        <v>3-5 Years</v>
      </c>
      <c r="AJ1256" t="str">
        <f t="shared" si="77"/>
        <v>0-2</v>
      </c>
    </row>
    <row r="1257" spans="1:36" x14ac:dyDescent="0.35">
      <c r="A1257">
        <v>1256</v>
      </c>
      <c r="B1257">
        <v>33</v>
      </c>
      <c r="C1257" t="str">
        <f t="shared" si="78"/>
        <v>26-35</v>
      </c>
      <c r="D1257" t="s">
        <v>31</v>
      </c>
      <c r="E1257" t="s">
        <v>32</v>
      </c>
      <c r="F1257" s="3">
        <v>1389</v>
      </c>
      <c r="G1257" t="s">
        <v>33</v>
      </c>
      <c r="H1257" s="1">
        <v>16</v>
      </c>
      <c r="I1257" t="s">
        <v>61</v>
      </c>
      <c r="J1257" t="s">
        <v>34</v>
      </c>
      <c r="K1257" t="s">
        <v>59</v>
      </c>
      <c r="L1257" t="s">
        <v>35</v>
      </c>
      <c r="M1257" s="3">
        <v>74</v>
      </c>
      <c r="N1257" t="s">
        <v>60</v>
      </c>
      <c r="O1257" t="s">
        <v>60</v>
      </c>
      <c r="P1257" t="s">
        <v>36</v>
      </c>
      <c r="Q1257" t="s">
        <v>59</v>
      </c>
      <c r="R1257" t="s">
        <v>37</v>
      </c>
      <c r="S1257" s="3">
        <v>8564</v>
      </c>
      <c r="T1257" s="3">
        <v>10092</v>
      </c>
      <c r="U1257" s="3" t="str">
        <f t="shared" si="79"/>
        <v>Medium</v>
      </c>
      <c r="V1257">
        <v>2</v>
      </c>
      <c r="W1257" t="s">
        <v>31</v>
      </c>
      <c r="X1257" s="2">
        <v>20</v>
      </c>
      <c r="Y1257" t="s">
        <v>62</v>
      </c>
      <c r="Z1257" t="s">
        <v>60</v>
      </c>
      <c r="AA1257">
        <v>0</v>
      </c>
      <c r="AB1257">
        <v>11</v>
      </c>
      <c r="AC1257">
        <v>2</v>
      </c>
      <c r="AD1257">
        <v>2</v>
      </c>
      <c r="AE1257">
        <v>0</v>
      </c>
      <c r="AF1257">
        <v>0</v>
      </c>
      <c r="AG1257">
        <v>0</v>
      </c>
      <c r="AH1257">
        <v>0</v>
      </c>
      <c r="AI1257" t="str">
        <f t="shared" si="76"/>
        <v>0-2 Years</v>
      </c>
      <c r="AJ1257" t="str">
        <f t="shared" si="77"/>
        <v>0-2</v>
      </c>
    </row>
    <row r="1258" spans="1:36" x14ac:dyDescent="0.35">
      <c r="A1258">
        <v>1257</v>
      </c>
      <c r="B1258">
        <v>38</v>
      </c>
      <c r="C1258" t="str">
        <f t="shared" si="78"/>
        <v>36-45</v>
      </c>
      <c r="D1258" t="s">
        <v>38</v>
      </c>
      <c r="E1258" t="s">
        <v>39</v>
      </c>
      <c r="F1258" s="3">
        <v>1389</v>
      </c>
      <c r="G1258" t="s">
        <v>40</v>
      </c>
      <c r="H1258" s="1">
        <v>2</v>
      </c>
      <c r="I1258" t="s">
        <v>58</v>
      </c>
      <c r="J1258" t="s">
        <v>46</v>
      </c>
      <c r="K1258" t="s">
        <v>60</v>
      </c>
      <c r="L1258" t="s">
        <v>35</v>
      </c>
      <c r="M1258" s="3">
        <v>75</v>
      </c>
      <c r="N1258" t="s">
        <v>61</v>
      </c>
      <c r="O1258" t="s">
        <v>59</v>
      </c>
      <c r="P1258" t="s">
        <v>45</v>
      </c>
      <c r="Q1258" t="s">
        <v>61</v>
      </c>
      <c r="R1258" t="s">
        <v>43</v>
      </c>
      <c r="S1258" s="3">
        <v>2468</v>
      </c>
      <c r="T1258" s="3">
        <v>15963</v>
      </c>
      <c r="U1258" s="3" t="str">
        <f t="shared" si="79"/>
        <v>Low</v>
      </c>
      <c r="V1258">
        <v>4</v>
      </c>
      <c r="W1258" t="s">
        <v>38</v>
      </c>
      <c r="X1258" s="2">
        <v>14</v>
      </c>
      <c r="Y1258" t="s">
        <v>60</v>
      </c>
      <c r="Z1258" t="s">
        <v>61</v>
      </c>
      <c r="AA1258">
        <v>1</v>
      </c>
      <c r="AB1258">
        <v>9</v>
      </c>
      <c r="AC1258">
        <v>4</v>
      </c>
      <c r="AD1258">
        <v>2</v>
      </c>
      <c r="AE1258">
        <v>6</v>
      </c>
      <c r="AF1258">
        <v>1</v>
      </c>
      <c r="AG1258">
        <v>0</v>
      </c>
      <c r="AH1258">
        <v>5</v>
      </c>
      <c r="AI1258" t="str">
        <f t="shared" si="76"/>
        <v>6-10 Years</v>
      </c>
      <c r="AJ1258" t="str">
        <f t="shared" si="77"/>
        <v>0-2</v>
      </c>
    </row>
    <row r="1259" spans="1:36" x14ac:dyDescent="0.35">
      <c r="A1259">
        <v>1258</v>
      </c>
      <c r="B1259">
        <v>31</v>
      </c>
      <c r="C1259" t="str">
        <f t="shared" si="78"/>
        <v>26-35</v>
      </c>
      <c r="D1259" t="s">
        <v>31</v>
      </c>
      <c r="E1259" t="s">
        <v>32</v>
      </c>
      <c r="F1259" s="3">
        <v>1389</v>
      </c>
      <c r="G1259" t="s">
        <v>33</v>
      </c>
      <c r="H1259" s="1">
        <v>16</v>
      </c>
      <c r="I1259" t="s">
        <v>60</v>
      </c>
      <c r="J1259" t="s">
        <v>54</v>
      </c>
      <c r="K1259" t="s">
        <v>59</v>
      </c>
      <c r="L1259" t="s">
        <v>41</v>
      </c>
      <c r="M1259" s="3">
        <v>70</v>
      </c>
      <c r="N1259" t="s">
        <v>60</v>
      </c>
      <c r="O1259" t="s">
        <v>60</v>
      </c>
      <c r="P1259" t="s">
        <v>36</v>
      </c>
      <c r="Q1259" t="s">
        <v>60</v>
      </c>
      <c r="R1259" t="s">
        <v>43</v>
      </c>
      <c r="S1259" s="3">
        <v>8161</v>
      </c>
      <c r="T1259" s="3">
        <v>19002</v>
      </c>
      <c r="U1259" s="3" t="str">
        <f t="shared" si="79"/>
        <v>Medium</v>
      </c>
      <c r="V1259">
        <v>2</v>
      </c>
      <c r="W1259" t="s">
        <v>38</v>
      </c>
      <c r="X1259" s="2">
        <v>13</v>
      </c>
      <c r="Y1259" t="s">
        <v>60</v>
      </c>
      <c r="Z1259" t="s">
        <v>59</v>
      </c>
      <c r="AA1259">
        <v>3</v>
      </c>
      <c r="AB1259">
        <v>10</v>
      </c>
      <c r="AC1259">
        <v>2</v>
      </c>
      <c r="AD1259">
        <v>3</v>
      </c>
      <c r="AE1259">
        <v>1</v>
      </c>
      <c r="AF1259">
        <v>0</v>
      </c>
      <c r="AG1259">
        <v>0</v>
      </c>
      <c r="AH1259">
        <v>0</v>
      </c>
      <c r="AI1259" t="str">
        <f t="shared" si="76"/>
        <v>0-2 Years</v>
      </c>
      <c r="AJ1259" t="str">
        <f t="shared" si="77"/>
        <v>0-2</v>
      </c>
    </row>
    <row r="1260" spans="1:36" x14ac:dyDescent="0.35">
      <c r="A1260">
        <v>1259</v>
      </c>
      <c r="B1260">
        <v>29</v>
      </c>
      <c r="C1260" t="str">
        <f t="shared" si="78"/>
        <v>26-35</v>
      </c>
      <c r="D1260" t="s">
        <v>38</v>
      </c>
      <c r="E1260" t="s">
        <v>32</v>
      </c>
      <c r="F1260" s="3">
        <v>1389</v>
      </c>
      <c r="G1260" t="s">
        <v>40</v>
      </c>
      <c r="H1260" s="1">
        <v>4</v>
      </c>
      <c r="I1260" t="s">
        <v>61</v>
      </c>
      <c r="J1260" t="s">
        <v>55</v>
      </c>
      <c r="K1260" t="s">
        <v>62</v>
      </c>
      <c r="L1260" t="s">
        <v>35</v>
      </c>
      <c r="M1260" s="3">
        <v>91</v>
      </c>
      <c r="N1260" t="s">
        <v>61</v>
      </c>
      <c r="O1260" t="s">
        <v>59</v>
      </c>
      <c r="P1260" t="s">
        <v>42</v>
      </c>
      <c r="Q1260" t="s">
        <v>59</v>
      </c>
      <c r="R1260" t="s">
        <v>47</v>
      </c>
      <c r="S1260" s="3">
        <v>2109</v>
      </c>
      <c r="T1260" s="3">
        <v>10007</v>
      </c>
      <c r="U1260" s="3" t="str">
        <f t="shared" si="79"/>
        <v>Low</v>
      </c>
      <c r="V1260">
        <v>1</v>
      </c>
      <c r="W1260" t="s">
        <v>38</v>
      </c>
      <c r="X1260" s="2">
        <v>13</v>
      </c>
      <c r="Y1260" t="s">
        <v>60</v>
      </c>
      <c r="Z1260" t="s">
        <v>60</v>
      </c>
      <c r="AA1260">
        <v>1</v>
      </c>
      <c r="AB1260">
        <v>1</v>
      </c>
      <c r="AC1260">
        <v>2</v>
      </c>
      <c r="AD1260">
        <v>3</v>
      </c>
      <c r="AE1260">
        <v>1</v>
      </c>
      <c r="AF1260">
        <v>0</v>
      </c>
      <c r="AG1260">
        <v>0</v>
      </c>
      <c r="AH1260">
        <v>0</v>
      </c>
      <c r="AI1260" t="str">
        <f t="shared" si="76"/>
        <v>0-2 Years</v>
      </c>
      <c r="AJ1260" t="str">
        <f t="shared" si="77"/>
        <v>0-2</v>
      </c>
    </row>
    <row r="1261" spans="1:36" x14ac:dyDescent="0.35">
      <c r="A1261">
        <v>1260</v>
      </c>
      <c r="B1261">
        <v>30</v>
      </c>
      <c r="C1261" t="str">
        <f t="shared" si="78"/>
        <v>26-35</v>
      </c>
      <c r="D1261" t="s">
        <v>38</v>
      </c>
      <c r="E1261" t="s">
        <v>32</v>
      </c>
      <c r="F1261" s="3">
        <v>1389</v>
      </c>
      <c r="G1261" t="s">
        <v>40</v>
      </c>
      <c r="H1261" s="1">
        <v>16</v>
      </c>
      <c r="I1261" t="s">
        <v>61</v>
      </c>
      <c r="J1261" t="s">
        <v>34</v>
      </c>
      <c r="K1261" t="s">
        <v>60</v>
      </c>
      <c r="L1261" t="s">
        <v>41</v>
      </c>
      <c r="M1261" s="3">
        <v>58</v>
      </c>
      <c r="N1261" t="s">
        <v>62</v>
      </c>
      <c r="O1261" t="s">
        <v>61</v>
      </c>
      <c r="P1261" t="s">
        <v>49</v>
      </c>
      <c r="Q1261" t="s">
        <v>60</v>
      </c>
      <c r="R1261" t="s">
        <v>43</v>
      </c>
      <c r="S1261" s="3">
        <v>5294</v>
      </c>
      <c r="T1261" s="3">
        <v>9128</v>
      </c>
      <c r="U1261" s="3" t="str">
        <f t="shared" si="79"/>
        <v>Medium</v>
      </c>
      <c r="V1261">
        <v>3</v>
      </c>
      <c r="W1261" t="s">
        <v>38</v>
      </c>
      <c r="X1261" s="2">
        <v>16</v>
      </c>
      <c r="Y1261" t="s">
        <v>60</v>
      </c>
      <c r="Z1261" t="s">
        <v>60</v>
      </c>
      <c r="AA1261">
        <v>1</v>
      </c>
      <c r="AB1261">
        <v>10</v>
      </c>
      <c r="AC1261">
        <v>3</v>
      </c>
      <c r="AD1261">
        <v>3</v>
      </c>
      <c r="AE1261">
        <v>7</v>
      </c>
      <c r="AF1261">
        <v>0</v>
      </c>
      <c r="AG1261">
        <v>1</v>
      </c>
      <c r="AH1261">
        <v>7</v>
      </c>
      <c r="AI1261" t="str">
        <f t="shared" si="76"/>
        <v>6-10 Years</v>
      </c>
      <c r="AJ1261" t="str">
        <f t="shared" si="77"/>
        <v>0-2</v>
      </c>
    </row>
    <row r="1262" spans="1:36" x14ac:dyDescent="0.35">
      <c r="A1262">
        <v>1261</v>
      </c>
      <c r="B1262">
        <v>32</v>
      </c>
      <c r="C1262" t="str">
        <f t="shared" si="78"/>
        <v>26-35</v>
      </c>
      <c r="D1262" t="s">
        <v>38</v>
      </c>
      <c r="E1262" t="s">
        <v>50</v>
      </c>
      <c r="F1262" s="3">
        <v>1389</v>
      </c>
      <c r="G1262" t="s">
        <v>40</v>
      </c>
      <c r="H1262" s="1">
        <v>5</v>
      </c>
      <c r="I1262" t="s">
        <v>60</v>
      </c>
      <c r="J1262" t="s">
        <v>55</v>
      </c>
      <c r="K1262" t="s">
        <v>61</v>
      </c>
      <c r="L1262" t="s">
        <v>41</v>
      </c>
      <c r="M1262" s="3">
        <v>65</v>
      </c>
      <c r="N1262" t="s">
        <v>60</v>
      </c>
      <c r="O1262" t="s">
        <v>59</v>
      </c>
      <c r="P1262" t="s">
        <v>42</v>
      </c>
      <c r="Q1262" t="s">
        <v>61</v>
      </c>
      <c r="R1262" t="s">
        <v>37</v>
      </c>
      <c r="S1262" s="3">
        <v>2718</v>
      </c>
      <c r="T1262" s="3">
        <v>17674</v>
      </c>
      <c r="U1262" s="3" t="str">
        <f t="shared" si="79"/>
        <v>Low</v>
      </c>
      <c r="V1262">
        <v>2</v>
      </c>
      <c r="W1262" t="s">
        <v>38</v>
      </c>
      <c r="X1262" s="2">
        <v>14</v>
      </c>
      <c r="Y1262" t="s">
        <v>60</v>
      </c>
      <c r="Z1262" t="s">
        <v>61</v>
      </c>
      <c r="AA1262">
        <v>0</v>
      </c>
      <c r="AB1262">
        <v>12</v>
      </c>
      <c r="AC1262">
        <v>3</v>
      </c>
      <c r="AD1262">
        <v>3</v>
      </c>
      <c r="AE1262">
        <v>7</v>
      </c>
      <c r="AF1262">
        <v>7</v>
      </c>
      <c r="AG1262">
        <v>0</v>
      </c>
      <c r="AH1262">
        <v>7</v>
      </c>
      <c r="AI1262" t="str">
        <f t="shared" si="76"/>
        <v>6-10 Years</v>
      </c>
      <c r="AJ1262" t="str">
        <f t="shared" si="77"/>
        <v>0-2</v>
      </c>
    </row>
    <row r="1263" spans="1:36" x14ac:dyDescent="0.35">
      <c r="A1263">
        <v>1262</v>
      </c>
      <c r="B1263">
        <v>38</v>
      </c>
      <c r="C1263" t="str">
        <f t="shared" si="78"/>
        <v>36-45</v>
      </c>
      <c r="D1263" t="s">
        <v>38</v>
      </c>
      <c r="E1263" t="s">
        <v>32</v>
      </c>
      <c r="F1263" s="3">
        <v>1389</v>
      </c>
      <c r="G1263" t="s">
        <v>40</v>
      </c>
      <c r="H1263" s="1">
        <v>18</v>
      </c>
      <c r="I1263" t="s">
        <v>61</v>
      </c>
      <c r="J1263" t="s">
        <v>46</v>
      </c>
      <c r="K1263" t="s">
        <v>61</v>
      </c>
      <c r="L1263" t="s">
        <v>41</v>
      </c>
      <c r="M1263" s="3">
        <v>60</v>
      </c>
      <c r="N1263" t="s">
        <v>59</v>
      </c>
      <c r="O1263" t="s">
        <v>61</v>
      </c>
      <c r="P1263" t="s">
        <v>49</v>
      </c>
      <c r="Q1263" t="s">
        <v>62</v>
      </c>
      <c r="R1263" t="s">
        <v>43</v>
      </c>
      <c r="S1263" s="3">
        <v>5811</v>
      </c>
      <c r="T1263" s="3">
        <v>24539</v>
      </c>
      <c r="U1263" s="3" t="str">
        <f t="shared" si="79"/>
        <v>Medium</v>
      </c>
      <c r="V1263">
        <v>3</v>
      </c>
      <c r="W1263" t="s">
        <v>31</v>
      </c>
      <c r="X1263" s="2">
        <v>16</v>
      </c>
      <c r="Y1263" t="s">
        <v>60</v>
      </c>
      <c r="Z1263" t="s">
        <v>60</v>
      </c>
      <c r="AA1263">
        <v>1</v>
      </c>
      <c r="AB1263">
        <v>15</v>
      </c>
      <c r="AC1263">
        <v>2</v>
      </c>
      <c r="AD1263">
        <v>3</v>
      </c>
      <c r="AE1263">
        <v>1</v>
      </c>
      <c r="AF1263">
        <v>0</v>
      </c>
      <c r="AG1263">
        <v>1</v>
      </c>
      <c r="AH1263">
        <v>0</v>
      </c>
      <c r="AI1263" t="str">
        <f t="shared" si="76"/>
        <v>0-2 Years</v>
      </c>
      <c r="AJ1263" t="str">
        <f t="shared" si="77"/>
        <v>0-2</v>
      </c>
    </row>
    <row r="1264" spans="1:36" x14ac:dyDescent="0.35">
      <c r="A1264">
        <v>1263</v>
      </c>
      <c r="B1264">
        <v>43</v>
      </c>
      <c r="C1264" t="str">
        <f t="shared" si="78"/>
        <v>36-45</v>
      </c>
      <c r="D1264" t="s">
        <v>31</v>
      </c>
      <c r="E1264" t="s">
        <v>39</v>
      </c>
      <c r="F1264" s="3">
        <v>1389</v>
      </c>
      <c r="G1264" t="s">
        <v>40</v>
      </c>
      <c r="H1264" s="1">
        <v>17</v>
      </c>
      <c r="I1264" t="s">
        <v>61</v>
      </c>
      <c r="J1264" t="s">
        <v>55</v>
      </c>
      <c r="K1264" t="s">
        <v>60</v>
      </c>
      <c r="L1264" t="s">
        <v>41</v>
      </c>
      <c r="M1264" s="3">
        <v>38</v>
      </c>
      <c r="N1264" t="s">
        <v>61</v>
      </c>
      <c r="O1264" t="s">
        <v>59</v>
      </c>
      <c r="P1264" t="s">
        <v>42</v>
      </c>
      <c r="Q1264" t="s">
        <v>60</v>
      </c>
      <c r="R1264" t="s">
        <v>43</v>
      </c>
      <c r="S1264" s="3">
        <v>2437</v>
      </c>
      <c r="T1264" s="3">
        <v>15587</v>
      </c>
      <c r="U1264" s="3" t="str">
        <f t="shared" si="79"/>
        <v>Low</v>
      </c>
      <c r="V1264">
        <v>9</v>
      </c>
      <c r="W1264" t="s">
        <v>31</v>
      </c>
      <c r="X1264" s="2">
        <v>16</v>
      </c>
      <c r="Y1264" t="s">
        <v>60</v>
      </c>
      <c r="Z1264" t="s">
        <v>62</v>
      </c>
      <c r="AA1264">
        <v>1</v>
      </c>
      <c r="AB1264">
        <v>6</v>
      </c>
      <c r="AC1264">
        <v>4</v>
      </c>
      <c r="AD1264">
        <v>3</v>
      </c>
      <c r="AE1264">
        <v>1</v>
      </c>
      <c r="AF1264">
        <v>0</v>
      </c>
      <c r="AG1264">
        <v>0</v>
      </c>
      <c r="AH1264">
        <v>0</v>
      </c>
      <c r="AI1264" t="str">
        <f t="shared" si="76"/>
        <v>0-2 Years</v>
      </c>
      <c r="AJ1264" t="str">
        <f t="shared" si="77"/>
        <v>0-2</v>
      </c>
    </row>
    <row r="1265" spans="1:36" x14ac:dyDescent="0.35">
      <c r="A1265">
        <v>1264</v>
      </c>
      <c r="B1265">
        <v>42</v>
      </c>
      <c r="C1265" t="str">
        <f t="shared" si="78"/>
        <v>36-45</v>
      </c>
      <c r="D1265" t="s">
        <v>38</v>
      </c>
      <c r="E1265" t="s">
        <v>32</v>
      </c>
      <c r="F1265" s="3">
        <v>1389</v>
      </c>
      <c r="G1265" t="s">
        <v>40</v>
      </c>
      <c r="H1265" s="1">
        <v>12</v>
      </c>
      <c r="I1265" t="s">
        <v>61</v>
      </c>
      <c r="J1265" t="s">
        <v>46</v>
      </c>
      <c r="K1265" t="s">
        <v>61</v>
      </c>
      <c r="L1265" t="s">
        <v>41</v>
      </c>
      <c r="M1265" s="3">
        <v>57</v>
      </c>
      <c r="N1265" t="s">
        <v>60</v>
      </c>
      <c r="O1265" t="s">
        <v>59</v>
      </c>
      <c r="P1265" t="s">
        <v>45</v>
      </c>
      <c r="Q1265" t="s">
        <v>61</v>
      </c>
      <c r="R1265" t="s">
        <v>47</v>
      </c>
      <c r="S1265" s="3">
        <v>2766</v>
      </c>
      <c r="T1265" s="3">
        <v>8952</v>
      </c>
      <c r="U1265" s="3" t="str">
        <f t="shared" si="79"/>
        <v>Low</v>
      </c>
      <c r="V1265">
        <v>8</v>
      </c>
      <c r="W1265" t="s">
        <v>38</v>
      </c>
      <c r="X1265" s="2">
        <v>22</v>
      </c>
      <c r="Y1265" t="s">
        <v>62</v>
      </c>
      <c r="Z1265" t="s">
        <v>61</v>
      </c>
      <c r="AA1265">
        <v>3</v>
      </c>
      <c r="AB1265">
        <v>7</v>
      </c>
      <c r="AC1265">
        <v>6</v>
      </c>
      <c r="AD1265">
        <v>2</v>
      </c>
      <c r="AE1265">
        <v>5</v>
      </c>
      <c r="AF1265">
        <v>3</v>
      </c>
      <c r="AG1265">
        <v>0</v>
      </c>
      <c r="AH1265">
        <v>4</v>
      </c>
      <c r="AI1265" t="str">
        <f t="shared" si="76"/>
        <v>3-5 Years</v>
      </c>
      <c r="AJ1265" t="str">
        <f t="shared" si="77"/>
        <v>0-2</v>
      </c>
    </row>
    <row r="1266" spans="1:36" x14ac:dyDescent="0.35">
      <c r="A1266">
        <v>1265</v>
      </c>
      <c r="B1266">
        <v>55</v>
      </c>
      <c r="C1266" t="str">
        <f t="shared" si="78"/>
        <v>46-55</v>
      </c>
      <c r="D1266" t="s">
        <v>38</v>
      </c>
      <c r="E1266" t="s">
        <v>32</v>
      </c>
      <c r="F1266" s="3">
        <v>1389</v>
      </c>
      <c r="G1266" t="s">
        <v>40</v>
      </c>
      <c r="H1266" s="1">
        <v>2</v>
      </c>
      <c r="I1266" t="s">
        <v>61</v>
      </c>
      <c r="J1266" t="s">
        <v>46</v>
      </c>
      <c r="K1266" t="s">
        <v>60</v>
      </c>
      <c r="L1266" t="s">
        <v>41</v>
      </c>
      <c r="M1266" s="3">
        <v>60</v>
      </c>
      <c r="N1266" t="s">
        <v>61</v>
      </c>
      <c r="O1266" t="e">
        <v>#N/A</v>
      </c>
      <c r="P1266" t="s">
        <v>53</v>
      </c>
      <c r="Q1266" t="s">
        <v>59</v>
      </c>
      <c r="R1266" t="s">
        <v>43</v>
      </c>
      <c r="S1266" s="3">
        <v>19038</v>
      </c>
      <c r="T1266" s="3">
        <v>19805</v>
      </c>
      <c r="U1266" s="3" t="str">
        <f t="shared" si="79"/>
        <v>High</v>
      </c>
      <c r="V1266">
        <v>8</v>
      </c>
      <c r="W1266" t="s">
        <v>38</v>
      </c>
      <c r="X1266" s="2">
        <v>12</v>
      </c>
      <c r="Y1266" t="s">
        <v>60</v>
      </c>
      <c r="Z1266" t="s">
        <v>61</v>
      </c>
      <c r="AA1266">
        <v>3</v>
      </c>
      <c r="AB1266">
        <v>34</v>
      </c>
      <c r="AC1266">
        <v>2</v>
      </c>
      <c r="AD1266">
        <v>3</v>
      </c>
      <c r="AE1266">
        <v>1</v>
      </c>
      <c r="AF1266">
        <v>0</v>
      </c>
      <c r="AG1266">
        <v>0</v>
      </c>
      <c r="AH1266">
        <v>0</v>
      </c>
      <c r="AI1266" t="str">
        <f t="shared" si="76"/>
        <v>0-2 Years</v>
      </c>
      <c r="AJ1266" t="str">
        <f t="shared" si="77"/>
        <v>0-2</v>
      </c>
    </row>
    <row r="1267" spans="1:36" x14ac:dyDescent="0.35">
      <c r="A1267">
        <v>1266</v>
      </c>
      <c r="B1267">
        <v>33</v>
      </c>
      <c r="C1267" t="str">
        <f t="shared" si="78"/>
        <v>26-35</v>
      </c>
      <c r="D1267" t="s">
        <v>38</v>
      </c>
      <c r="E1267" t="s">
        <v>50</v>
      </c>
      <c r="F1267" s="3">
        <v>1389</v>
      </c>
      <c r="G1267" t="s">
        <v>40</v>
      </c>
      <c r="H1267" s="1">
        <v>4</v>
      </c>
      <c r="I1267" t="s">
        <v>61</v>
      </c>
      <c r="J1267" t="s">
        <v>55</v>
      </c>
      <c r="K1267" t="s">
        <v>62</v>
      </c>
      <c r="L1267" t="s">
        <v>41</v>
      </c>
      <c r="M1267" s="3">
        <v>90</v>
      </c>
      <c r="N1267" t="s">
        <v>60</v>
      </c>
      <c r="O1267" t="s">
        <v>61</v>
      </c>
      <c r="P1267" t="s">
        <v>42</v>
      </c>
      <c r="Q1267" t="s">
        <v>61</v>
      </c>
      <c r="R1267" t="s">
        <v>47</v>
      </c>
      <c r="S1267" s="3">
        <v>3055</v>
      </c>
      <c r="T1267" s="3">
        <v>6194</v>
      </c>
      <c r="U1267" s="3" t="str">
        <f t="shared" si="79"/>
        <v>Low</v>
      </c>
      <c r="V1267">
        <v>5</v>
      </c>
      <c r="W1267" t="s">
        <v>38</v>
      </c>
      <c r="X1267" s="2">
        <v>15</v>
      </c>
      <c r="Y1267" t="s">
        <v>60</v>
      </c>
      <c r="Z1267" t="s">
        <v>62</v>
      </c>
      <c r="AA1267">
        <v>2</v>
      </c>
      <c r="AB1267">
        <v>11</v>
      </c>
      <c r="AC1267">
        <v>2</v>
      </c>
      <c r="AD1267">
        <v>2</v>
      </c>
      <c r="AE1267">
        <v>9</v>
      </c>
      <c r="AF1267">
        <v>8</v>
      </c>
      <c r="AG1267">
        <v>1</v>
      </c>
      <c r="AH1267">
        <v>7</v>
      </c>
      <c r="AI1267" t="str">
        <f t="shared" si="76"/>
        <v>6-10 Years</v>
      </c>
      <c r="AJ1267" t="str">
        <f t="shared" si="77"/>
        <v>0-2</v>
      </c>
    </row>
    <row r="1268" spans="1:36" x14ac:dyDescent="0.35">
      <c r="A1268">
        <v>1267</v>
      </c>
      <c r="B1268">
        <v>41</v>
      </c>
      <c r="C1268" t="str">
        <f t="shared" si="78"/>
        <v>36-45</v>
      </c>
      <c r="D1268" t="s">
        <v>38</v>
      </c>
      <c r="E1268" t="s">
        <v>32</v>
      </c>
      <c r="F1268" s="3">
        <v>1389</v>
      </c>
      <c r="G1268" t="s">
        <v>40</v>
      </c>
      <c r="H1268" s="1">
        <v>9</v>
      </c>
      <c r="I1268" t="s">
        <v>60</v>
      </c>
      <c r="J1268" t="s">
        <v>34</v>
      </c>
      <c r="K1268" t="s">
        <v>60</v>
      </c>
      <c r="L1268" t="s">
        <v>41</v>
      </c>
      <c r="M1268" s="3">
        <v>94</v>
      </c>
      <c r="N1268" t="s">
        <v>60</v>
      </c>
      <c r="O1268" t="s">
        <v>59</v>
      </c>
      <c r="P1268" t="s">
        <v>45</v>
      </c>
      <c r="Q1268" t="s">
        <v>59</v>
      </c>
      <c r="R1268" t="s">
        <v>47</v>
      </c>
      <c r="S1268" s="3">
        <v>2289</v>
      </c>
      <c r="T1268" s="3">
        <v>20520</v>
      </c>
      <c r="U1268" s="3" t="str">
        <f t="shared" si="79"/>
        <v>Low</v>
      </c>
      <c r="V1268">
        <v>1</v>
      </c>
      <c r="W1268" t="s">
        <v>38</v>
      </c>
      <c r="X1268" s="2">
        <v>20</v>
      </c>
      <c r="Y1268" t="s">
        <v>62</v>
      </c>
      <c r="Z1268" t="s">
        <v>61</v>
      </c>
      <c r="AA1268">
        <v>2</v>
      </c>
      <c r="AB1268">
        <v>5</v>
      </c>
      <c r="AC1268">
        <v>2</v>
      </c>
      <c r="AD1268">
        <v>3</v>
      </c>
      <c r="AE1268">
        <v>5</v>
      </c>
      <c r="AF1268">
        <v>3</v>
      </c>
      <c r="AG1268">
        <v>0</v>
      </c>
      <c r="AH1268">
        <v>4</v>
      </c>
      <c r="AI1268" t="str">
        <f t="shared" si="76"/>
        <v>3-5 Years</v>
      </c>
      <c r="AJ1268" t="str">
        <f t="shared" si="77"/>
        <v>0-2</v>
      </c>
    </row>
    <row r="1269" spans="1:36" x14ac:dyDescent="0.35">
      <c r="A1269">
        <v>1268</v>
      </c>
      <c r="B1269">
        <v>34</v>
      </c>
      <c r="C1269" t="str">
        <f t="shared" si="78"/>
        <v>26-35</v>
      </c>
      <c r="D1269" t="s">
        <v>38</v>
      </c>
      <c r="E1269" t="s">
        <v>50</v>
      </c>
      <c r="F1269" s="3">
        <v>1389</v>
      </c>
      <c r="G1269" t="s">
        <v>33</v>
      </c>
      <c r="H1269" s="1">
        <v>10</v>
      </c>
      <c r="I1269" t="s">
        <v>61</v>
      </c>
      <c r="J1269" t="s">
        <v>34</v>
      </c>
      <c r="K1269" t="s">
        <v>62</v>
      </c>
      <c r="L1269" t="s">
        <v>41</v>
      </c>
      <c r="M1269" s="3">
        <v>87</v>
      </c>
      <c r="N1269" t="s">
        <v>60</v>
      </c>
      <c r="O1269" t="s">
        <v>61</v>
      </c>
      <c r="P1269" t="s">
        <v>36</v>
      </c>
      <c r="Q1269" t="s">
        <v>60</v>
      </c>
      <c r="R1269" t="s">
        <v>47</v>
      </c>
      <c r="S1269" s="3">
        <v>4001</v>
      </c>
      <c r="T1269" s="3">
        <v>12313</v>
      </c>
      <c r="U1269" s="3" t="str">
        <f t="shared" si="79"/>
        <v>Low</v>
      </c>
      <c r="V1269">
        <v>1</v>
      </c>
      <c r="W1269" t="s">
        <v>31</v>
      </c>
      <c r="X1269" s="2">
        <v>14</v>
      </c>
      <c r="Y1269" t="s">
        <v>60</v>
      </c>
      <c r="Z1269" t="s">
        <v>60</v>
      </c>
      <c r="AA1269">
        <v>1</v>
      </c>
      <c r="AB1269">
        <v>15</v>
      </c>
      <c r="AC1269">
        <v>3</v>
      </c>
      <c r="AD1269">
        <v>3</v>
      </c>
      <c r="AE1269">
        <v>15</v>
      </c>
      <c r="AF1269">
        <v>14</v>
      </c>
      <c r="AG1269">
        <v>0</v>
      </c>
      <c r="AH1269">
        <v>7</v>
      </c>
      <c r="AI1269" t="str">
        <f t="shared" si="76"/>
        <v>10+ Years</v>
      </c>
      <c r="AJ1269" t="str">
        <f t="shared" si="77"/>
        <v>0-2</v>
      </c>
    </row>
    <row r="1270" spans="1:36" x14ac:dyDescent="0.35">
      <c r="A1270">
        <v>1269</v>
      </c>
      <c r="B1270">
        <v>53</v>
      </c>
      <c r="C1270" t="str">
        <f t="shared" si="78"/>
        <v>46-55</v>
      </c>
      <c r="D1270" t="s">
        <v>38</v>
      </c>
      <c r="E1270" t="s">
        <v>50</v>
      </c>
      <c r="F1270" s="3">
        <v>1389</v>
      </c>
      <c r="G1270" t="s">
        <v>40</v>
      </c>
      <c r="H1270" s="1">
        <v>1</v>
      </c>
      <c r="I1270" t="s">
        <v>60</v>
      </c>
      <c r="J1270" t="s">
        <v>46</v>
      </c>
      <c r="K1270" t="s">
        <v>59</v>
      </c>
      <c r="L1270" t="s">
        <v>35</v>
      </c>
      <c r="M1270" s="3">
        <v>60</v>
      </c>
      <c r="N1270" t="s">
        <v>61</v>
      </c>
      <c r="O1270" t="s">
        <v>62</v>
      </c>
      <c r="P1270" t="s">
        <v>48</v>
      </c>
      <c r="Q1270" t="s">
        <v>60</v>
      </c>
      <c r="R1270" t="s">
        <v>43</v>
      </c>
      <c r="S1270" s="3">
        <v>12965</v>
      </c>
      <c r="T1270" s="3">
        <v>22308</v>
      </c>
      <c r="U1270" s="3" t="str">
        <f t="shared" si="79"/>
        <v>High</v>
      </c>
      <c r="V1270">
        <v>4</v>
      </c>
      <c r="W1270" t="s">
        <v>31</v>
      </c>
      <c r="X1270" s="2">
        <v>20</v>
      </c>
      <c r="Y1270" t="s">
        <v>62</v>
      </c>
      <c r="Z1270" t="s">
        <v>62</v>
      </c>
      <c r="AA1270">
        <v>3</v>
      </c>
      <c r="AB1270">
        <v>27</v>
      </c>
      <c r="AC1270">
        <v>2</v>
      </c>
      <c r="AD1270">
        <v>2</v>
      </c>
      <c r="AE1270">
        <v>3</v>
      </c>
      <c r="AF1270">
        <v>2</v>
      </c>
      <c r="AG1270">
        <v>0</v>
      </c>
      <c r="AH1270">
        <v>2</v>
      </c>
      <c r="AI1270" t="str">
        <f t="shared" si="76"/>
        <v>3-5 Years</v>
      </c>
      <c r="AJ1270" t="str">
        <f t="shared" si="77"/>
        <v>0-2</v>
      </c>
    </row>
    <row r="1271" spans="1:36" x14ac:dyDescent="0.35">
      <c r="A1271">
        <v>1270</v>
      </c>
      <c r="B1271">
        <v>43</v>
      </c>
      <c r="C1271" t="str">
        <f t="shared" si="78"/>
        <v>36-45</v>
      </c>
      <c r="D1271" t="s">
        <v>38</v>
      </c>
      <c r="E1271" t="s">
        <v>32</v>
      </c>
      <c r="F1271" s="3">
        <v>1389</v>
      </c>
      <c r="G1271" t="s">
        <v>56</v>
      </c>
      <c r="H1271" s="1">
        <v>2</v>
      </c>
      <c r="I1271" t="s">
        <v>61</v>
      </c>
      <c r="J1271" t="s">
        <v>34</v>
      </c>
      <c r="K1271" t="s">
        <v>61</v>
      </c>
      <c r="L1271" t="s">
        <v>41</v>
      </c>
      <c r="M1271" s="3">
        <v>97</v>
      </c>
      <c r="N1271" t="s">
        <v>60</v>
      </c>
      <c r="O1271" t="s">
        <v>59</v>
      </c>
      <c r="P1271" t="s">
        <v>56</v>
      </c>
      <c r="Q1271" t="s">
        <v>62</v>
      </c>
      <c r="R1271" t="s">
        <v>37</v>
      </c>
      <c r="S1271" s="3">
        <v>3539</v>
      </c>
      <c r="T1271" s="3">
        <v>5033</v>
      </c>
      <c r="U1271" s="3" t="str">
        <f t="shared" si="79"/>
        <v>Low</v>
      </c>
      <c r="V1271">
        <v>0</v>
      </c>
      <c r="W1271" t="s">
        <v>38</v>
      </c>
      <c r="X1271" s="2">
        <v>13</v>
      </c>
      <c r="Y1271" t="s">
        <v>60</v>
      </c>
      <c r="Z1271" t="s">
        <v>61</v>
      </c>
      <c r="AA1271">
        <v>0</v>
      </c>
      <c r="AB1271">
        <v>10</v>
      </c>
      <c r="AC1271">
        <v>5</v>
      </c>
      <c r="AD1271">
        <v>3</v>
      </c>
      <c r="AE1271">
        <v>9</v>
      </c>
      <c r="AF1271">
        <v>7</v>
      </c>
      <c r="AG1271">
        <v>1</v>
      </c>
      <c r="AH1271">
        <v>8</v>
      </c>
      <c r="AI1271" t="str">
        <f t="shared" si="76"/>
        <v>6-10 Years</v>
      </c>
      <c r="AJ1271" t="str">
        <f t="shared" si="77"/>
        <v>0-2</v>
      </c>
    </row>
    <row r="1272" spans="1:36" x14ac:dyDescent="0.35">
      <c r="A1272">
        <v>1271</v>
      </c>
      <c r="B1272">
        <v>34</v>
      </c>
      <c r="C1272" t="str">
        <f t="shared" si="78"/>
        <v>26-35</v>
      </c>
      <c r="D1272" t="s">
        <v>38</v>
      </c>
      <c r="E1272" t="s">
        <v>32</v>
      </c>
      <c r="F1272" s="3">
        <v>1389</v>
      </c>
      <c r="G1272" t="s">
        <v>33</v>
      </c>
      <c r="H1272" s="1">
        <v>3</v>
      </c>
      <c r="I1272" t="s">
        <v>58</v>
      </c>
      <c r="J1272" t="s">
        <v>34</v>
      </c>
      <c r="K1272" t="s">
        <v>62</v>
      </c>
      <c r="L1272" t="s">
        <v>35</v>
      </c>
      <c r="M1272" s="3">
        <v>32</v>
      </c>
      <c r="N1272" t="s">
        <v>59</v>
      </c>
      <c r="O1272" t="s">
        <v>61</v>
      </c>
      <c r="P1272" t="s">
        <v>36</v>
      </c>
      <c r="Q1272" t="s">
        <v>62</v>
      </c>
      <c r="R1272" t="s">
        <v>37</v>
      </c>
      <c r="S1272" s="3">
        <v>6029</v>
      </c>
      <c r="T1272" s="3">
        <v>25353</v>
      </c>
      <c r="U1272" s="3" t="str">
        <f t="shared" si="79"/>
        <v>Medium</v>
      </c>
      <c r="V1272">
        <v>5</v>
      </c>
      <c r="W1272" t="s">
        <v>38</v>
      </c>
      <c r="X1272" s="2">
        <v>12</v>
      </c>
      <c r="Y1272" t="s">
        <v>60</v>
      </c>
      <c r="Z1272" t="s">
        <v>59</v>
      </c>
      <c r="AA1272">
        <v>0</v>
      </c>
      <c r="AB1272">
        <v>6</v>
      </c>
      <c r="AC1272">
        <v>3</v>
      </c>
      <c r="AD1272">
        <v>3</v>
      </c>
      <c r="AE1272">
        <v>2</v>
      </c>
      <c r="AF1272">
        <v>2</v>
      </c>
      <c r="AG1272">
        <v>2</v>
      </c>
      <c r="AH1272">
        <v>2</v>
      </c>
      <c r="AI1272" t="str">
        <f t="shared" si="76"/>
        <v>0-2 Years</v>
      </c>
      <c r="AJ1272" t="str">
        <f t="shared" si="77"/>
        <v>0-2</v>
      </c>
    </row>
    <row r="1273" spans="1:36" x14ac:dyDescent="0.35">
      <c r="A1273">
        <v>1272</v>
      </c>
      <c r="B1273">
        <v>21</v>
      </c>
      <c r="C1273" t="str">
        <f t="shared" si="78"/>
        <v>18-25</v>
      </c>
      <c r="D1273" t="s">
        <v>31</v>
      </c>
      <c r="E1273" t="s">
        <v>32</v>
      </c>
      <c r="F1273" s="3">
        <v>1389</v>
      </c>
      <c r="G1273" t="s">
        <v>33</v>
      </c>
      <c r="H1273" s="1">
        <v>7</v>
      </c>
      <c r="I1273" t="s">
        <v>59</v>
      </c>
      <c r="J1273" t="s">
        <v>54</v>
      </c>
      <c r="K1273" t="s">
        <v>61</v>
      </c>
      <c r="L1273" t="s">
        <v>41</v>
      </c>
      <c r="M1273" s="3">
        <v>31</v>
      </c>
      <c r="N1273" t="s">
        <v>60</v>
      </c>
      <c r="O1273" t="s">
        <v>59</v>
      </c>
      <c r="P1273" t="s">
        <v>52</v>
      </c>
      <c r="Q1273" t="s">
        <v>61</v>
      </c>
      <c r="R1273" t="s">
        <v>37</v>
      </c>
      <c r="S1273" s="3">
        <v>2679</v>
      </c>
      <c r="T1273" s="3">
        <v>4567</v>
      </c>
      <c r="U1273" s="3" t="str">
        <f t="shared" si="79"/>
        <v>Low</v>
      </c>
      <c r="V1273">
        <v>1</v>
      </c>
      <c r="W1273" t="s">
        <v>38</v>
      </c>
      <c r="X1273" s="2">
        <v>13</v>
      </c>
      <c r="Y1273" t="s">
        <v>60</v>
      </c>
      <c r="Z1273" t="s">
        <v>61</v>
      </c>
      <c r="AA1273">
        <v>0</v>
      </c>
      <c r="AB1273">
        <v>1</v>
      </c>
      <c r="AC1273">
        <v>3</v>
      </c>
      <c r="AD1273">
        <v>3</v>
      </c>
      <c r="AE1273">
        <v>1</v>
      </c>
      <c r="AF1273">
        <v>0</v>
      </c>
      <c r="AG1273">
        <v>1</v>
      </c>
      <c r="AH1273">
        <v>0</v>
      </c>
      <c r="AI1273" t="str">
        <f t="shared" si="76"/>
        <v>0-2 Years</v>
      </c>
      <c r="AJ1273" t="str">
        <f t="shared" si="77"/>
        <v>0-2</v>
      </c>
    </row>
    <row r="1274" spans="1:36" x14ac:dyDescent="0.35">
      <c r="A1274">
        <v>1273</v>
      </c>
      <c r="B1274">
        <v>38</v>
      </c>
      <c r="C1274" t="str">
        <f t="shared" si="78"/>
        <v>36-45</v>
      </c>
      <c r="D1274" t="s">
        <v>38</v>
      </c>
      <c r="E1274" t="s">
        <v>32</v>
      </c>
      <c r="F1274" s="3">
        <v>1389</v>
      </c>
      <c r="G1274" t="s">
        <v>40</v>
      </c>
      <c r="H1274" s="1">
        <v>6</v>
      </c>
      <c r="I1274" t="s">
        <v>58</v>
      </c>
      <c r="J1274" t="s">
        <v>44</v>
      </c>
      <c r="K1274" t="s">
        <v>62</v>
      </c>
      <c r="L1274" t="s">
        <v>35</v>
      </c>
      <c r="M1274" s="3">
        <v>40</v>
      </c>
      <c r="N1274" t="s">
        <v>61</v>
      </c>
      <c r="O1274" t="s">
        <v>59</v>
      </c>
      <c r="P1274" t="s">
        <v>45</v>
      </c>
      <c r="Q1274" t="s">
        <v>60</v>
      </c>
      <c r="R1274" t="s">
        <v>43</v>
      </c>
      <c r="S1274" s="3">
        <v>3702</v>
      </c>
      <c r="T1274" s="3">
        <v>16376</v>
      </c>
      <c r="U1274" s="3" t="str">
        <f t="shared" si="79"/>
        <v>Low</v>
      </c>
      <c r="V1274">
        <v>1</v>
      </c>
      <c r="W1274" t="s">
        <v>38</v>
      </c>
      <c r="X1274" s="2">
        <v>11</v>
      </c>
      <c r="Y1274" t="s">
        <v>60</v>
      </c>
      <c r="Z1274" t="s">
        <v>61</v>
      </c>
      <c r="AA1274">
        <v>1</v>
      </c>
      <c r="AB1274">
        <v>5</v>
      </c>
      <c r="AC1274">
        <v>3</v>
      </c>
      <c r="AD1274">
        <v>3</v>
      </c>
      <c r="AE1274">
        <v>5</v>
      </c>
      <c r="AF1274">
        <v>4</v>
      </c>
      <c r="AG1274">
        <v>0</v>
      </c>
      <c r="AH1274">
        <v>4</v>
      </c>
      <c r="AI1274" t="str">
        <f t="shared" si="76"/>
        <v>3-5 Years</v>
      </c>
      <c r="AJ1274" t="str">
        <f t="shared" si="77"/>
        <v>0-2</v>
      </c>
    </row>
    <row r="1275" spans="1:36" x14ac:dyDescent="0.35">
      <c r="A1275">
        <v>1274</v>
      </c>
      <c r="B1275">
        <v>22</v>
      </c>
      <c r="C1275" t="str">
        <f t="shared" si="78"/>
        <v>18-25</v>
      </c>
      <c r="D1275" t="s">
        <v>31</v>
      </c>
      <c r="E1275" t="s">
        <v>32</v>
      </c>
      <c r="F1275" s="3">
        <v>1389</v>
      </c>
      <c r="G1275" t="s">
        <v>40</v>
      </c>
      <c r="H1275" s="1">
        <v>8</v>
      </c>
      <c r="I1275" t="s">
        <v>59</v>
      </c>
      <c r="J1275" t="s">
        <v>46</v>
      </c>
      <c r="K1275" t="s">
        <v>60</v>
      </c>
      <c r="L1275" t="s">
        <v>35</v>
      </c>
      <c r="M1275" s="3">
        <v>79</v>
      </c>
      <c r="N1275" t="s">
        <v>60</v>
      </c>
      <c r="O1275" t="s">
        <v>59</v>
      </c>
      <c r="P1275" t="s">
        <v>45</v>
      </c>
      <c r="Q1275" t="s">
        <v>59</v>
      </c>
      <c r="R1275" t="s">
        <v>43</v>
      </c>
      <c r="S1275" s="3">
        <v>2398</v>
      </c>
      <c r="T1275" s="3">
        <v>15999</v>
      </c>
      <c r="U1275" s="3" t="str">
        <f t="shared" si="79"/>
        <v>Low</v>
      </c>
      <c r="V1275">
        <v>1</v>
      </c>
      <c r="W1275" t="s">
        <v>31</v>
      </c>
      <c r="X1275" s="2">
        <v>17</v>
      </c>
      <c r="Y1275" t="s">
        <v>60</v>
      </c>
      <c r="Z1275" t="s">
        <v>60</v>
      </c>
      <c r="AA1275">
        <v>0</v>
      </c>
      <c r="AB1275">
        <v>1</v>
      </c>
      <c r="AC1275">
        <v>6</v>
      </c>
      <c r="AD1275">
        <v>3</v>
      </c>
      <c r="AE1275">
        <v>1</v>
      </c>
      <c r="AF1275">
        <v>0</v>
      </c>
      <c r="AG1275">
        <v>0</v>
      </c>
      <c r="AH1275">
        <v>0</v>
      </c>
      <c r="AI1275" t="str">
        <f t="shared" si="76"/>
        <v>0-2 Years</v>
      </c>
      <c r="AJ1275" t="str">
        <f t="shared" si="77"/>
        <v>0-2</v>
      </c>
    </row>
    <row r="1276" spans="1:36" x14ac:dyDescent="0.35">
      <c r="A1276">
        <v>1275</v>
      </c>
      <c r="B1276">
        <v>31</v>
      </c>
      <c r="C1276" t="str">
        <f t="shared" si="78"/>
        <v>26-35</v>
      </c>
      <c r="D1276" t="s">
        <v>38</v>
      </c>
      <c r="E1276" t="s">
        <v>32</v>
      </c>
      <c r="F1276" s="3">
        <v>1389</v>
      </c>
      <c r="G1276" t="s">
        <v>33</v>
      </c>
      <c r="H1276" s="1">
        <v>29</v>
      </c>
      <c r="I1276" t="s">
        <v>60</v>
      </c>
      <c r="J1276" t="s">
        <v>54</v>
      </c>
      <c r="K1276" t="s">
        <v>59</v>
      </c>
      <c r="L1276" t="s">
        <v>35</v>
      </c>
      <c r="M1276" s="3">
        <v>91</v>
      </c>
      <c r="N1276" t="s">
        <v>61</v>
      </c>
      <c r="O1276" t="s">
        <v>61</v>
      </c>
      <c r="P1276" t="s">
        <v>36</v>
      </c>
      <c r="Q1276" t="s">
        <v>62</v>
      </c>
      <c r="R1276" t="s">
        <v>43</v>
      </c>
      <c r="S1276" s="3">
        <v>5468</v>
      </c>
      <c r="T1276" s="3">
        <v>13402</v>
      </c>
      <c r="U1276" s="3" t="str">
        <f t="shared" si="79"/>
        <v>Medium</v>
      </c>
      <c r="V1276">
        <v>1</v>
      </c>
      <c r="W1276" t="s">
        <v>38</v>
      </c>
      <c r="X1276" s="2">
        <v>14</v>
      </c>
      <c r="Y1276" t="s">
        <v>60</v>
      </c>
      <c r="Z1276" t="s">
        <v>59</v>
      </c>
      <c r="AA1276">
        <v>2</v>
      </c>
      <c r="AB1276">
        <v>13</v>
      </c>
      <c r="AC1276">
        <v>3</v>
      </c>
      <c r="AD1276">
        <v>3</v>
      </c>
      <c r="AE1276">
        <v>12</v>
      </c>
      <c r="AF1276">
        <v>7</v>
      </c>
      <c r="AG1276">
        <v>5</v>
      </c>
      <c r="AH1276">
        <v>7</v>
      </c>
      <c r="AI1276" t="str">
        <f t="shared" si="76"/>
        <v>10+ Years</v>
      </c>
      <c r="AJ1276" t="str">
        <f t="shared" si="77"/>
        <v>3-5</v>
      </c>
    </row>
    <row r="1277" spans="1:36" x14ac:dyDescent="0.35">
      <c r="A1277">
        <v>1276</v>
      </c>
      <c r="B1277">
        <v>51</v>
      </c>
      <c r="C1277" t="str">
        <f t="shared" si="78"/>
        <v>46-55</v>
      </c>
      <c r="D1277" t="s">
        <v>38</v>
      </c>
      <c r="E1277" t="s">
        <v>32</v>
      </c>
      <c r="F1277" s="3">
        <v>1389</v>
      </c>
      <c r="G1277" t="s">
        <v>40</v>
      </c>
      <c r="H1277" s="1">
        <v>3</v>
      </c>
      <c r="I1277" t="s">
        <v>61</v>
      </c>
      <c r="J1277" t="s">
        <v>55</v>
      </c>
      <c r="K1277" t="s">
        <v>59</v>
      </c>
      <c r="L1277" t="s">
        <v>35</v>
      </c>
      <c r="M1277" s="3">
        <v>53</v>
      </c>
      <c r="N1277" t="s">
        <v>60</v>
      </c>
      <c r="O1277" t="s">
        <v>60</v>
      </c>
      <c r="P1277" t="s">
        <v>51</v>
      </c>
      <c r="Q1277" t="s">
        <v>60</v>
      </c>
      <c r="R1277" t="s">
        <v>43</v>
      </c>
      <c r="S1277" s="3">
        <v>13116</v>
      </c>
      <c r="T1277" s="3">
        <v>22984</v>
      </c>
      <c r="U1277" s="3" t="str">
        <f t="shared" si="79"/>
        <v>High</v>
      </c>
      <c r="V1277">
        <v>2</v>
      </c>
      <c r="W1277" t="s">
        <v>38</v>
      </c>
      <c r="X1277" s="2">
        <v>11</v>
      </c>
      <c r="Y1277" t="s">
        <v>60</v>
      </c>
      <c r="Z1277" t="s">
        <v>62</v>
      </c>
      <c r="AA1277">
        <v>0</v>
      </c>
      <c r="AB1277">
        <v>15</v>
      </c>
      <c r="AC1277">
        <v>2</v>
      </c>
      <c r="AD1277">
        <v>3</v>
      </c>
      <c r="AE1277">
        <v>2</v>
      </c>
      <c r="AF1277">
        <v>2</v>
      </c>
      <c r="AG1277">
        <v>2</v>
      </c>
      <c r="AH1277">
        <v>2</v>
      </c>
      <c r="AI1277" t="str">
        <f t="shared" si="76"/>
        <v>0-2 Years</v>
      </c>
      <c r="AJ1277" t="str">
        <f t="shared" si="77"/>
        <v>0-2</v>
      </c>
    </row>
    <row r="1278" spans="1:36" x14ac:dyDescent="0.35">
      <c r="A1278">
        <v>1277</v>
      </c>
      <c r="B1278">
        <v>37</v>
      </c>
      <c r="C1278" t="str">
        <f t="shared" si="78"/>
        <v>36-45</v>
      </c>
      <c r="D1278" t="s">
        <v>38</v>
      </c>
      <c r="E1278" t="s">
        <v>32</v>
      </c>
      <c r="F1278" s="3">
        <v>1389</v>
      </c>
      <c r="G1278" t="s">
        <v>33</v>
      </c>
      <c r="H1278" s="1">
        <v>9</v>
      </c>
      <c r="I1278" t="s">
        <v>58</v>
      </c>
      <c r="J1278" t="s">
        <v>54</v>
      </c>
      <c r="K1278" t="s">
        <v>61</v>
      </c>
      <c r="L1278" t="s">
        <v>41</v>
      </c>
      <c r="M1278" s="3">
        <v>46</v>
      </c>
      <c r="N1278" t="s">
        <v>61</v>
      </c>
      <c r="O1278" t="s">
        <v>61</v>
      </c>
      <c r="P1278" t="s">
        <v>36</v>
      </c>
      <c r="Q1278" t="s">
        <v>61</v>
      </c>
      <c r="R1278" t="s">
        <v>43</v>
      </c>
      <c r="S1278" s="3">
        <v>4189</v>
      </c>
      <c r="T1278" s="3">
        <v>8800</v>
      </c>
      <c r="U1278" s="3" t="str">
        <f t="shared" si="79"/>
        <v>Low</v>
      </c>
      <c r="V1278">
        <v>1</v>
      </c>
      <c r="W1278" t="s">
        <v>38</v>
      </c>
      <c r="X1278" s="2">
        <v>14</v>
      </c>
      <c r="Y1278" t="s">
        <v>60</v>
      </c>
      <c r="Z1278" t="s">
        <v>59</v>
      </c>
      <c r="AA1278">
        <v>2</v>
      </c>
      <c r="AB1278">
        <v>5</v>
      </c>
      <c r="AC1278">
        <v>2</v>
      </c>
      <c r="AD1278">
        <v>3</v>
      </c>
      <c r="AE1278">
        <v>5</v>
      </c>
      <c r="AF1278">
        <v>2</v>
      </c>
      <c r="AG1278">
        <v>0</v>
      </c>
      <c r="AH1278">
        <v>3</v>
      </c>
      <c r="AI1278" t="str">
        <f t="shared" si="76"/>
        <v>3-5 Years</v>
      </c>
      <c r="AJ1278" t="str">
        <f t="shared" si="77"/>
        <v>0-2</v>
      </c>
    </row>
    <row r="1279" spans="1:36" x14ac:dyDescent="0.35">
      <c r="A1279">
        <v>1278</v>
      </c>
      <c r="B1279">
        <v>46</v>
      </c>
      <c r="C1279" t="str">
        <f t="shared" si="78"/>
        <v>46-55</v>
      </c>
      <c r="D1279" t="s">
        <v>38</v>
      </c>
      <c r="E1279" t="s">
        <v>32</v>
      </c>
      <c r="F1279" s="3">
        <v>1389</v>
      </c>
      <c r="G1279" t="s">
        <v>40</v>
      </c>
      <c r="H1279" s="1">
        <v>2</v>
      </c>
      <c r="I1279" t="s">
        <v>60</v>
      </c>
      <c r="J1279" t="s">
        <v>46</v>
      </c>
      <c r="K1279" t="s">
        <v>60</v>
      </c>
      <c r="L1279" t="s">
        <v>41</v>
      </c>
      <c r="M1279" s="3">
        <v>46</v>
      </c>
      <c r="N1279" t="s">
        <v>60</v>
      </c>
      <c r="O1279" t="e">
        <v>#N/A</v>
      </c>
      <c r="P1279" t="s">
        <v>53</v>
      </c>
      <c r="Q1279" t="s">
        <v>62</v>
      </c>
      <c r="R1279" t="s">
        <v>47</v>
      </c>
      <c r="S1279" s="3">
        <v>19328</v>
      </c>
      <c r="T1279" s="3">
        <v>14218</v>
      </c>
      <c r="U1279" s="3" t="str">
        <f t="shared" si="79"/>
        <v>High</v>
      </c>
      <c r="V1279">
        <v>7</v>
      </c>
      <c r="W1279" t="s">
        <v>31</v>
      </c>
      <c r="X1279" s="2">
        <v>17</v>
      </c>
      <c r="Y1279" t="s">
        <v>60</v>
      </c>
      <c r="Z1279" t="s">
        <v>60</v>
      </c>
      <c r="AA1279">
        <v>1</v>
      </c>
      <c r="AB1279">
        <v>24</v>
      </c>
      <c r="AC1279">
        <v>3</v>
      </c>
      <c r="AD1279">
        <v>3</v>
      </c>
      <c r="AE1279">
        <v>2</v>
      </c>
      <c r="AF1279">
        <v>1</v>
      </c>
      <c r="AG1279">
        <v>2</v>
      </c>
      <c r="AH1279">
        <v>2</v>
      </c>
      <c r="AI1279" t="str">
        <f t="shared" si="76"/>
        <v>0-2 Years</v>
      </c>
      <c r="AJ1279" t="str">
        <f t="shared" si="77"/>
        <v>0-2</v>
      </c>
    </row>
    <row r="1280" spans="1:36" x14ac:dyDescent="0.35">
      <c r="A1280">
        <v>1279</v>
      </c>
      <c r="B1280">
        <v>36</v>
      </c>
      <c r="C1280" t="str">
        <f t="shared" si="78"/>
        <v>36-45</v>
      </c>
      <c r="D1280" t="s">
        <v>38</v>
      </c>
      <c r="E1280" t="s">
        <v>32</v>
      </c>
      <c r="F1280" s="3">
        <v>1389</v>
      </c>
      <c r="G1280" t="s">
        <v>40</v>
      </c>
      <c r="H1280" s="1">
        <v>10</v>
      </c>
      <c r="I1280" t="s">
        <v>61</v>
      </c>
      <c r="J1280" t="s">
        <v>34</v>
      </c>
      <c r="K1280" t="s">
        <v>62</v>
      </c>
      <c r="L1280" t="s">
        <v>41</v>
      </c>
      <c r="M1280" s="3">
        <v>90</v>
      </c>
      <c r="N1280" t="s">
        <v>60</v>
      </c>
      <c r="O1280" t="s">
        <v>60</v>
      </c>
      <c r="P1280" t="s">
        <v>49</v>
      </c>
      <c r="Q1280" t="s">
        <v>59</v>
      </c>
      <c r="R1280" t="s">
        <v>43</v>
      </c>
      <c r="S1280" s="3">
        <v>8321</v>
      </c>
      <c r="T1280" s="3">
        <v>25949</v>
      </c>
      <c r="U1280" s="3" t="str">
        <f t="shared" si="79"/>
        <v>Medium</v>
      </c>
      <c r="V1280">
        <v>7</v>
      </c>
      <c r="W1280" t="s">
        <v>31</v>
      </c>
      <c r="X1280" s="2">
        <v>13</v>
      </c>
      <c r="Y1280" t="s">
        <v>60</v>
      </c>
      <c r="Z1280" t="s">
        <v>62</v>
      </c>
      <c r="AA1280">
        <v>1</v>
      </c>
      <c r="AB1280">
        <v>15</v>
      </c>
      <c r="AC1280">
        <v>1</v>
      </c>
      <c r="AD1280">
        <v>3</v>
      </c>
      <c r="AE1280">
        <v>12</v>
      </c>
      <c r="AF1280">
        <v>8</v>
      </c>
      <c r="AG1280">
        <v>5</v>
      </c>
      <c r="AH1280">
        <v>7</v>
      </c>
      <c r="AI1280" t="str">
        <f t="shared" si="76"/>
        <v>10+ Years</v>
      </c>
      <c r="AJ1280" t="str">
        <f t="shared" si="77"/>
        <v>3-5</v>
      </c>
    </row>
    <row r="1281" spans="1:36" x14ac:dyDescent="0.35">
      <c r="A1281">
        <v>1280</v>
      </c>
      <c r="B1281">
        <v>44</v>
      </c>
      <c r="C1281" t="str">
        <f t="shared" si="78"/>
        <v>36-45</v>
      </c>
      <c r="D1281" t="s">
        <v>31</v>
      </c>
      <c r="E1281" t="s">
        <v>39</v>
      </c>
      <c r="F1281" s="3">
        <v>1389</v>
      </c>
      <c r="G1281" t="s">
        <v>40</v>
      </c>
      <c r="H1281" s="1">
        <v>1</v>
      </c>
      <c r="I1281" t="s">
        <v>58</v>
      </c>
      <c r="J1281" t="s">
        <v>46</v>
      </c>
      <c r="K1281" t="s">
        <v>60</v>
      </c>
      <c r="L1281" t="s">
        <v>41</v>
      </c>
      <c r="M1281" s="3">
        <v>99</v>
      </c>
      <c r="N1281" t="s">
        <v>60</v>
      </c>
      <c r="O1281" t="s">
        <v>59</v>
      </c>
      <c r="P1281" t="s">
        <v>42</v>
      </c>
      <c r="Q1281" t="s">
        <v>61</v>
      </c>
      <c r="R1281" t="s">
        <v>47</v>
      </c>
      <c r="S1281" s="3">
        <v>2342</v>
      </c>
      <c r="T1281" s="3">
        <v>11092</v>
      </c>
      <c r="U1281" s="3" t="str">
        <f t="shared" si="79"/>
        <v>Low</v>
      </c>
      <c r="V1281">
        <v>1</v>
      </c>
      <c r="W1281" t="s">
        <v>31</v>
      </c>
      <c r="X1281" s="2">
        <v>12</v>
      </c>
      <c r="Y1281" t="s">
        <v>60</v>
      </c>
      <c r="Z1281" t="s">
        <v>60</v>
      </c>
      <c r="AA1281">
        <v>3</v>
      </c>
      <c r="AB1281">
        <v>6</v>
      </c>
      <c r="AC1281">
        <v>2</v>
      </c>
      <c r="AD1281">
        <v>2</v>
      </c>
      <c r="AE1281">
        <v>5</v>
      </c>
      <c r="AF1281">
        <v>3</v>
      </c>
      <c r="AG1281">
        <v>2</v>
      </c>
      <c r="AH1281">
        <v>3</v>
      </c>
      <c r="AI1281" t="str">
        <f t="shared" si="76"/>
        <v>3-5 Years</v>
      </c>
      <c r="AJ1281" t="str">
        <f t="shared" si="77"/>
        <v>0-2</v>
      </c>
    </row>
    <row r="1282" spans="1:36" x14ac:dyDescent="0.35">
      <c r="A1282">
        <v>1281</v>
      </c>
      <c r="B1282">
        <v>37</v>
      </c>
      <c r="C1282" t="str">
        <f t="shared" si="78"/>
        <v>36-45</v>
      </c>
      <c r="D1282" t="s">
        <v>38</v>
      </c>
      <c r="E1282" t="s">
        <v>32</v>
      </c>
      <c r="F1282" s="3">
        <v>1389</v>
      </c>
      <c r="G1282" t="s">
        <v>56</v>
      </c>
      <c r="H1282" s="1">
        <v>8</v>
      </c>
      <c r="I1282" t="s">
        <v>58</v>
      </c>
      <c r="J1282" t="s">
        <v>44</v>
      </c>
      <c r="K1282" t="s">
        <v>60</v>
      </c>
      <c r="L1282" t="s">
        <v>41</v>
      </c>
      <c r="M1282" s="3">
        <v>89</v>
      </c>
      <c r="N1282" t="s">
        <v>60</v>
      </c>
      <c r="O1282" t="s">
        <v>61</v>
      </c>
      <c r="P1282" t="s">
        <v>56</v>
      </c>
      <c r="Q1282" t="s">
        <v>61</v>
      </c>
      <c r="R1282" t="s">
        <v>47</v>
      </c>
      <c r="S1282" s="3">
        <v>4071</v>
      </c>
      <c r="T1282" s="3">
        <v>12832</v>
      </c>
      <c r="U1282" s="3" t="str">
        <f t="shared" si="79"/>
        <v>Low</v>
      </c>
      <c r="V1282">
        <v>2</v>
      </c>
      <c r="W1282" t="s">
        <v>38</v>
      </c>
      <c r="X1282" s="2">
        <v>13</v>
      </c>
      <c r="Y1282" t="s">
        <v>60</v>
      </c>
      <c r="Z1282" t="s">
        <v>60</v>
      </c>
      <c r="AA1282">
        <v>0</v>
      </c>
      <c r="AB1282">
        <v>19</v>
      </c>
      <c r="AC1282">
        <v>4</v>
      </c>
      <c r="AD1282">
        <v>2</v>
      </c>
      <c r="AE1282">
        <v>10</v>
      </c>
      <c r="AF1282">
        <v>0</v>
      </c>
      <c r="AG1282">
        <v>4</v>
      </c>
      <c r="AH1282">
        <v>7</v>
      </c>
      <c r="AI1282" t="str">
        <f t="shared" ref="AI1282:AI1345" si="80">IF(AE1282&lt;=2,"0-2 Years",
IF(AE1282&lt;=5,"3-5 Years",
IF(AE1282&lt;=10,"6-10 Years","10+ Years")))</f>
        <v>6-10 Years</v>
      </c>
      <c r="AJ1282" t="str">
        <f t="shared" ref="AJ1282:AJ1345" si="81">IF(AG1282&lt;=2,"0-2",
IF(AG1282&lt;=5,"3-5","6+"))</f>
        <v>3-5</v>
      </c>
    </row>
    <row r="1283" spans="1:36" x14ac:dyDescent="0.35">
      <c r="A1283">
        <v>1282</v>
      </c>
      <c r="B1283">
        <v>35</v>
      </c>
      <c r="C1283" t="str">
        <f t="shared" ref="C1283:C1346" si="82">IF(B1283&lt;=25,"18-25",
IF(B1283&lt;=35,"26-35",
IF(B1283&lt;=45,"36-45",
IF(B1283&lt;=55,"46-55","55+"))))</f>
        <v>26-35</v>
      </c>
      <c r="D1283" t="s">
        <v>31</v>
      </c>
      <c r="E1283" t="s">
        <v>32</v>
      </c>
      <c r="F1283" s="3">
        <v>1389</v>
      </c>
      <c r="G1283" t="s">
        <v>33</v>
      </c>
      <c r="H1283" s="1">
        <v>27</v>
      </c>
      <c r="I1283" t="s">
        <v>61</v>
      </c>
      <c r="J1283" t="s">
        <v>34</v>
      </c>
      <c r="K1283" t="s">
        <v>60</v>
      </c>
      <c r="L1283" t="s">
        <v>41</v>
      </c>
      <c r="M1283" s="3">
        <v>84</v>
      </c>
      <c r="N1283" t="s">
        <v>60</v>
      </c>
      <c r="O1283" t="s">
        <v>61</v>
      </c>
      <c r="P1283" t="s">
        <v>36</v>
      </c>
      <c r="Q1283" t="s">
        <v>62</v>
      </c>
      <c r="R1283" t="s">
        <v>37</v>
      </c>
      <c r="S1283" s="3">
        <v>5813</v>
      </c>
      <c r="T1283" s="3">
        <v>13492</v>
      </c>
      <c r="U1283" s="3" t="str">
        <f t="shared" ref="U1283:U1346" si="83">_xlfn.IFS(S1283&lt;5000,"Low",S1283&lt;10000,"Medium",S1283&gt;10000,"High")</f>
        <v>Medium</v>
      </c>
      <c r="V1283">
        <v>1</v>
      </c>
      <c r="W1283" t="s">
        <v>31</v>
      </c>
      <c r="X1283" s="2">
        <v>18</v>
      </c>
      <c r="Y1283" t="s">
        <v>60</v>
      </c>
      <c r="Z1283" t="s">
        <v>62</v>
      </c>
      <c r="AA1283">
        <v>0</v>
      </c>
      <c r="AB1283">
        <v>10</v>
      </c>
      <c r="AC1283">
        <v>2</v>
      </c>
      <c r="AD1283">
        <v>3</v>
      </c>
      <c r="AE1283">
        <v>10</v>
      </c>
      <c r="AF1283">
        <v>7</v>
      </c>
      <c r="AG1283">
        <v>7</v>
      </c>
      <c r="AH1283">
        <v>7</v>
      </c>
      <c r="AI1283" t="str">
        <f t="shared" si="80"/>
        <v>6-10 Years</v>
      </c>
      <c r="AJ1283" t="str">
        <f t="shared" si="81"/>
        <v>6+</v>
      </c>
    </row>
    <row r="1284" spans="1:36" x14ac:dyDescent="0.35">
      <c r="A1284">
        <v>1283</v>
      </c>
      <c r="B1284">
        <v>33</v>
      </c>
      <c r="C1284" t="str">
        <f t="shared" si="82"/>
        <v>26-35</v>
      </c>
      <c r="D1284" t="s">
        <v>38</v>
      </c>
      <c r="E1284" t="s">
        <v>32</v>
      </c>
      <c r="F1284" s="3">
        <v>1389</v>
      </c>
      <c r="G1284" t="s">
        <v>40</v>
      </c>
      <c r="H1284" s="1">
        <v>8</v>
      </c>
      <c r="I1284" t="s">
        <v>60</v>
      </c>
      <c r="J1284" t="s">
        <v>34</v>
      </c>
      <c r="K1284" t="s">
        <v>62</v>
      </c>
      <c r="L1284" t="s">
        <v>41</v>
      </c>
      <c r="M1284" s="3">
        <v>90</v>
      </c>
      <c r="N1284" t="s">
        <v>62</v>
      </c>
      <c r="O1284" t="s">
        <v>59</v>
      </c>
      <c r="P1284" t="s">
        <v>42</v>
      </c>
      <c r="Q1284" t="s">
        <v>59</v>
      </c>
      <c r="R1284" t="s">
        <v>43</v>
      </c>
      <c r="S1284" s="3">
        <v>3143</v>
      </c>
      <c r="T1284" s="3">
        <v>6076</v>
      </c>
      <c r="U1284" s="3" t="str">
        <f t="shared" si="83"/>
        <v>Low</v>
      </c>
      <c r="V1284">
        <v>6</v>
      </c>
      <c r="W1284" t="s">
        <v>38</v>
      </c>
      <c r="X1284" s="2">
        <v>19</v>
      </c>
      <c r="Y1284" t="s">
        <v>60</v>
      </c>
      <c r="Z1284" t="s">
        <v>61</v>
      </c>
      <c r="AA1284">
        <v>1</v>
      </c>
      <c r="AB1284">
        <v>14</v>
      </c>
      <c r="AC1284">
        <v>1</v>
      </c>
      <c r="AD1284">
        <v>3</v>
      </c>
      <c r="AE1284">
        <v>10</v>
      </c>
      <c r="AF1284">
        <v>8</v>
      </c>
      <c r="AG1284">
        <v>7</v>
      </c>
      <c r="AH1284">
        <v>6</v>
      </c>
      <c r="AI1284" t="str">
        <f t="shared" si="80"/>
        <v>6-10 Years</v>
      </c>
      <c r="AJ1284" t="str">
        <f t="shared" si="81"/>
        <v>6+</v>
      </c>
    </row>
    <row r="1285" spans="1:36" x14ac:dyDescent="0.35">
      <c r="A1285">
        <v>1284</v>
      </c>
      <c r="B1285">
        <v>28</v>
      </c>
      <c r="C1285" t="str">
        <f t="shared" si="82"/>
        <v>26-35</v>
      </c>
      <c r="D1285" t="s">
        <v>38</v>
      </c>
      <c r="E1285" t="s">
        <v>32</v>
      </c>
      <c r="F1285" s="3">
        <v>1389</v>
      </c>
      <c r="G1285" t="s">
        <v>40</v>
      </c>
      <c r="H1285" s="1">
        <v>1</v>
      </c>
      <c r="I1285" t="s">
        <v>61</v>
      </c>
      <c r="J1285" t="s">
        <v>34</v>
      </c>
      <c r="K1285" t="s">
        <v>60</v>
      </c>
      <c r="L1285" t="s">
        <v>41</v>
      </c>
      <c r="M1285" s="3">
        <v>82</v>
      </c>
      <c r="N1285" t="s">
        <v>60</v>
      </c>
      <c r="O1285" t="s">
        <v>59</v>
      </c>
      <c r="P1285" t="s">
        <v>42</v>
      </c>
      <c r="Q1285" t="s">
        <v>62</v>
      </c>
      <c r="R1285" t="s">
        <v>43</v>
      </c>
      <c r="S1285" s="3">
        <v>2044</v>
      </c>
      <c r="T1285" s="3">
        <v>5531</v>
      </c>
      <c r="U1285" s="3" t="str">
        <f t="shared" si="83"/>
        <v>Low</v>
      </c>
      <c r="V1285">
        <v>1</v>
      </c>
      <c r="W1285" t="s">
        <v>38</v>
      </c>
      <c r="X1285" s="2">
        <v>11</v>
      </c>
      <c r="Y1285" t="s">
        <v>60</v>
      </c>
      <c r="Z1285" t="s">
        <v>60</v>
      </c>
      <c r="AA1285">
        <v>1</v>
      </c>
      <c r="AB1285">
        <v>5</v>
      </c>
      <c r="AC1285">
        <v>6</v>
      </c>
      <c r="AD1285">
        <v>4</v>
      </c>
      <c r="AE1285">
        <v>5</v>
      </c>
      <c r="AF1285">
        <v>3</v>
      </c>
      <c r="AG1285">
        <v>0</v>
      </c>
      <c r="AH1285">
        <v>3</v>
      </c>
      <c r="AI1285" t="str">
        <f t="shared" si="80"/>
        <v>3-5 Years</v>
      </c>
      <c r="AJ1285" t="str">
        <f t="shared" si="81"/>
        <v>0-2</v>
      </c>
    </row>
    <row r="1286" spans="1:36" x14ac:dyDescent="0.35">
      <c r="A1286">
        <v>1285</v>
      </c>
      <c r="B1286">
        <v>39</v>
      </c>
      <c r="C1286" t="str">
        <f t="shared" si="82"/>
        <v>36-45</v>
      </c>
      <c r="D1286" t="s">
        <v>38</v>
      </c>
      <c r="E1286" t="s">
        <v>32</v>
      </c>
      <c r="F1286" s="3">
        <v>1389</v>
      </c>
      <c r="G1286" t="s">
        <v>40</v>
      </c>
      <c r="H1286" s="1">
        <v>10</v>
      </c>
      <c r="I1286" t="s">
        <v>59</v>
      </c>
      <c r="J1286" t="s">
        <v>46</v>
      </c>
      <c r="K1286" t="s">
        <v>60</v>
      </c>
      <c r="L1286" t="s">
        <v>41</v>
      </c>
      <c r="M1286" s="3">
        <v>65</v>
      </c>
      <c r="N1286" t="s">
        <v>60</v>
      </c>
      <c r="O1286" t="s">
        <v>60</v>
      </c>
      <c r="P1286" t="s">
        <v>53</v>
      </c>
      <c r="Q1286" t="s">
        <v>60</v>
      </c>
      <c r="R1286" t="s">
        <v>37</v>
      </c>
      <c r="S1286" s="3">
        <v>13464</v>
      </c>
      <c r="T1286" s="3">
        <v>7914</v>
      </c>
      <c r="U1286" s="3" t="str">
        <f t="shared" si="83"/>
        <v>High</v>
      </c>
      <c r="V1286">
        <v>7</v>
      </c>
      <c r="W1286" t="s">
        <v>38</v>
      </c>
      <c r="X1286" s="2">
        <v>21</v>
      </c>
      <c r="Y1286" t="s">
        <v>62</v>
      </c>
      <c r="Z1286" t="s">
        <v>60</v>
      </c>
      <c r="AA1286">
        <v>0</v>
      </c>
      <c r="AB1286">
        <v>9</v>
      </c>
      <c r="AC1286">
        <v>3</v>
      </c>
      <c r="AD1286">
        <v>3</v>
      </c>
      <c r="AE1286">
        <v>4</v>
      </c>
      <c r="AF1286">
        <v>3</v>
      </c>
      <c r="AG1286">
        <v>2</v>
      </c>
      <c r="AH1286">
        <v>2</v>
      </c>
      <c r="AI1286" t="str">
        <f t="shared" si="80"/>
        <v>3-5 Years</v>
      </c>
      <c r="AJ1286" t="str">
        <f t="shared" si="81"/>
        <v>0-2</v>
      </c>
    </row>
    <row r="1287" spans="1:36" x14ac:dyDescent="0.35">
      <c r="A1287">
        <v>1286</v>
      </c>
      <c r="B1287">
        <v>46</v>
      </c>
      <c r="C1287" t="str">
        <f t="shared" si="82"/>
        <v>46-55</v>
      </c>
      <c r="D1287" t="s">
        <v>38</v>
      </c>
      <c r="E1287" t="s">
        <v>50</v>
      </c>
      <c r="F1287" s="3">
        <v>1389</v>
      </c>
      <c r="G1287" t="s">
        <v>33</v>
      </c>
      <c r="H1287" s="1">
        <v>26</v>
      </c>
      <c r="I1287" t="s">
        <v>58</v>
      </c>
      <c r="J1287" t="s">
        <v>34</v>
      </c>
      <c r="K1287" t="s">
        <v>61</v>
      </c>
      <c r="L1287" t="s">
        <v>41</v>
      </c>
      <c r="M1287" s="3">
        <v>98</v>
      </c>
      <c r="N1287" t="s">
        <v>61</v>
      </c>
      <c r="O1287" t="s">
        <v>61</v>
      </c>
      <c r="P1287" t="s">
        <v>36</v>
      </c>
      <c r="Q1287" t="s">
        <v>61</v>
      </c>
      <c r="R1287" t="s">
        <v>37</v>
      </c>
      <c r="S1287" s="3">
        <v>7991</v>
      </c>
      <c r="T1287" s="3">
        <v>25166</v>
      </c>
      <c r="U1287" s="3" t="str">
        <f t="shared" si="83"/>
        <v>Medium</v>
      </c>
      <c r="V1287">
        <v>8</v>
      </c>
      <c r="W1287" t="s">
        <v>38</v>
      </c>
      <c r="X1287" s="2">
        <v>15</v>
      </c>
      <c r="Y1287" t="s">
        <v>60</v>
      </c>
      <c r="Z1287" t="s">
        <v>60</v>
      </c>
      <c r="AA1287">
        <v>0</v>
      </c>
      <c r="AB1287">
        <v>6</v>
      </c>
      <c r="AC1287">
        <v>3</v>
      </c>
      <c r="AD1287">
        <v>3</v>
      </c>
      <c r="AE1287">
        <v>2</v>
      </c>
      <c r="AF1287">
        <v>2</v>
      </c>
      <c r="AG1287">
        <v>2</v>
      </c>
      <c r="AH1287">
        <v>2</v>
      </c>
      <c r="AI1287" t="str">
        <f t="shared" si="80"/>
        <v>0-2 Years</v>
      </c>
      <c r="AJ1287" t="str">
        <f t="shared" si="81"/>
        <v>0-2</v>
      </c>
    </row>
    <row r="1288" spans="1:36" x14ac:dyDescent="0.35">
      <c r="A1288">
        <v>1287</v>
      </c>
      <c r="B1288">
        <v>40</v>
      </c>
      <c r="C1288" t="str">
        <f t="shared" si="82"/>
        <v>36-45</v>
      </c>
      <c r="D1288" t="s">
        <v>38</v>
      </c>
      <c r="E1288" t="s">
        <v>32</v>
      </c>
      <c r="F1288" s="3">
        <v>1389</v>
      </c>
      <c r="G1288" t="s">
        <v>40</v>
      </c>
      <c r="H1288" s="1">
        <v>2</v>
      </c>
      <c r="I1288" t="s">
        <v>58</v>
      </c>
      <c r="J1288" t="s">
        <v>34</v>
      </c>
      <c r="K1288" t="s">
        <v>60</v>
      </c>
      <c r="L1288" t="s">
        <v>35</v>
      </c>
      <c r="M1288" s="3">
        <v>99</v>
      </c>
      <c r="N1288" t="s">
        <v>60</v>
      </c>
      <c r="O1288" t="s">
        <v>59</v>
      </c>
      <c r="P1288" t="s">
        <v>45</v>
      </c>
      <c r="Q1288" t="s">
        <v>59</v>
      </c>
      <c r="R1288" t="s">
        <v>43</v>
      </c>
      <c r="S1288" s="3">
        <v>3377</v>
      </c>
      <c r="T1288" s="3">
        <v>25605</v>
      </c>
      <c r="U1288" s="3" t="str">
        <f t="shared" si="83"/>
        <v>Low</v>
      </c>
      <c r="V1288">
        <v>4</v>
      </c>
      <c r="W1288" t="s">
        <v>38</v>
      </c>
      <c r="X1288" s="2">
        <v>17</v>
      </c>
      <c r="Y1288" t="s">
        <v>60</v>
      </c>
      <c r="Z1288" t="s">
        <v>62</v>
      </c>
      <c r="AA1288">
        <v>1</v>
      </c>
      <c r="AB1288">
        <v>7</v>
      </c>
      <c r="AC1288">
        <v>5</v>
      </c>
      <c r="AD1288">
        <v>2</v>
      </c>
      <c r="AE1288">
        <v>4</v>
      </c>
      <c r="AF1288">
        <v>3</v>
      </c>
      <c r="AG1288">
        <v>0</v>
      </c>
      <c r="AH1288">
        <v>2</v>
      </c>
      <c r="AI1288" t="str">
        <f t="shared" si="80"/>
        <v>3-5 Years</v>
      </c>
      <c r="AJ1288" t="str">
        <f t="shared" si="81"/>
        <v>0-2</v>
      </c>
    </row>
    <row r="1289" spans="1:36" x14ac:dyDescent="0.35">
      <c r="A1289">
        <v>1288</v>
      </c>
      <c r="B1289">
        <v>42</v>
      </c>
      <c r="C1289" t="str">
        <f t="shared" si="82"/>
        <v>36-45</v>
      </c>
      <c r="D1289" t="s">
        <v>38</v>
      </c>
      <c r="E1289" t="s">
        <v>32</v>
      </c>
      <c r="F1289" s="3">
        <v>1389</v>
      </c>
      <c r="G1289" t="s">
        <v>40</v>
      </c>
      <c r="H1289" s="1">
        <v>13</v>
      </c>
      <c r="I1289" t="s">
        <v>61</v>
      </c>
      <c r="J1289" t="s">
        <v>46</v>
      </c>
      <c r="K1289" t="s">
        <v>61</v>
      </c>
      <c r="L1289" t="s">
        <v>41</v>
      </c>
      <c r="M1289" s="3">
        <v>95</v>
      </c>
      <c r="N1289" t="s">
        <v>62</v>
      </c>
      <c r="O1289" t="s">
        <v>61</v>
      </c>
      <c r="P1289" t="s">
        <v>49</v>
      </c>
      <c r="Q1289" t="s">
        <v>59</v>
      </c>
      <c r="R1289" t="s">
        <v>43</v>
      </c>
      <c r="S1289" s="3">
        <v>5538</v>
      </c>
      <c r="T1289" s="3">
        <v>5696</v>
      </c>
      <c r="U1289" s="3" t="str">
        <f t="shared" si="83"/>
        <v>Medium</v>
      </c>
      <c r="V1289">
        <v>5</v>
      </c>
      <c r="W1289" t="s">
        <v>38</v>
      </c>
      <c r="X1289" s="2">
        <v>18</v>
      </c>
      <c r="Y1289" t="s">
        <v>60</v>
      </c>
      <c r="Z1289" t="s">
        <v>60</v>
      </c>
      <c r="AA1289">
        <v>2</v>
      </c>
      <c r="AB1289">
        <v>10</v>
      </c>
      <c r="AC1289">
        <v>2</v>
      </c>
      <c r="AD1289">
        <v>2</v>
      </c>
      <c r="AE1289">
        <v>0</v>
      </c>
      <c r="AF1289">
        <v>0</v>
      </c>
      <c r="AG1289">
        <v>0</v>
      </c>
      <c r="AH1289">
        <v>0</v>
      </c>
      <c r="AI1289" t="str">
        <f t="shared" si="80"/>
        <v>0-2 Years</v>
      </c>
      <c r="AJ1289" t="str">
        <f t="shared" si="81"/>
        <v>0-2</v>
      </c>
    </row>
    <row r="1290" spans="1:36" x14ac:dyDescent="0.35">
      <c r="A1290">
        <v>1289</v>
      </c>
      <c r="B1290">
        <v>35</v>
      </c>
      <c r="C1290" t="str">
        <f t="shared" si="82"/>
        <v>26-35</v>
      </c>
      <c r="D1290" t="s">
        <v>38</v>
      </c>
      <c r="E1290" t="s">
        <v>50</v>
      </c>
      <c r="F1290" s="3">
        <v>1389</v>
      </c>
      <c r="G1290" t="s">
        <v>40</v>
      </c>
      <c r="H1290" s="1">
        <v>2</v>
      </c>
      <c r="I1290" t="s">
        <v>58</v>
      </c>
      <c r="J1290" t="s">
        <v>46</v>
      </c>
      <c r="K1290" t="s">
        <v>61</v>
      </c>
      <c r="L1290" t="s">
        <v>41</v>
      </c>
      <c r="M1290" s="3">
        <v>90</v>
      </c>
      <c r="N1290" t="s">
        <v>60</v>
      </c>
      <c r="O1290" t="s">
        <v>61</v>
      </c>
      <c r="P1290" t="s">
        <v>48</v>
      </c>
      <c r="Q1290" t="s">
        <v>62</v>
      </c>
      <c r="R1290" t="s">
        <v>47</v>
      </c>
      <c r="S1290" s="3">
        <v>5762</v>
      </c>
      <c r="T1290" s="3">
        <v>24442</v>
      </c>
      <c r="U1290" s="3" t="str">
        <f t="shared" si="83"/>
        <v>Medium</v>
      </c>
      <c r="V1290">
        <v>2</v>
      </c>
      <c r="W1290" t="s">
        <v>38</v>
      </c>
      <c r="X1290" s="2">
        <v>14</v>
      </c>
      <c r="Y1290" t="s">
        <v>60</v>
      </c>
      <c r="Z1290" t="s">
        <v>60</v>
      </c>
      <c r="AA1290">
        <v>1</v>
      </c>
      <c r="AB1290">
        <v>15</v>
      </c>
      <c r="AC1290">
        <v>6</v>
      </c>
      <c r="AD1290">
        <v>3</v>
      </c>
      <c r="AE1290">
        <v>7</v>
      </c>
      <c r="AF1290">
        <v>7</v>
      </c>
      <c r="AG1290">
        <v>1</v>
      </c>
      <c r="AH1290">
        <v>7</v>
      </c>
      <c r="AI1290" t="str">
        <f t="shared" si="80"/>
        <v>6-10 Years</v>
      </c>
      <c r="AJ1290" t="str">
        <f t="shared" si="81"/>
        <v>0-2</v>
      </c>
    </row>
    <row r="1291" spans="1:36" x14ac:dyDescent="0.35">
      <c r="A1291">
        <v>1290</v>
      </c>
      <c r="B1291">
        <v>38</v>
      </c>
      <c r="C1291" t="str">
        <f t="shared" si="82"/>
        <v>36-45</v>
      </c>
      <c r="D1291" t="s">
        <v>38</v>
      </c>
      <c r="E1291" t="s">
        <v>50</v>
      </c>
      <c r="F1291" s="3">
        <v>1389</v>
      </c>
      <c r="G1291" t="s">
        <v>56</v>
      </c>
      <c r="H1291" s="1">
        <v>2</v>
      </c>
      <c r="I1291" t="s">
        <v>61</v>
      </c>
      <c r="J1291" t="s">
        <v>56</v>
      </c>
      <c r="K1291" t="s">
        <v>59</v>
      </c>
      <c r="L1291" t="s">
        <v>41</v>
      </c>
      <c r="M1291" s="3">
        <v>100</v>
      </c>
      <c r="N1291" t="s">
        <v>60</v>
      </c>
      <c r="O1291" t="s">
        <v>59</v>
      </c>
      <c r="P1291" t="s">
        <v>56</v>
      </c>
      <c r="Q1291" t="s">
        <v>61</v>
      </c>
      <c r="R1291" t="s">
        <v>47</v>
      </c>
      <c r="S1291" s="3">
        <v>2592</v>
      </c>
      <c r="T1291" s="3">
        <v>7129</v>
      </c>
      <c r="U1291" s="3" t="str">
        <f t="shared" si="83"/>
        <v>Low</v>
      </c>
      <c r="V1291">
        <v>5</v>
      </c>
      <c r="W1291" t="s">
        <v>38</v>
      </c>
      <c r="X1291" s="2">
        <v>13</v>
      </c>
      <c r="Y1291" t="s">
        <v>60</v>
      </c>
      <c r="Z1291" t="s">
        <v>62</v>
      </c>
      <c r="AA1291">
        <v>3</v>
      </c>
      <c r="AB1291">
        <v>13</v>
      </c>
      <c r="AC1291">
        <v>3</v>
      </c>
      <c r="AD1291">
        <v>3</v>
      </c>
      <c r="AE1291">
        <v>11</v>
      </c>
      <c r="AF1291">
        <v>10</v>
      </c>
      <c r="AG1291">
        <v>3</v>
      </c>
      <c r="AH1291">
        <v>8</v>
      </c>
      <c r="AI1291" t="str">
        <f t="shared" si="80"/>
        <v>10+ Years</v>
      </c>
      <c r="AJ1291" t="str">
        <f t="shared" si="81"/>
        <v>3-5</v>
      </c>
    </row>
    <row r="1292" spans="1:36" x14ac:dyDescent="0.35">
      <c r="A1292">
        <v>1291</v>
      </c>
      <c r="B1292">
        <v>34</v>
      </c>
      <c r="C1292" t="str">
        <f t="shared" si="82"/>
        <v>26-35</v>
      </c>
      <c r="D1292" t="s">
        <v>31</v>
      </c>
      <c r="E1292" t="s">
        <v>39</v>
      </c>
      <c r="F1292" s="3">
        <v>1389</v>
      </c>
      <c r="G1292" t="s">
        <v>40</v>
      </c>
      <c r="H1292" s="1">
        <v>9</v>
      </c>
      <c r="I1292" t="s">
        <v>60</v>
      </c>
      <c r="J1292" t="s">
        <v>34</v>
      </c>
      <c r="K1292" t="s">
        <v>62</v>
      </c>
      <c r="L1292" t="s">
        <v>41</v>
      </c>
      <c r="M1292" s="3">
        <v>93</v>
      </c>
      <c r="N1292" t="s">
        <v>60</v>
      </c>
      <c r="O1292" t="s">
        <v>61</v>
      </c>
      <c r="P1292" t="s">
        <v>45</v>
      </c>
      <c r="Q1292" t="s">
        <v>59</v>
      </c>
      <c r="R1292" t="s">
        <v>43</v>
      </c>
      <c r="S1292" s="3">
        <v>5346</v>
      </c>
      <c r="T1292" s="3">
        <v>6208</v>
      </c>
      <c r="U1292" s="3" t="str">
        <f t="shared" si="83"/>
        <v>Medium</v>
      </c>
      <c r="V1292">
        <v>4</v>
      </c>
      <c r="W1292" t="s">
        <v>38</v>
      </c>
      <c r="X1292" s="2">
        <v>17</v>
      </c>
      <c r="Y1292" t="s">
        <v>60</v>
      </c>
      <c r="Z1292" t="s">
        <v>60</v>
      </c>
      <c r="AA1292">
        <v>1</v>
      </c>
      <c r="AB1292">
        <v>11</v>
      </c>
      <c r="AC1292">
        <v>3</v>
      </c>
      <c r="AD1292">
        <v>2</v>
      </c>
      <c r="AE1292">
        <v>7</v>
      </c>
      <c r="AF1292">
        <v>1</v>
      </c>
      <c r="AG1292">
        <v>0</v>
      </c>
      <c r="AH1292">
        <v>7</v>
      </c>
      <c r="AI1292" t="str">
        <f t="shared" si="80"/>
        <v>6-10 Years</v>
      </c>
      <c r="AJ1292" t="str">
        <f t="shared" si="81"/>
        <v>0-2</v>
      </c>
    </row>
    <row r="1293" spans="1:36" x14ac:dyDescent="0.35">
      <c r="A1293">
        <v>1292</v>
      </c>
      <c r="B1293">
        <v>37</v>
      </c>
      <c r="C1293" t="str">
        <f t="shared" si="82"/>
        <v>36-45</v>
      </c>
      <c r="D1293" t="s">
        <v>31</v>
      </c>
      <c r="E1293" t="s">
        <v>32</v>
      </c>
      <c r="F1293" s="3">
        <v>1389</v>
      </c>
      <c r="G1293" t="s">
        <v>40</v>
      </c>
      <c r="H1293" s="1">
        <v>10</v>
      </c>
      <c r="I1293" t="s">
        <v>60</v>
      </c>
      <c r="J1293" t="s">
        <v>46</v>
      </c>
      <c r="K1293" t="s">
        <v>62</v>
      </c>
      <c r="L1293" t="s">
        <v>41</v>
      </c>
      <c r="M1293" s="3">
        <v>58</v>
      </c>
      <c r="N1293" t="s">
        <v>60</v>
      </c>
      <c r="O1293" t="s">
        <v>61</v>
      </c>
      <c r="P1293" t="s">
        <v>48</v>
      </c>
      <c r="Q1293" t="s">
        <v>59</v>
      </c>
      <c r="R1293" t="s">
        <v>37</v>
      </c>
      <c r="S1293" s="3">
        <v>4213</v>
      </c>
      <c r="T1293" s="3">
        <v>4992</v>
      </c>
      <c r="U1293" s="3" t="str">
        <f t="shared" si="83"/>
        <v>Low</v>
      </c>
      <c r="V1293">
        <v>1</v>
      </c>
      <c r="W1293" t="s">
        <v>38</v>
      </c>
      <c r="X1293" s="2">
        <v>15</v>
      </c>
      <c r="Y1293" t="s">
        <v>60</v>
      </c>
      <c r="Z1293" t="s">
        <v>61</v>
      </c>
      <c r="AA1293">
        <v>0</v>
      </c>
      <c r="AB1293">
        <v>10</v>
      </c>
      <c r="AC1293">
        <v>4</v>
      </c>
      <c r="AD1293">
        <v>1</v>
      </c>
      <c r="AE1293">
        <v>10</v>
      </c>
      <c r="AF1293">
        <v>3</v>
      </c>
      <c r="AG1293">
        <v>0</v>
      </c>
      <c r="AH1293">
        <v>8</v>
      </c>
      <c r="AI1293" t="str">
        <f t="shared" si="80"/>
        <v>6-10 Years</v>
      </c>
      <c r="AJ1293" t="str">
        <f t="shared" si="81"/>
        <v>0-2</v>
      </c>
    </row>
    <row r="1294" spans="1:36" x14ac:dyDescent="0.35">
      <c r="A1294">
        <v>1293</v>
      </c>
      <c r="B1294">
        <v>39</v>
      </c>
      <c r="C1294" t="str">
        <f t="shared" si="82"/>
        <v>36-45</v>
      </c>
      <c r="D1294" t="s">
        <v>38</v>
      </c>
      <c r="E1294" t="s">
        <v>39</v>
      </c>
      <c r="F1294" s="3">
        <v>1389</v>
      </c>
      <c r="G1294" t="s">
        <v>33</v>
      </c>
      <c r="H1294" s="1">
        <v>20</v>
      </c>
      <c r="I1294" t="s">
        <v>61</v>
      </c>
      <c r="J1294" t="s">
        <v>34</v>
      </c>
      <c r="K1294" t="s">
        <v>60</v>
      </c>
      <c r="L1294" t="s">
        <v>41</v>
      </c>
      <c r="M1294" s="3">
        <v>83</v>
      </c>
      <c r="N1294" t="s">
        <v>60</v>
      </c>
      <c r="O1294" t="s">
        <v>61</v>
      </c>
      <c r="P1294" t="s">
        <v>36</v>
      </c>
      <c r="Q1294" t="s">
        <v>62</v>
      </c>
      <c r="R1294" t="s">
        <v>47</v>
      </c>
      <c r="S1294" s="3">
        <v>4127</v>
      </c>
      <c r="T1294" s="3">
        <v>19188</v>
      </c>
      <c r="U1294" s="3" t="str">
        <f t="shared" si="83"/>
        <v>Low</v>
      </c>
      <c r="V1294">
        <v>2</v>
      </c>
      <c r="W1294" t="s">
        <v>38</v>
      </c>
      <c r="X1294" s="2">
        <v>18</v>
      </c>
      <c r="Y1294" t="s">
        <v>60</v>
      </c>
      <c r="Z1294" t="s">
        <v>62</v>
      </c>
      <c r="AA1294">
        <v>1</v>
      </c>
      <c r="AB1294">
        <v>7</v>
      </c>
      <c r="AC1294">
        <v>6</v>
      </c>
      <c r="AD1294">
        <v>3</v>
      </c>
      <c r="AE1294">
        <v>2</v>
      </c>
      <c r="AF1294">
        <v>1</v>
      </c>
      <c r="AG1294">
        <v>2</v>
      </c>
      <c r="AH1294">
        <v>2</v>
      </c>
      <c r="AI1294" t="str">
        <f t="shared" si="80"/>
        <v>0-2 Years</v>
      </c>
      <c r="AJ1294" t="str">
        <f t="shared" si="81"/>
        <v>0-2</v>
      </c>
    </row>
    <row r="1295" spans="1:36" x14ac:dyDescent="0.35">
      <c r="A1295">
        <v>1294</v>
      </c>
      <c r="B1295">
        <v>43</v>
      </c>
      <c r="C1295" t="str">
        <f t="shared" si="82"/>
        <v>36-45</v>
      </c>
      <c r="D1295" t="s">
        <v>38</v>
      </c>
      <c r="E1295" t="s">
        <v>50</v>
      </c>
      <c r="F1295" s="3">
        <v>1389</v>
      </c>
      <c r="G1295" t="s">
        <v>40</v>
      </c>
      <c r="H1295" s="1">
        <v>9</v>
      </c>
      <c r="I1295" t="s">
        <v>61</v>
      </c>
      <c r="J1295" t="s">
        <v>34</v>
      </c>
      <c r="K1295" t="s">
        <v>59</v>
      </c>
      <c r="L1295" t="s">
        <v>41</v>
      </c>
      <c r="M1295" s="3">
        <v>52</v>
      </c>
      <c r="N1295" t="s">
        <v>60</v>
      </c>
      <c r="O1295" t="s">
        <v>59</v>
      </c>
      <c r="P1295" t="s">
        <v>42</v>
      </c>
      <c r="Q1295" t="s">
        <v>60</v>
      </c>
      <c r="R1295" t="s">
        <v>37</v>
      </c>
      <c r="S1295" s="3">
        <v>2438</v>
      </c>
      <c r="T1295" s="3">
        <v>24978</v>
      </c>
      <c r="U1295" s="3" t="str">
        <f t="shared" si="83"/>
        <v>Low</v>
      </c>
      <c r="V1295">
        <v>4</v>
      </c>
      <c r="W1295" t="s">
        <v>38</v>
      </c>
      <c r="X1295" s="2">
        <v>13</v>
      </c>
      <c r="Y1295" t="s">
        <v>60</v>
      </c>
      <c r="Z1295" t="s">
        <v>60</v>
      </c>
      <c r="AA1295">
        <v>0</v>
      </c>
      <c r="AB1295">
        <v>7</v>
      </c>
      <c r="AC1295">
        <v>2</v>
      </c>
      <c r="AD1295">
        <v>2</v>
      </c>
      <c r="AE1295">
        <v>3</v>
      </c>
      <c r="AF1295">
        <v>2</v>
      </c>
      <c r="AG1295">
        <v>1</v>
      </c>
      <c r="AH1295">
        <v>2</v>
      </c>
      <c r="AI1295" t="str">
        <f t="shared" si="80"/>
        <v>3-5 Years</v>
      </c>
      <c r="AJ1295" t="str">
        <f t="shared" si="81"/>
        <v>0-2</v>
      </c>
    </row>
    <row r="1296" spans="1:36" x14ac:dyDescent="0.35">
      <c r="A1296">
        <v>1295</v>
      </c>
      <c r="B1296">
        <v>41</v>
      </c>
      <c r="C1296" t="str">
        <f t="shared" si="82"/>
        <v>36-45</v>
      </c>
      <c r="D1296" t="s">
        <v>38</v>
      </c>
      <c r="E1296" t="s">
        <v>32</v>
      </c>
      <c r="F1296" s="3">
        <v>1389</v>
      </c>
      <c r="G1296" t="s">
        <v>40</v>
      </c>
      <c r="H1296" s="1">
        <v>5</v>
      </c>
      <c r="I1296" t="s">
        <v>61</v>
      </c>
      <c r="J1296" t="s">
        <v>34</v>
      </c>
      <c r="K1296" t="s">
        <v>61</v>
      </c>
      <c r="L1296" t="s">
        <v>41</v>
      </c>
      <c r="M1296" s="3">
        <v>85</v>
      </c>
      <c r="N1296" t="s">
        <v>62</v>
      </c>
      <c r="O1296" t="s">
        <v>61</v>
      </c>
      <c r="P1296" t="s">
        <v>49</v>
      </c>
      <c r="Q1296" t="s">
        <v>61</v>
      </c>
      <c r="R1296" t="s">
        <v>37</v>
      </c>
      <c r="S1296" s="3">
        <v>6870</v>
      </c>
      <c r="T1296" s="3">
        <v>15530</v>
      </c>
      <c r="U1296" s="3" t="str">
        <f t="shared" si="83"/>
        <v>Medium</v>
      </c>
      <c r="V1296">
        <v>3</v>
      </c>
      <c r="W1296" t="s">
        <v>38</v>
      </c>
      <c r="X1296" s="2">
        <v>12</v>
      </c>
      <c r="Y1296" t="s">
        <v>60</v>
      </c>
      <c r="Z1296" t="s">
        <v>59</v>
      </c>
      <c r="AA1296">
        <v>0</v>
      </c>
      <c r="AB1296">
        <v>11</v>
      </c>
      <c r="AC1296">
        <v>3</v>
      </c>
      <c r="AD1296">
        <v>1</v>
      </c>
      <c r="AE1296">
        <v>3</v>
      </c>
      <c r="AF1296">
        <v>2</v>
      </c>
      <c r="AG1296">
        <v>1</v>
      </c>
      <c r="AH1296">
        <v>2</v>
      </c>
      <c r="AI1296" t="str">
        <f t="shared" si="80"/>
        <v>3-5 Years</v>
      </c>
      <c r="AJ1296" t="str">
        <f t="shared" si="81"/>
        <v>0-2</v>
      </c>
    </row>
    <row r="1297" spans="1:36" x14ac:dyDescent="0.35">
      <c r="A1297">
        <v>1296</v>
      </c>
      <c r="B1297">
        <v>41</v>
      </c>
      <c r="C1297" t="str">
        <f t="shared" si="82"/>
        <v>36-45</v>
      </c>
      <c r="D1297" t="s">
        <v>38</v>
      </c>
      <c r="E1297" t="s">
        <v>32</v>
      </c>
      <c r="F1297" s="3">
        <v>1389</v>
      </c>
      <c r="G1297" t="s">
        <v>33</v>
      </c>
      <c r="H1297" s="1">
        <v>4</v>
      </c>
      <c r="I1297" t="s">
        <v>59</v>
      </c>
      <c r="J1297" t="s">
        <v>54</v>
      </c>
      <c r="K1297" t="s">
        <v>60</v>
      </c>
      <c r="L1297" t="s">
        <v>35</v>
      </c>
      <c r="M1297" s="3">
        <v>81</v>
      </c>
      <c r="N1297" t="s">
        <v>60</v>
      </c>
      <c r="O1297" t="s">
        <v>60</v>
      </c>
      <c r="P1297" t="s">
        <v>36</v>
      </c>
      <c r="Q1297" t="s">
        <v>60</v>
      </c>
      <c r="R1297" t="s">
        <v>47</v>
      </c>
      <c r="S1297" s="3">
        <v>10447</v>
      </c>
      <c r="T1297" s="3">
        <v>26458</v>
      </c>
      <c r="U1297" s="3" t="str">
        <f t="shared" si="83"/>
        <v>High</v>
      </c>
      <c r="V1297">
        <v>0</v>
      </c>
      <c r="W1297" t="s">
        <v>31</v>
      </c>
      <c r="X1297" s="2">
        <v>13</v>
      </c>
      <c r="Y1297" t="s">
        <v>60</v>
      </c>
      <c r="Z1297" t="s">
        <v>62</v>
      </c>
      <c r="AA1297">
        <v>1</v>
      </c>
      <c r="AB1297">
        <v>23</v>
      </c>
      <c r="AC1297">
        <v>3</v>
      </c>
      <c r="AD1297">
        <v>4</v>
      </c>
      <c r="AE1297">
        <v>22</v>
      </c>
      <c r="AF1297">
        <v>14</v>
      </c>
      <c r="AG1297">
        <v>13</v>
      </c>
      <c r="AH1297">
        <v>5</v>
      </c>
      <c r="AI1297" t="str">
        <f t="shared" si="80"/>
        <v>10+ Years</v>
      </c>
      <c r="AJ1297" t="str">
        <f t="shared" si="81"/>
        <v>6+</v>
      </c>
    </row>
    <row r="1298" spans="1:36" x14ac:dyDescent="0.35">
      <c r="A1298">
        <v>1297</v>
      </c>
      <c r="B1298">
        <v>30</v>
      </c>
      <c r="C1298" t="str">
        <f t="shared" si="82"/>
        <v>26-35</v>
      </c>
      <c r="D1298" t="s">
        <v>38</v>
      </c>
      <c r="E1298" t="s">
        <v>32</v>
      </c>
      <c r="F1298" s="3">
        <v>1389</v>
      </c>
      <c r="G1298" t="s">
        <v>40</v>
      </c>
      <c r="H1298" s="1">
        <v>10</v>
      </c>
      <c r="I1298" t="s">
        <v>61</v>
      </c>
      <c r="J1298" t="s">
        <v>46</v>
      </c>
      <c r="K1298" t="s">
        <v>59</v>
      </c>
      <c r="L1298" t="s">
        <v>35</v>
      </c>
      <c r="M1298" s="3">
        <v>64</v>
      </c>
      <c r="N1298" t="s">
        <v>60</v>
      </c>
      <c r="O1298" t="s">
        <v>60</v>
      </c>
      <c r="P1298" t="s">
        <v>48</v>
      </c>
      <c r="Q1298" t="s">
        <v>60</v>
      </c>
      <c r="R1298" t="s">
        <v>37</v>
      </c>
      <c r="S1298" s="3">
        <v>9667</v>
      </c>
      <c r="T1298" s="3">
        <v>2739</v>
      </c>
      <c r="U1298" s="3" t="str">
        <f t="shared" si="83"/>
        <v>Medium</v>
      </c>
      <c r="V1298">
        <v>9</v>
      </c>
      <c r="W1298" t="s">
        <v>38</v>
      </c>
      <c r="X1298" s="2">
        <v>14</v>
      </c>
      <c r="Y1298" t="s">
        <v>60</v>
      </c>
      <c r="Z1298" t="s">
        <v>61</v>
      </c>
      <c r="AA1298">
        <v>0</v>
      </c>
      <c r="AB1298">
        <v>9</v>
      </c>
      <c r="AC1298">
        <v>3</v>
      </c>
      <c r="AD1298">
        <v>3</v>
      </c>
      <c r="AE1298">
        <v>7</v>
      </c>
      <c r="AF1298">
        <v>7</v>
      </c>
      <c r="AG1298">
        <v>0</v>
      </c>
      <c r="AH1298">
        <v>2</v>
      </c>
      <c r="AI1298" t="str">
        <f t="shared" si="80"/>
        <v>6-10 Years</v>
      </c>
      <c r="AJ1298" t="str">
        <f t="shared" si="81"/>
        <v>0-2</v>
      </c>
    </row>
    <row r="1299" spans="1:36" x14ac:dyDescent="0.35">
      <c r="A1299">
        <v>1298</v>
      </c>
      <c r="B1299">
        <v>26</v>
      </c>
      <c r="C1299" t="str">
        <f t="shared" si="82"/>
        <v>26-35</v>
      </c>
      <c r="D1299" t="s">
        <v>31</v>
      </c>
      <c r="E1299" t="s">
        <v>32</v>
      </c>
      <c r="F1299" s="3">
        <v>1389</v>
      </c>
      <c r="G1299" t="s">
        <v>56</v>
      </c>
      <c r="H1299" s="1">
        <v>20</v>
      </c>
      <c r="I1299" t="s">
        <v>58</v>
      </c>
      <c r="J1299" t="s">
        <v>46</v>
      </c>
      <c r="K1299" t="s">
        <v>62</v>
      </c>
      <c r="L1299" t="s">
        <v>35</v>
      </c>
      <c r="M1299" s="3">
        <v>69</v>
      </c>
      <c r="N1299" t="s">
        <v>60</v>
      </c>
      <c r="O1299" t="s">
        <v>59</v>
      </c>
      <c r="P1299" t="s">
        <v>56</v>
      </c>
      <c r="Q1299" t="s">
        <v>61</v>
      </c>
      <c r="R1299" t="s">
        <v>43</v>
      </c>
      <c r="S1299" s="3">
        <v>2148</v>
      </c>
      <c r="T1299" s="3">
        <v>6889</v>
      </c>
      <c r="U1299" s="3" t="str">
        <f t="shared" si="83"/>
        <v>Low</v>
      </c>
      <c r="V1299">
        <v>0</v>
      </c>
      <c r="W1299" t="s">
        <v>31</v>
      </c>
      <c r="X1299" s="2">
        <v>11</v>
      </c>
      <c r="Y1299" t="s">
        <v>60</v>
      </c>
      <c r="Z1299" t="s">
        <v>60</v>
      </c>
      <c r="AA1299">
        <v>0</v>
      </c>
      <c r="AB1299">
        <v>6</v>
      </c>
      <c r="AC1299">
        <v>3</v>
      </c>
      <c r="AD1299">
        <v>3</v>
      </c>
      <c r="AE1299">
        <v>5</v>
      </c>
      <c r="AF1299">
        <v>1</v>
      </c>
      <c r="AG1299">
        <v>1</v>
      </c>
      <c r="AH1299">
        <v>4</v>
      </c>
      <c r="AI1299" t="str">
        <f t="shared" si="80"/>
        <v>3-5 Years</v>
      </c>
      <c r="AJ1299" t="str">
        <f t="shared" si="81"/>
        <v>0-2</v>
      </c>
    </row>
    <row r="1300" spans="1:36" x14ac:dyDescent="0.35">
      <c r="A1300">
        <v>1299</v>
      </c>
      <c r="B1300">
        <v>46</v>
      </c>
      <c r="C1300" t="str">
        <f t="shared" si="82"/>
        <v>46-55</v>
      </c>
      <c r="D1300" t="s">
        <v>31</v>
      </c>
      <c r="E1300" t="s">
        <v>32</v>
      </c>
      <c r="F1300" s="3">
        <v>1389</v>
      </c>
      <c r="G1300" t="s">
        <v>40</v>
      </c>
      <c r="H1300" s="1">
        <v>21</v>
      </c>
      <c r="I1300" t="s">
        <v>58</v>
      </c>
      <c r="J1300" t="s">
        <v>46</v>
      </c>
      <c r="K1300" t="s">
        <v>62</v>
      </c>
      <c r="L1300" t="s">
        <v>35</v>
      </c>
      <c r="M1300" s="3">
        <v>66</v>
      </c>
      <c r="N1300" t="s">
        <v>60</v>
      </c>
      <c r="O1300" t="s">
        <v>61</v>
      </c>
      <c r="P1300" t="s">
        <v>49</v>
      </c>
      <c r="Q1300" t="s">
        <v>61</v>
      </c>
      <c r="R1300" t="s">
        <v>43</v>
      </c>
      <c r="S1300" s="3">
        <v>8926</v>
      </c>
      <c r="T1300" s="3">
        <v>10842</v>
      </c>
      <c r="U1300" s="3" t="str">
        <f t="shared" si="83"/>
        <v>Medium</v>
      </c>
      <c r="V1300">
        <v>4</v>
      </c>
      <c r="W1300" t="s">
        <v>38</v>
      </c>
      <c r="X1300" s="2">
        <v>22</v>
      </c>
      <c r="Y1300" t="s">
        <v>62</v>
      </c>
      <c r="Z1300" t="s">
        <v>62</v>
      </c>
      <c r="AA1300">
        <v>1</v>
      </c>
      <c r="AB1300">
        <v>13</v>
      </c>
      <c r="AC1300">
        <v>2</v>
      </c>
      <c r="AD1300">
        <v>4</v>
      </c>
      <c r="AE1300">
        <v>9</v>
      </c>
      <c r="AF1300">
        <v>7</v>
      </c>
      <c r="AG1300">
        <v>3</v>
      </c>
      <c r="AH1300">
        <v>7</v>
      </c>
      <c r="AI1300" t="str">
        <f t="shared" si="80"/>
        <v>6-10 Years</v>
      </c>
      <c r="AJ1300" t="str">
        <f t="shared" si="81"/>
        <v>3-5</v>
      </c>
    </row>
    <row r="1301" spans="1:36" x14ac:dyDescent="0.35">
      <c r="A1301">
        <v>1300</v>
      </c>
      <c r="B1301">
        <v>40</v>
      </c>
      <c r="C1301" t="str">
        <f t="shared" si="82"/>
        <v>36-45</v>
      </c>
      <c r="D1301" t="s">
        <v>38</v>
      </c>
      <c r="E1301" t="s">
        <v>32</v>
      </c>
      <c r="F1301" s="3">
        <v>1389</v>
      </c>
      <c r="G1301" t="s">
        <v>40</v>
      </c>
      <c r="H1301" s="1">
        <v>1</v>
      </c>
      <c r="I1301" t="s">
        <v>61</v>
      </c>
      <c r="J1301" t="s">
        <v>34</v>
      </c>
      <c r="K1301" t="s">
        <v>60</v>
      </c>
      <c r="L1301" t="s">
        <v>35</v>
      </c>
      <c r="M1301" s="3">
        <v>52</v>
      </c>
      <c r="N1301" t="s">
        <v>60</v>
      </c>
      <c r="O1301" t="s">
        <v>61</v>
      </c>
      <c r="P1301" t="s">
        <v>49</v>
      </c>
      <c r="Q1301" t="s">
        <v>62</v>
      </c>
      <c r="R1301" t="s">
        <v>47</v>
      </c>
      <c r="S1301" s="3">
        <v>6513</v>
      </c>
      <c r="T1301" s="3">
        <v>9060</v>
      </c>
      <c r="U1301" s="3" t="str">
        <f t="shared" si="83"/>
        <v>Medium</v>
      </c>
      <c r="V1301">
        <v>4</v>
      </c>
      <c r="W1301" t="s">
        <v>38</v>
      </c>
      <c r="X1301" s="2">
        <v>17</v>
      </c>
      <c r="Y1301" t="s">
        <v>60</v>
      </c>
      <c r="Z1301" t="s">
        <v>62</v>
      </c>
      <c r="AA1301">
        <v>1</v>
      </c>
      <c r="AB1301">
        <v>12</v>
      </c>
      <c r="AC1301">
        <v>3</v>
      </c>
      <c r="AD1301">
        <v>3</v>
      </c>
      <c r="AE1301">
        <v>5</v>
      </c>
      <c r="AF1301">
        <v>3</v>
      </c>
      <c r="AG1301">
        <v>0</v>
      </c>
      <c r="AH1301">
        <v>3</v>
      </c>
      <c r="AI1301" t="str">
        <f t="shared" si="80"/>
        <v>3-5 Years</v>
      </c>
      <c r="AJ1301" t="str">
        <f t="shared" si="81"/>
        <v>0-2</v>
      </c>
    </row>
    <row r="1302" spans="1:36" x14ac:dyDescent="0.35">
      <c r="A1302">
        <v>1301</v>
      </c>
      <c r="B1302">
        <v>34</v>
      </c>
      <c r="C1302" t="str">
        <f t="shared" si="82"/>
        <v>26-35</v>
      </c>
      <c r="D1302" t="s">
        <v>38</v>
      </c>
      <c r="E1302" t="s">
        <v>32</v>
      </c>
      <c r="F1302" s="3">
        <v>1389</v>
      </c>
      <c r="G1302" t="s">
        <v>33</v>
      </c>
      <c r="H1302" s="1">
        <v>8</v>
      </c>
      <c r="I1302" t="s">
        <v>58</v>
      </c>
      <c r="J1302" t="s">
        <v>55</v>
      </c>
      <c r="K1302" t="s">
        <v>61</v>
      </c>
      <c r="L1302" t="s">
        <v>41</v>
      </c>
      <c r="M1302" s="3">
        <v>92</v>
      </c>
      <c r="N1302" t="s">
        <v>62</v>
      </c>
      <c r="O1302" t="s">
        <v>61</v>
      </c>
      <c r="P1302" t="s">
        <v>36</v>
      </c>
      <c r="Q1302" t="s">
        <v>60</v>
      </c>
      <c r="R1302" t="s">
        <v>43</v>
      </c>
      <c r="S1302" s="3">
        <v>6799</v>
      </c>
      <c r="T1302" s="3">
        <v>22128</v>
      </c>
      <c r="U1302" s="3" t="str">
        <f t="shared" si="83"/>
        <v>Medium</v>
      </c>
      <c r="V1302">
        <v>1</v>
      </c>
      <c r="W1302" t="s">
        <v>38</v>
      </c>
      <c r="X1302" s="2">
        <v>21</v>
      </c>
      <c r="Y1302" t="s">
        <v>62</v>
      </c>
      <c r="Z1302" t="s">
        <v>60</v>
      </c>
      <c r="AA1302">
        <v>2</v>
      </c>
      <c r="AB1302">
        <v>10</v>
      </c>
      <c r="AC1302">
        <v>5</v>
      </c>
      <c r="AD1302">
        <v>3</v>
      </c>
      <c r="AE1302">
        <v>10</v>
      </c>
      <c r="AF1302">
        <v>8</v>
      </c>
      <c r="AG1302">
        <v>4</v>
      </c>
      <c r="AH1302">
        <v>8</v>
      </c>
      <c r="AI1302" t="str">
        <f t="shared" si="80"/>
        <v>6-10 Years</v>
      </c>
      <c r="AJ1302" t="str">
        <f t="shared" si="81"/>
        <v>3-5</v>
      </c>
    </row>
    <row r="1303" spans="1:36" x14ac:dyDescent="0.35">
      <c r="A1303">
        <v>1302</v>
      </c>
      <c r="B1303">
        <v>58</v>
      </c>
      <c r="C1303" t="str">
        <f t="shared" si="82"/>
        <v>55+</v>
      </c>
      <c r="D1303" t="s">
        <v>38</v>
      </c>
      <c r="E1303" t="s">
        <v>50</v>
      </c>
      <c r="F1303" s="3">
        <v>1389</v>
      </c>
      <c r="G1303" t="s">
        <v>33</v>
      </c>
      <c r="H1303" s="1">
        <v>2</v>
      </c>
      <c r="I1303" t="s">
        <v>61</v>
      </c>
      <c r="J1303" t="s">
        <v>46</v>
      </c>
      <c r="K1303" t="s">
        <v>61</v>
      </c>
      <c r="L1303" t="s">
        <v>41</v>
      </c>
      <c r="M1303" s="3">
        <v>52</v>
      </c>
      <c r="N1303" t="s">
        <v>60</v>
      </c>
      <c r="O1303" t="s">
        <v>62</v>
      </c>
      <c r="P1303" t="s">
        <v>51</v>
      </c>
      <c r="Q1303" t="s">
        <v>61</v>
      </c>
      <c r="R1303" t="s">
        <v>47</v>
      </c>
      <c r="S1303" s="3">
        <v>16291</v>
      </c>
      <c r="T1303" s="3">
        <v>22577</v>
      </c>
      <c r="U1303" s="3" t="str">
        <f t="shared" si="83"/>
        <v>High</v>
      </c>
      <c r="V1303">
        <v>4</v>
      </c>
      <c r="W1303" t="s">
        <v>38</v>
      </c>
      <c r="X1303" s="2">
        <v>22</v>
      </c>
      <c r="Y1303" t="s">
        <v>62</v>
      </c>
      <c r="Z1303" t="s">
        <v>62</v>
      </c>
      <c r="AA1303">
        <v>1</v>
      </c>
      <c r="AB1303">
        <v>37</v>
      </c>
      <c r="AC1303">
        <v>0</v>
      </c>
      <c r="AD1303">
        <v>2</v>
      </c>
      <c r="AE1303">
        <v>16</v>
      </c>
      <c r="AF1303">
        <v>9</v>
      </c>
      <c r="AG1303">
        <v>14</v>
      </c>
      <c r="AH1303">
        <v>14</v>
      </c>
      <c r="AI1303" t="str">
        <f t="shared" si="80"/>
        <v>10+ Years</v>
      </c>
      <c r="AJ1303" t="str">
        <f t="shared" si="81"/>
        <v>6+</v>
      </c>
    </row>
    <row r="1304" spans="1:36" x14ac:dyDescent="0.35">
      <c r="A1304">
        <v>1303</v>
      </c>
      <c r="B1304">
        <v>35</v>
      </c>
      <c r="C1304" t="str">
        <f t="shared" si="82"/>
        <v>26-35</v>
      </c>
      <c r="D1304" t="s">
        <v>38</v>
      </c>
      <c r="E1304" t="s">
        <v>32</v>
      </c>
      <c r="F1304" s="3">
        <v>1389</v>
      </c>
      <c r="G1304" t="s">
        <v>40</v>
      </c>
      <c r="H1304" s="1">
        <v>23</v>
      </c>
      <c r="I1304" t="s">
        <v>60</v>
      </c>
      <c r="J1304" t="s">
        <v>46</v>
      </c>
      <c r="K1304" t="s">
        <v>61</v>
      </c>
      <c r="L1304" t="s">
        <v>41</v>
      </c>
      <c r="M1304" s="3">
        <v>91</v>
      </c>
      <c r="N1304" t="s">
        <v>59</v>
      </c>
      <c r="O1304" t="s">
        <v>59</v>
      </c>
      <c r="P1304" t="s">
        <v>45</v>
      </c>
      <c r="Q1304" t="s">
        <v>60</v>
      </c>
      <c r="R1304" t="s">
        <v>43</v>
      </c>
      <c r="S1304" s="3">
        <v>2705</v>
      </c>
      <c r="T1304" s="3">
        <v>9696</v>
      </c>
      <c r="U1304" s="3" t="str">
        <f t="shared" si="83"/>
        <v>Low</v>
      </c>
      <c r="V1304">
        <v>0</v>
      </c>
      <c r="W1304" t="s">
        <v>38</v>
      </c>
      <c r="X1304" s="2">
        <v>16</v>
      </c>
      <c r="Y1304" t="s">
        <v>60</v>
      </c>
      <c r="Z1304" t="s">
        <v>61</v>
      </c>
      <c r="AA1304">
        <v>1</v>
      </c>
      <c r="AB1304">
        <v>6</v>
      </c>
      <c r="AC1304">
        <v>2</v>
      </c>
      <c r="AD1304">
        <v>4</v>
      </c>
      <c r="AE1304">
        <v>5</v>
      </c>
      <c r="AF1304">
        <v>4</v>
      </c>
      <c r="AG1304">
        <v>0</v>
      </c>
      <c r="AH1304">
        <v>3</v>
      </c>
      <c r="AI1304" t="str">
        <f t="shared" si="80"/>
        <v>3-5 Years</v>
      </c>
      <c r="AJ1304" t="str">
        <f t="shared" si="81"/>
        <v>0-2</v>
      </c>
    </row>
    <row r="1305" spans="1:36" x14ac:dyDescent="0.35">
      <c r="A1305">
        <v>1304</v>
      </c>
      <c r="B1305">
        <v>47</v>
      </c>
      <c r="C1305" t="str">
        <f t="shared" si="82"/>
        <v>46-55</v>
      </c>
      <c r="D1305" t="s">
        <v>38</v>
      </c>
      <c r="E1305" t="s">
        <v>32</v>
      </c>
      <c r="F1305" s="3">
        <v>1389</v>
      </c>
      <c r="G1305" t="s">
        <v>40</v>
      </c>
      <c r="H1305" s="1">
        <v>4</v>
      </c>
      <c r="I1305" t="s">
        <v>61</v>
      </c>
      <c r="J1305" t="s">
        <v>34</v>
      </c>
      <c r="K1305" t="s">
        <v>60</v>
      </c>
      <c r="L1305" t="s">
        <v>35</v>
      </c>
      <c r="M1305" s="3">
        <v>92</v>
      </c>
      <c r="N1305" t="s">
        <v>61</v>
      </c>
      <c r="O1305" t="s">
        <v>60</v>
      </c>
      <c r="P1305" t="s">
        <v>48</v>
      </c>
      <c r="Q1305" t="s">
        <v>61</v>
      </c>
      <c r="R1305" t="s">
        <v>47</v>
      </c>
      <c r="S1305" s="3">
        <v>10333</v>
      </c>
      <c r="T1305" s="3">
        <v>19271</v>
      </c>
      <c r="U1305" s="3" t="str">
        <f t="shared" si="83"/>
        <v>High</v>
      </c>
      <c r="V1305">
        <v>8</v>
      </c>
      <c r="W1305" t="s">
        <v>31</v>
      </c>
      <c r="X1305" s="2">
        <v>12</v>
      </c>
      <c r="Y1305" t="s">
        <v>60</v>
      </c>
      <c r="Z1305" t="s">
        <v>60</v>
      </c>
      <c r="AA1305">
        <v>1</v>
      </c>
      <c r="AB1305">
        <v>28</v>
      </c>
      <c r="AC1305">
        <v>4</v>
      </c>
      <c r="AD1305">
        <v>3</v>
      </c>
      <c r="AE1305">
        <v>22</v>
      </c>
      <c r="AF1305">
        <v>11</v>
      </c>
      <c r="AG1305">
        <v>14</v>
      </c>
      <c r="AH1305">
        <v>10</v>
      </c>
      <c r="AI1305" t="str">
        <f t="shared" si="80"/>
        <v>10+ Years</v>
      </c>
      <c r="AJ1305" t="str">
        <f t="shared" si="81"/>
        <v>6+</v>
      </c>
    </row>
    <row r="1306" spans="1:36" x14ac:dyDescent="0.35">
      <c r="A1306">
        <v>1305</v>
      </c>
      <c r="B1306">
        <v>40</v>
      </c>
      <c r="C1306" t="str">
        <f t="shared" si="82"/>
        <v>36-45</v>
      </c>
      <c r="D1306" t="s">
        <v>38</v>
      </c>
      <c r="E1306" t="s">
        <v>32</v>
      </c>
      <c r="F1306" s="3">
        <v>1389</v>
      </c>
      <c r="G1306" t="s">
        <v>40</v>
      </c>
      <c r="H1306" s="1">
        <v>12</v>
      </c>
      <c r="I1306" t="s">
        <v>61</v>
      </c>
      <c r="J1306" t="s">
        <v>34</v>
      </c>
      <c r="K1306" t="s">
        <v>61</v>
      </c>
      <c r="L1306" t="s">
        <v>35</v>
      </c>
      <c r="M1306" s="3">
        <v>47</v>
      </c>
      <c r="N1306" t="s">
        <v>60</v>
      </c>
      <c r="O1306" t="s">
        <v>61</v>
      </c>
      <c r="P1306" t="s">
        <v>49</v>
      </c>
      <c r="Q1306" t="s">
        <v>59</v>
      </c>
      <c r="R1306" t="s">
        <v>47</v>
      </c>
      <c r="S1306" s="3">
        <v>4448</v>
      </c>
      <c r="T1306" s="3">
        <v>10748</v>
      </c>
      <c r="U1306" s="3" t="str">
        <f t="shared" si="83"/>
        <v>Low</v>
      </c>
      <c r="V1306">
        <v>2</v>
      </c>
      <c r="W1306" t="s">
        <v>38</v>
      </c>
      <c r="X1306" s="2">
        <v>12</v>
      </c>
      <c r="Y1306" t="s">
        <v>60</v>
      </c>
      <c r="Z1306" t="s">
        <v>61</v>
      </c>
      <c r="AA1306">
        <v>1</v>
      </c>
      <c r="AB1306">
        <v>15</v>
      </c>
      <c r="AC1306">
        <v>3</v>
      </c>
      <c r="AD1306">
        <v>3</v>
      </c>
      <c r="AE1306">
        <v>7</v>
      </c>
      <c r="AF1306">
        <v>4</v>
      </c>
      <c r="AG1306">
        <v>7</v>
      </c>
      <c r="AH1306">
        <v>7</v>
      </c>
      <c r="AI1306" t="str">
        <f t="shared" si="80"/>
        <v>6-10 Years</v>
      </c>
      <c r="AJ1306" t="str">
        <f t="shared" si="81"/>
        <v>6+</v>
      </c>
    </row>
    <row r="1307" spans="1:36" x14ac:dyDescent="0.35">
      <c r="A1307">
        <v>1306</v>
      </c>
      <c r="B1307">
        <v>54</v>
      </c>
      <c r="C1307" t="str">
        <f t="shared" si="82"/>
        <v>46-55</v>
      </c>
      <c r="D1307" t="s">
        <v>38</v>
      </c>
      <c r="E1307" t="s">
        <v>32</v>
      </c>
      <c r="F1307" s="3">
        <v>1389</v>
      </c>
      <c r="G1307" t="s">
        <v>40</v>
      </c>
      <c r="H1307" s="1">
        <v>7</v>
      </c>
      <c r="I1307" t="s">
        <v>60</v>
      </c>
      <c r="J1307" t="s">
        <v>46</v>
      </c>
      <c r="K1307" t="s">
        <v>62</v>
      </c>
      <c r="L1307" t="s">
        <v>35</v>
      </c>
      <c r="M1307" s="3">
        <v>68</v>
      </c>
      <c r="N1307" t="s">
        <v>60</v>
      </c>
      <c r="O1307" t="s">
        <v>61</v>
      </c>
      <c r="P1307" t="s">
        <v>42</v>
      </c>
      <c r="Q1307" t="s">
        <v>62</v>
      </c>
      <c r="R1307" t="s">
        <v>43</v>
      </c>
      <c r="S1307" s="3">
        <v>6854</v>
      </c>
      <c r="T1307" s="3">
        <v>15696</v>
      </c>
      <c r="U1307" s="3" t="str">
        <f t="shared" si="83"/>
        <v>Medium</v>
      </c>
      <c r="V1307">
        <v>4</v>
      </c>
      <c r="W1307" t="s">
        <v>38</v>
      </c>
      <c r="X1307" s="2">
        <v>15</v>
      </c>
      <c r="Y1307" t="s">
        <v>60</v>
      </c>
      <c r="Z1307" t="s">
        <v>61</v>
      </c>
      <c r="AA1307">
        <v>1</v>
      </c>
      <c r="AB1307">
        <v>14</v>
      </c>
      <c r="AC1307">
        <v>2</v>
      </c>
      <c r="AD1307">
        <v>2</v>
      </c>
      <c r="AE1307">
        <v>7</v>
      </c>
      <c r="AF1307">
        <v>1</v>
      </c>
      <c r="AG1307">
        <v>1</v>
      </c>
      <c r="AH1307">
        <v>7</v>
      </c>
      <c r="AI1307" t="str">
        <f t="shared" si="80"/>
        <v>6-10 Years</v>
      </c>
      <c r="AJ1307" t="str">
        <f t="shared" si="81"/>
        <v>0-2</v>
      </c>
    </row>
    <row r="1308" spans="1:36" x14ac:dyDescent="0.35">
      <c r="A1308">
        <v>1307</v>
      </c>
      <c r="B1308">
        <v>31</v>
      </c>
      <c r="C1308" t="str">
        <f t="shared" si="82"/>
        <v>26-35</v>
      </c>
      <c r="D1308" t="s">
        <v>38</v>
      </c>
      <c r="E1308" t="s">
        <v>39</v>
      </c>
      <c r="F1308" s="3">
        <v>1389</v>
      </c>
      <c r="G1308" t="s">
        <v>33</v>
      </c>
      <c r="H1308" s="1">
        <v>7</v>
      </c>
      <c r="I1308" t="s">
        <v>60</v>
      </c>
      <c r="J1308" t="s">
        <v>54</v>
      </c>
      <c r="K1308" t="s">
        <v>59</v>
      </c>
      <c r="L1308" t="s">
        <v>35</v>
      </c>
      <c r="M1308" s="3">
        <v>68</v>
      </c>
      <c r="N1308" t="s">
        <v>60</v>
      </c>
      <c r="O1308" t="s">
        <v>60</v>
      </c>
      <c r="P1308" t="s">
        <v>36</v>
      </c>
      <c r="Q1308" t="s">
        <v>59</v>
      </c>
      <c r="R1308" t="s">
        <v>43</v>
      </c>
      <c r="S1308" s="3">
        <v>9637</v>
      </c>
      <c r="T1308" s="3">
        <v>8277</v>
      </c>
      <c r="U1308" s="3" t="str">
        <f t="shared" si="83"/>
        <v>Medium</v>
      </c>
      <c r="V1308">
        <v>2</v>
      </c>
      <c r="W1308" t="s">
        <v>38</v>
      </c>
      <c r="X1308" s="2">
        <v>14</v>
      </c>
      <c r="Y1308" t="s">
        <v>60</v>
      </c>
      <c r="Z1308" t="s">
        <v>62</v>
      </c>
      <c r="AA1308">
        <v>2</v>
      </c>
      <c r="AB1308">
        <v>9</v>
      </c>
      <c r="AC1308">
        <v>3</v>
      </c>
      <c r="AD1308">
        <v>3</v>
      </c>
      <c r="AE1308">
        <v>3</v>
      </c>
      <c r="AF1308">
        <v>2</v>
      </c>
      <c r="AG1308">
        <v>2</v>
      </c>
      <c r="AH1308">
        <v>2</v>
      </c>
      <c r="AI1308" t="str">
        <f t="shared" si="80"/>
        <v>3-5 Years</v>
      </c>
      <c r="AJ1308" t="str">
        <f t="shared" si="81"/>
        <v>0-2</v>
      </c>
    </row>
    <row r="1309" spans="1:36" x14ac:dyDescent="0.35">
      <c r="A1309">
        <v>1308</v>
      </c>
      <c r="B1309">
        <v>28</v>
      </c>
      <c r="C1309" t="str">
        <f t="shared" si="82"/>
        <v>26-35</v>
      </c>
      <c r="D1309" t="s">
        <v>38</v>
      </c>
      <c r="E1309" t="s">
        <v>32</v>
      </c>
      <c r="F1309" s="3">
        <v>1389</v>
      </c>
      <c r="G1309" t="s">
        <v>40</v>
      </c>
      <c r="H1309" s="1">
        <v>1</v>
      </c>
      <c r="I1309" t="s">
        <v>61</v>
      </c>
      <c r="J1309" t="s">
        <v>46</v>
      </c>
      <c r="K1309" t="s">
        <v>60</v>
      </c>
      <c r="L1309" t="s">
        <v>35</v>
      </c>
      <c r="M1309" s="3">
        <v>67</v>
      </c>
      <c r="N1309" t="s">
        <v>60</v>
      </c>
      <c r="O1309" t="s">
        <v>59</v>
      </c>
      <c r="P1309" t="s">
        <v>42</v>
      </c>
      <c r="Q1309" t="s">
        <v>59</v>
      </c>
      <c r="R1309" t="s">
        <v>43</v>
      </c>
      <c r="S1309" s="3">
        <v>3591</v>
      </c>
      <c r="T1309" s="3">
        <v>12719</v>
      </c>
      <c r="U1309" s="3" t="str">
        <f t="shared" si="83"/>
        <v>Low</v>
      </c>
      <c r="V1309">
        <v>1</v>
      </c>
      <c r="W1309" t="s">
        <v>38</v>
      </c>
      <c r="X1309" s="2">
        <v>25</v>
      </c>
      <c r="Y1309" t="s">
        <v>62</v>
      </c>
      <c r="Z1309" t="s">
        <v>60</v>
      </c>
      <c r="AA1309">
        <v>1</v>
      </c>
      <c r="AB1309">
        <v>3</v>
      </c>
      <c r="AC1309">
        <v>3</v>
      </c>
      <c r="AD1309">
        <v>3</v>
      </c>
      <c r="AE1309">
        <v>3</v>
      </c>
      <c r="AF1309">
        <v>2</v>
      </c>
      <c r="AG1309">
        <v>1</v>
      </c>
      <c r="AH1309">
        <v>2</v>
      </c>
      <c r="AI1309" t="str">
        <f t="shared" si="80"/>
        <v>3-5 Years</v>
      </c>
      <c r="AJ1309" t="str">
        <f t="shared" si="81"/>
        <v>0-2</v>
      </c>
    </row>
    <row r="1310" spans="1:36" x14ac:dyDescent="0.35">
      <c r="A1310">
        <v>1309</v>
      </c>
      <c r="B1310">
        <v>38</v>
      </c>
      <c r="C1310" t="str">
        <f t="shared" si="82"/>
        <v>36-45</v>
      </c>
      <c r="D1310" t="s">
        <v>38</v>
      </c>
      <c r="E1310" t="s">
        <v>32</v>
      </c>
      <c r="F1310" s="3">
        <v>1389</v>
      </c>
      <c r="G1310" t="s">
        <v>33</v>
      </c>
      <c r="H1310" s="1">
        <v>2</v>
      </c>
      <c r="I1310" t="s">
        <v>60</v>
      </c>
      <c r="J1310" t="s">
        <v>54</v>
      </c>
      <c r="K1310" t="s">
        <v>61</v>
      </c>
      <c r="L1310" t="s">
        <v>35</v>
      </c>
      <c r="M1310" s="3">
        <v>77</v>
      </c>
      <c r="N1310" t="s">
        <v>59</v>
      </c>
      <c r="O1310" t="s">
        <v>61</v>
      </c>
      <c r="P1310" t="s">
        <v>52</v>
      </c>
      <c r="Q1310" t="s">
        <v>62</v>
      </c>
      <c r="R1310" t="s">
        <v>43</v>
      </c>
      <c r="S1310" s="3">
        <v>5405</v>
      </c>
      <c r="T1310" s="3">
        <v>4244</v>
      </c>
      <c r="U1310" s="3" t="str">
        <f t="shared" si="83"/>
        <v>Medium</v>
      </c>
      <c r="V1310">
        <v>2</v>
      </c>
      <c r="W1310" t="s">
        <v>31</v>
      </c>
      <c r="X1310" s="2">
        <v>20</v>
      </c>
      <c r="Y1310" t="s">
        <v>62</v>
      </c>
      <c r="Z1310" t="s">
        <v>59</v>
      </c>
      <c r="AA1310">
        <v>2</v>
      </c>
      <c r="AB1310">
        <v>20</v>
      </c>
      <c r="AC1310">
        <v>4</v>
      </c>
      <c r="AD1310">
        <v>2</v>
      </c>
      <c r="AE1310">
        <v>4</v>
      </c>
      <c r="AF1310">
        <v>2</v>
      </c>
      <c r="AG1310">
        <v>0</v>
      </c>
      <c r="AH1310">
        <v>3</v>
      </c>
      <c r="AI1310" t="str">
        <f t="shared" si="80"/>
        <v>3-5 Years</v>
      </c>
      <c r="AJ1310" t="str">
        <f t="shared" si="81"/>
        <v>0-2</v>
      </c>
    </row>
    <row r="1311" spans="1:36" x14ac:dyDescent="0.35">
      <c r="A1311">
        <v>1310</v>
      </c>
      <c r="B1311">
        <v>26</v>
      </c>
      <c r="C1311" t="str">
        <f t="shared" si="82"/>
        <v>26-35</v>
      </c>
      <c r="D1311" t="s">
        <v>38</v>
      </c>
      <c r="E1311" t="s">
        <v>32</v>
      </c>
      <c r="F1311" s="3">
        <v>1389</v>
      </c>
      <c r="G1311" t="s">
        <v>33</v>
      </c>
      <c r="H1311" s="1">
        <v>10</v>
      </c>
      <c r="I1311" t="s">
        <v>61</v>
      </c>
      <c r="J1311" t="s">
        <v>46</v>
      </c>
      <c r="K1311" t="s">
        <v>60</v>
      </c>
      <c r="L1311" t="s">
        <v>41</v>
      </c>
      <c r="M1311" s="3">
        <v>46</v>
      </c>
      <c r="N1311" t="s">
        <v>60</v>
      </c>
      <c r="O1311" t="s">
        <v>61</v>
      </c>
      <c r="P1311" t="s">
        <v>36</v>
      </c>
      <c r="Q1311" t="s">
        <v>62</v>
      </c>
      <c r="R1311" t="s">
        <v>37</v>
      </c>
      <c r="S1311" s="3">
        <v>4684</v>
      </c>
      <c r="T1311" s="3">
        <v>9125</v>
      </c>
      <c r="U1311" s="3" t="str">
        <f t="shared" si="83"/>
        <v>Low</v>
      </c>
      <c r="V1311">
        <v>1</v>
      </c>
      <c r="W1311" t="s">
        <v>38</v>
      </c>
      <c r="X1311" s="2">
        <v>13</v>
      </c>
      <c r="Y1311" t="s">
        <v>60</v>
      </c>
      <c r="Z1311" t="s">
        <v>59</v>
      </c>
      <c r="AA1311">
        <v>0</v>
      </c>
      <c r="AB1311">
        <v>5</v>
      </c>
      <c r="AC1311">
        <v>4</v>
      </c>
      <c r="AD1311">
        <v>3</v>
      </c>
      <c r="AE1311">
        <v>5</v>
      </c>
      <c r="AF1311">
        <v>3</v>
      </c>
      <c r="AG1311">
        <v>1</v>
      </c>
      <c r="AH1311">
        <v>2</v>
      </c>
      <c r="AI1311" t="str">
        <f t="shared" si="80"/>
        <v>3-5 Years</v>
      </c>
      <c r="AJ1311" t="str">
        <f t="shared" si="81"/>
        <v>0-2</v>
      </c>
    </row>
    <row r="1312" spans="1:36" x14ac:dyDescent="0.35">
      <c r="A1312">
        <v>1311</v>
      </c>
      <c r="B1312">
        <v>58</v>
      </c>
      <c r="C1312" t="str">
        <f t="shared" si="82"/>
        <v>55+</v>
      </c>
      <c r="D1312" t="s">
        <v>38</v>
      </c>
      <c r="E1312" t="s">
        <v>39</v>
      </c>
      <c r="F1312" s="3">
        <v>1389</v>
      </c>
      <c r="G1312" t="s">
        <v>40</v>
      </c>
      <c r="H1312" s="1">
        <v>15</v>
      </c>
      <c r="I1312" t="s">
        <v>60</v>
      </c>
      <c r="J1312" t="s">
        <v>34</v>
      </c>
      <c r="K1312" t="s">
        <v>59</v>
      </c>
      <c r="L1312" t="s">
        <v>41</v>
      </c>
      <c r="M1312" s="3">
        <v>87</v>
      </c>
      <c r="N1312" t="s">
        <v>60</v>
      </c>
      <c r="O1312" t="s">
        <v>62</v>
      </c>
      <c r="P1312" t="s">
        <v>53</v>
      </c>
      <c r="Q1312" t="s">
        <v>60</v>
      </c>
      <c r="R1312" t="s">
        <v>43</v>
      </c>
      <c r="S1312" s="3">
        <v>15787</v>
      </c>
      <c r="T1312" s="3">
        <v>21624</v>
      </c>
      <c r="U1312" s="3" t="str">
        <f t="shared" si="83"/>
        <v>High</v>
      </c>
      <c r="V1312">
        <v>2</v>
      </c>
      <c r="W1312" t="s">
        <v>31</v>
      </c>
      <c r="X1312" s="2">
        <v>14</v>
      </c>
      <c r="Y1312" t="s">
        <v>60</v>
      </c>
      <c r="Z1312" t="s">
        <v>61</v>
      </c>
      <c r="AA1312">
        <v>0</v>
      </c>
      <c r="AB1312">
        <v>23</v>
      </c>
      <c r="AC1312">
        <v>3</v>
      </c>
      <c r="AD1312">
        <v>3</v>
      </c>
      <c r="AE1312">
        <v>2</v>
      </c>
      <c r="AF1312">
        <v>2</v>
      </c>
      <c r="AG1312">
        <v>2</v>
      </c>
      <c r="AH1312">
        <v>2</v>
      </c>
      <c r="AI1312" t="str">
        <f t="shared" si="80"/>
        <v>0-2 Years</v>
      </c>
      <c r="AJ1312" t="str">
        <f t="shared" si="81"/>
        <v>0-2</v>
      </c>
    </row>
    <row r="1313" spans="1:36" x14ac:dyDescent="0.35">
      <c r="A1313">
        <v>1312</v>
      </c>
      <c r="B1313">
        <v>18</v>
      </c>
      <c r="C1313" t="str">
        <f t="shared" si="82"/>
        <v>18-25</v>
      </c>
      <c r="D1313" t="s">
        <v>38</v>
      </c>
      <c r="E1313" t="s">
        <v>50</v>
      </c>
      <c r="F1313" s="3">
        <v>1389</v>
      </c>
      <c r="G1313" t="s">
        <v>40</v>
      </c>
      <c r="H1313" s="1">
        <v>14</v>
      </c>
      <c r="I1313" t="s">
        <v>61</v>
      </c>
      <c r="J1313" t="s">
        <v>46</v>
      </c>
      <c r="K1313" t="s">
        <v>61</v>
      </c>
      <c r="L1313" t="s">
        <v>35</v>
      </c>
      <c r="M1313" s="3">
        <v>33</v>
      </c>
      <c r="N1313" t="s">
        <v>60</v>
      </c>
      <c r="O1313" t="s">
        <v>59</v>
      </c>
      <c r="P1313" t="s">
        <v>42</v>
      </c>
      <c r="Q1313" t="s">
        <v>60</v>
      </c>
      <c r="R1313" t="s">
        <v>37</v>
      </c>
      <c r="S1313" s="3">
        <v>1514</v>
      </c>
      <c r="T1313" s="3">
        <v>8018</v>
      </c>
      <c r="U1313" s="3" t="str">
        <f t="shared" si="83"/>
        <v>Low</v>
      </c>
      <c r="V1313">
        <v>1</v>
      </c>
      <c r="W1313" t="s">
        <v>38</v>
      </c>
      <c r="X1313" s="2">
        <v>16</v>
      </c>
      <c r="Y1313" t="s">
        <v>60</v>
      </c>
      <c r="Z1313" t="s">
        <v>60</v>
      </c>
      <c r="AA1313">
        <v>0</v>
      </c>
      <c r="AB1313">
        <v>0</v>
      </c>
      <c r="AC1313">
        <v>4</v>
      </c>
      <c r="AD1313">
        <v>1</v>
      </c>
      <c r="AE1313">
        <v>0</v>
      </c>
      <c r="AF1313">
        <v>0</v>
      </c>
      <c r="AG1313">
        <v>0</v>
      </c>
      <c r="AH1313">
        <v>0</v>
      </c>
      <c r="AI1313" t="str">
        <f t="shared" si="80"/>
        <v>0-2 Years</v>
      </c>
      <c r="AJ1313" t="str">
        <f t="shared" si="81"/>
        <v>0-2</v>
      </c>
    </row>
    <row r="1314" spans="1:36" x14ac:dyDescent="0.35">
      <c r="A1314">
        <v>1313</v>
      </c>
      <c r="B1314">
        <v>31</v>
      </c>
      <c r="C1314" t="str">
        <f t="shared" si="82"/>
        <v>26-35</v>
      </c>
      <c r="D1314" t="s">
        <v>31</v>
      </c>
      <c r="E1314" t="s">
        <v>32</v>
      </c>
      <c r="F1314" s="3">
        <v>1389</v>
      </c>
      <c r="G1314" t="s">
        <v>56</v>
      </c>
      <c r="H1314" s="1">
        <v>18</v>
      </c>
      <c r="I1314" t="s">
        <v>62</v>
      </c>
      <c r="J1314" t="s">
        <v>56</v>
      </c>
      <c r="K1314" t="s">
        <v>62</v>
      </c>
      <c r="L1314" t="s">
        <v>41</v>
      </c>
      <c r="M1314" s="3">
        <v>89</v>
      </c>
      <c r="N1314" t="s">
        <v>62</v>
      </c>
      <c r="O1314" t="s">
        <v>59</v>
      </c>
      <c r="P1314" t="s">
        <v>56</v>
      </c>
      <c r="Q1314" t="s">
        <v>59</v>
      </c>
      <c r="R1314" t="s">
        <v>43</v>
      </c>
      <c r="S1314" s="3">
        <v>2956</v>
      </c>
      <c r="T1314" s="3">
        <v>21495</v>
      </c>
      <c r="U1314" s="3" t="str">
        <f t="shared" si="83"/>
        <v>Low</v>
      </c>
      <c r="V1314">
        <v>0</v>
      </c>
      <c r="W1314" t="s">
        <v>38</v>
      </c>
      <c r="X1314" s="2">
        <v>17</v>
      </c>
      <c r="Y1314" t="s">
        <v>60</v>
      </c>
      <c r="Z1314" t="s">
        <v>60</v>
      </c>
      <c r="AA1314">
        <v>0</v>
      </c>
      <c r="AB1314">
        <v>2</v>
      </c>
      <c r="AC1314">
        <v>4</v>
      </c>
      <c r="AD1314">
        <v>3</v>
      </c>
      <c r="AE1314">
        <v>1</v>
      </c>
      <c r="AF1314">
        <v>0</v>
      </c>
      <c r="AG1314">
        <v>0</v>
      </c>
      <c r="AH1314">
        <v>0</v>
      </c>
      <c r="AI1314" t="str">
        <f t="shared" si="80"/>
        <v>0-2 Years</v>
      </c>
      <c r="AJ1314" t="str">
        <f t="shared" si="81"/>
        <v>0-2</v>
      </c>
    </row>
    <row r="1315" spans="1:36" x14ac:dyDescent="0.35">
      <c r="A1315">
        <v>1314</v>
      </c>
      <c r="B1315">
        <v>29</v>
      </c>
      <c r="C1315" t="str">
        <f t="shared" si="82"/>
        <v>26-35</v>
      </c>
      <c r="D1315" t="s">
        <v>31</v>
      </c>
      <c r="E1315" t="s">
        <v>32</v>
      </c>
      <c r="F1315" s="3">
        <v>1389</v>
      </c>
      <c r="G1315" t="s">
        <v>56</v>
      </c>
      <c r="H1315" s="1">
        <v>13</v>
      </c>
      <c r="I1315" t="s">
        <v>61</v>
      </c>
      <c r="J1315" t="s">
        <v>56</v>
      </c>
      <c r="K1315" t="s">
        <v>59</v>
      </c>
      <c r="L1315" t="s">
        <v>41</v>
      </c>
      <c r="M1315" s="3">
        <v>56</v>
      </c>
      <c r="N1315" t="s">
        <v>61</v>
      </c>
      <c r="O1315" t="s">
        <v>59</v>
      </c>
      <c r="P1315" t="s">
        <v>56</v>
      </c>
      <c r="Q1315" t="s">
        <v>59</v>
      </c>
      <c r="R1315" t="s">
        <v>47</v>
      </c>
      <c r="S1315" s="3">
        <v>2335</v>
      </c>
      <c r="T1315" s="3">
        <v>3157</v>
      </c>
      <c r="U1315" s="3" t="str">
        <f t="shared" si="83"/>
        <v>Low</v>
      </c>
      <c r="V1315">
        <v>4</v>
      </c>
      <c r="W1315" t="s">
        <v>31</v>
      </c>
      <c r="X1315" s="2">
        <v>15</v>
      </c>
      <c r="Y1315" t="s">
        <v>60</v>
      </c>
      <c r="Z1315" t="s">
        <v>62</v>
      </c>
      <c r="AA1315">
        <v>3</v>
      </c>
      <c r="AB1315">
        <v>4</v>
      </c>
      <c r="AC1315">
        <v>3</v>
      </c>
      <c r="AD1315">
        <v>3</v>
      </c>
      <c r="AE1315">
        <v>2</v>
      </c>
      <c r="AF1315">
        <v>2</v>
      </c>
      <c r="AG1315">
        <v>2</v>
      </c>
      <c r="AH1315">
        <v>0</v>
      </c>
      <c r="AI1315" t="str">
        <f t="shared" si="80"/>
        <v>0-2 Years</v>
      </c>
      <c r="AJ1315" t="str">
        <f t="shared" si="81"/>
        <v>0-2</v>
      </c>
    </row>
    <row r="1316" spans="1:36" x14ac:dyDescent="0.35">
      <c r="A1316">
        <v>1315</v>
      </c>
      <c r="B1316">
        <v>45</v>
      </c>
      <c r="C1316" t="str">
        <f t="shared" si="82"/>
        <v>36-45</v>
      </c>
      <c r="D1316" t="s">
        <v>38</v>
      </c>
      <c r="E1316" t="s">
        <v>50</v>
      </c>
      <c r="F1316" s="3">
        <v>1389</v>
      </c>
      <c r="G1316" t="s">
        <v>33</v>
      </c>
      <c r="H1316" s="1">
        <v>2</v>
      </c>
      <c r="I1316" t="s">
        <v>60</v>
      </c>
      <c r="J1316" t="s">
        <v>34</v>
      </c>
      <c r="K1316" t="s">
        <v>60</v>
      </c>
      <c r="L1316" t="s">
        <v>35</v>
      </c>
      <c r="M1316" s="3">
        <v>67</v>
      </c>
      <c r="N1316" t="s">
        <v>60</v>
      </c>
      <c r="O1316" t="s">
        <v>61</v>
      </c>
      <c r="P1316" t="s">
        <v>36</v>
      </c>
      <c r="Q1316" t="s">
        <v>60</v>
      </c>
      <c r="R1316" t="s">
        <v>43</v>
      </c>
      <c r="S1316" s="3">
        <v>5154</v>
      </c>
      <c r="T1316" s="3">
        <v>19665</v>
      </c>
      <c r="U1316" s="3" t="str">
        <f t="shared" si="83"/>
        <v>Medium</v>
      </c>
      <c r="V1316">
        <v>4</v>
      </c>
      <c r="W1316" t="s">
        <v>38</v>
      </c>
      <c r="X1316" s="2">
        <v>22</v>
      </c>
      <c r="Y1316" t="s">
        <v>62</v>
      </c>
      <c r="Z1316" t="s">
        <v>61</v>
      </c>
      <c r="AA1316">
        <v>2</v>
      </c>
      <c r="AB1316">
        <v>10</v>
      </c>
      <c r="AC1316">
        <v>3</v>
      </c>
      <c r="AD1316">
        <v>4</v>
      </c>
      <c r="AE1316">
        <v>8</v>
      </c>
      <c r="AF1316">
        <v>7</v>
      </c>
      <c r="AG1316">
        <v>5</v>
      </c>
      <c r="AH1316">
        <v>7</v>
      </c>
      <c r="AI1316" t="str">
        <f t="shared" si="80"/>
        <v>6-10 Years</v>
      </c>
      <c r="AJ1316" t="str">
        <f t="shared" si="81"/>
        <v>3-5</v>
      </c>
    </row>
    <row r="1317" spans="1:36" x14ac:dyDescent="0.35">
      <c r="A1317">
        <v>1316</v>
      </c>
      <c r="B1317">
        <v>36</v>
      </c>
      <c r="C1317" t="str">
        <f t="shared" si="82"/>
        <v>36-45</v>
      </c>
      <c r="D1317" t="s">
        <v>38</v>
      </c>
      <c r="E1317" t="s">
        <v>32</v>
      </c>
      <c r="F1317" s="3">
        <v>1389</v>
      </c>
      <c r="G1317" t="s">
        <v>40</v>
      </c>
      <c r="H1317" s="1">
        <v>2</v>
      </c>
      <c r="I1317" t="s">
        <v>60</v>
      </c>
      <c r="J1317" t="s">
        <v>44</v>
      </c>
      <c r="K1317" t="s">
        <v>62</v>
      </c>
      <c r="L1317" t="s">
        <v>35</v>
      </c>
      <c r="M1317" s="3">
        <v>73</v>
      </c>
      <c r="N1317" t="s">
        <v>60</v>
      </c>
      <c r="O1317" t="s">
        <v>61</v>
      </c>
      <c r="P1317" t="s">
        <v>42</v>
      </c>
      <c r="Q1317" t="s">
        <v>61</v>
      </c>
      <c r="R1317" t="s">
        <v>43</v>
      </c>
      <c r="S1317" s="3">
        <v>6962</v>
      </c>
      <c r="T1317" s="3">
        <v>19573</v>
      </c>
      <c r="U1317" s="3" t="str">
        <f t="shared" si="83"/>
        <v>Medium</v>
      </c>
      <c r="V1317">
        <v>4</v>
      </c>
      <c r="W1317" t="s">
        <v>31</v>
      </c>
      <c r="X1317" s="2">
        <v>22</v>
      </c>
      <c r="Y1317" t="s">
        <v>62</v>
      </c>
      <c r="Z1317" t="s">
        <v>62</v>
      </c>
      <c r="AA1317">
        <v>1</v>
      </c>
      <c r="AB1317">
        <v>15</v>
      </c>
      <c r="AC1317">
        <v>2</v>
      </c>
      <c r="AD1317">
        <v>3</v>
      </c>
      <c r="AE1317">
        <v>1</v>
      </c>
      <c r="AF1317">
        <v>0</v>
      </c>
      <c r="AG1317">
        <v>0</v>
      </c>
      <c r="AH1317">
        <v>0</v>
      </c>
      <c r="AI1317" t="str">
        <f t="shared" si="80"/>
        <v>0-2 Years</v>
      </c>
      <c r="AJ1317" t="str">
        <f t="shared" si="81"/>
        <v>0-2</v>
      </c>
    </row>
    <row r="1318" spans="1:36" x14ac:dyDescent="0.35">
      <c r="A1318">
        <v>1317</v>
      </c>
      <c r="B1318">
        <v>43</v>
      </c>
      <c r="C1318" t="str">
        <f t="shared" si="82"/>
        <v>36-45</v>
      </c>
      <c r="D1318" t="s">
        <v>38</v>
      </c>
      <c r="E1318" t="s">
        <v>39</v>
      </c>
      <c r="F1318" s="3">
        <v>1389</v>
      </c>
      <c r="G1318" t="s">
        <v>33</v>
      </c>
      <c r="H1318" s="1">
        <v>2</v>
      </c>
      <c r="I1318" t="s">
        <v>60</v>
      </c>
      <c r="J1318" t="s">
        <v>34</v>
      </c>
      <c r="K1318" t="s">
        <v>59</v>
      </c>
      <c r="L1318" t="s">
        <v>41</v>
      </c>
      <c r="M1318" s="3">
        <v>92</v>
      </c>
      <c r="N1318" t="s">
        <v>60</v>
      </c>
      <c r="O1318" t="s">
        <v>61</v>
      </c>
      <c r="P1318" t="s">
        <v>36</v>
      </c>
      <c r="Q1318" t="s">
        <v>62</v>
      </c>
      <c r="R1318" t="s">
        <v>43</v>
      </c>
      <c r="S1318" s="3">
        <v>5675</v>
      </c>
      <c r="T1318" s="3">
        <v>19246</v>
      </c>
      <c r="U1318" s="3" t="str">
        <f t="shared" si="83"/>
        <v>Medium</v>
      </c>
      <c r="V1318">
        <v>1</v>
      </c>
      <c r="W1318" t="s">
        <v>38</v>
      </c>
      <c r="X1318" s="2">
        <v>20</v>
      </c>
      <c r="Y1318" t="s">
        <v>62</v>
      </c>
      <c r="Z1318" t="s">
        <v>60</v>
      </c>
      <c r="AA1318">
        <v>1</v>
      </c>
      <c r="AB1318">
        <v>7</v>
      </c>
      <c r="AC1318">
        <v>5</v>
      </c>
      <c r="AD1318">
        <v>3</v>
      </c>
      <c r="AE1318">
        <v>7</v>
      </c>
      <c r="AF1318">
        <v>7</v>
      </c>
      <c r="AG1318">
        <v>7</v>
      </c>
      <c r="AH1318">
        <v>7</v>
      </c>
      <c r="AI1318" t="str">
        <f t="shared" si="80"/>
        <v>6-10 Years</v>
      </c>
      <c r="AJ1318" t="str">
        <f t="shared" si="81"/>
        <v>6+</v>
      </c>
    </row>
    <row r="1319" spans="1:36" x14ac:dyDescent="0.35">
      <c r="A1319">
        <v>1318</v>
      </c>
      <c r="B1319">
        <v>27</v>
      </c>
      <c r="C1319" t="str">
        <f t="shared" si="82"/>
        <v>26-35</v>
      </c>
      <c r="D1319" t="s">
        <v>38</v>
      </c>
      <c r="E1319" t="s">
        <v>39</v>
      </c>
      <c r="F1319" s="3">
        <v>1389</v>
      </c>
      <c r="G1319" t="s">
        <v>40</v>
      </c>
      <c r="H1319" s="1">
        <v>5</v>
      </c>
      <c r="I1319" t="s">
        <v>58</v>
      </c>
      <c r="J1319" t="s">
        <v>34</v>
      </c>
      <c r="K1319" t="s">
        <v>62</v>
      </c>
      <c r="L1319" t="s">
        <v>35</v>
      </c>
      <c r="M1319" s="3">
        <v>53</v>
      </c>
      <c r="N1319" t="s">
        <v>60</v>
      </c>
      <c r="O1319" t="s">
        <v>59</v>
      </c>
      <c r="P1319" t="s">
        <v>45</v>
      </c>
      <c r="Q1319" t="s">
        <v>62</v>
      </c>
      <c r="R1319" t="s">
        <v>37</v>
      </c>
      <c r="S1319" s="3">
        <v>2379</v>
      </c>
      <c r="T1319" s="3">
        <v>19826</v>
      </c>
      <c r="U1319" s="3" t="str">
        <f t="shared" si="83"/>
        <v>Low</v>
      </c>
      <c r="V1319">
        <v>0</v>
      </c>
      <c r="W1319" t="s">
        <v>31</v>
      </c>
      <c r="X1319" s="2">
        <v>14</v>
      </c>
      <c r="Y1319" t="s">
        <v>60</v>
      </c>
      <c r="Z1319" t="s">
        <v>60</v>
      </c>
      <c r="AA1319">
        <v>0</v>
      </c>
      <c r="AB1319">
        <v>6</v>
      </c>
      <c r="AC1319">
        <v>3</v>
      </c>
      <c r="AD1319">
        <v>2</v>
      </c>
      <c r="AE1319">
        <v>5</v>
      </c>
      <c r="AF1319">
        <v>4</v>
      </c>
      <c r="AG1319">
        <v>0</v>
      </c>
      <c r="AH1319">
        <v>2</v>
      </c>
      <c r="AI1319" t="str">
        <f t="shared" si="80"/>
        <v>3-5 Years</v>
      </c>
      <c r="AJ1319" t="str">
        <f t="shared" si="81"/>
        <v>0-2</v>
      </c>
    </row>
    <row r="1320" spans="1:36" x14ac:dyDescent="0.35">
      <c r="A1320">
        <v>1319</v>
      </c>
      <c r="B1320">
        <v>29</v>
      </c>
      <c r="C1320" t="str">
        <f t="shared" si="82"/>
        <v>26-35</v>
      </c>
      <c r="D1320" t="s">
        <v>38</v>
      </c>
      <c r="E1320" t="s">
        <v>39</v>
      </c>
      <c r="F1320" s="3">
        <v>1389</v>
      </c>
      <c r="G1320" t="s">
        <v>40</v>
      </c>
      <c r="H1320" s="1">
        <v>20</v>
      </c>
      <c r="I1320" t="s">
        <v>59</v>
      </c>
      <c r="J1320" t="s">
        <v>46</v>
      </c>
      <c r="K1320" t="s">
        <v>62</v>
      </c>
      <c r="L1320" t="s">
        <v>41</v>
      </c>
      <c r="M1320" s="3">
        <v>40</v>
      </c>
      <c r="N1320" t="s">
        <v>60</v>
      </c>
      <c r="O1320" t="s">
        <v>59</v>
      </c>
      <c r="P1320" t="s">
        <v>45</v>
      </c>
      <c r="Q1320" t="s">
        <v>62</v>
      </c>
      <c r="R1320" t="s">
        <v>43</v>
      </c>
      <c r="S1320" s="3">
        <v>3812</v>
      </c>
      <c r="T1320" s="3">
        <v>7003</v>
      </c>
      <c r="U1320" s="3" t="str">
        <f t="shared" si="83"/>
        <v>Low</v>
      </c>
      <c r="V1320">
        <v>1</v>
      </c>
      <c r="W1320" t="s">
        <v>38</v>
      </c>
      <c r="X1320" s="2">
        <v>13</v>
      </c>
      <c r="Y1320" t="s">
        <v>60</v>
      </c>
      <c r="Z1320" t="s">
        <v>61</v>
      </c>
      <c r="AA1320">
        <v>0</v>
      </c>
      <c r="AB1320">
        <v>11</v>
      </c>
      <c r="AC1320">
        <v>3</v>
      </c>
      <c r="AD1320">
        <v>4</v>
      </c>
      <c r="AE1320">
        <v>11</v>
      </c>
      <c r="AF1320">
        <v>8</v>
      </c>
      <c r="AG1320">
        <v>3</v>
      </c>
      <c r="AH1320">
        <v>10</v>
      </c>
      <c r="AI1320" t="str">
        <f t="shared" si="80"/>
        <v>10+ Years</v>
      </c>
      <c r="AJ1320" t="str">
        <f t="shared" si="81"/>
        <v>3-5</v>
      </c>
    </row>
    <row r="1321" spans="1:36" x14ac:dyDescent="0.35">
      <c r="A1321">
        <v>1320</v>
      </c>
      <c r="B1321">
        <v>32</v>
      </c>
      <c r="C1321" t="str">
        <f t="shared" si="82"/>
        <v>26-35</v>
      </c>
      <c r="D1321" t="s">
        <v>38</v>
      </c>
      <c r="E1321" t="s">
        <v>39</v>
      </c>
      <c r="F1321" s="3">
        <v>1389</v>
      </c>
      <c r="G1321" t="s">
        <v>33</v>
      </c>
      <c r="H1321" s="1">
        <v>10</v>
      </c>
      <c r="I1321" t="s">
        <v>60</v>
      </c>
      <c r="J1321" t="s">
        <v>54</v>
      </c>
      <c r="K1321" t="s">
        <v>62</v>
      </c>
      <c r="L1321" t="s">
        <v>41</v>
      </c>
      <c r="M1321" s="3">
        <v>79</v>
      </c>
      <c r="N1321" t="s">
        <v>60</v>
      </c>
      <c r="O1321" t="s">
        <v>61</v>
      </c>
      <c r="P1321" t="s">
        <v>36</v>
      </c>
      <c r="Q1321" t="s">
        <v>62</v>
      </c>
      <c r="R1321" t="s">
        <v>37</v>
      </c>
      <c r="S1321" s="3">
        <v>4648</v>
      </c>
      <c r="T1321" s="3">
        <v>26075</v>
      </c>
      <c r="U1321" s="3" t="str">
        <f t="shared" si="83"/>
        <v>Low</v>
      </c>
      <c r="V1321">
        <v>8</v>
      </c>
      <c r="W1321" t="s">
        <v>38</v>
      </c>
      <c r="X1321" s="2">
        <v>13</v>
      </c>
      <c r="Y1321" t="s">
        <v>60</v>
      </c>
      <c r="Z1321" t="s">
        <v>60</v>
      </c>
      <c r="AA1321">
        <v>0</v>
      </c>
      <c r="AB1321">
        <v>4</v>
      </c>
      <c r="AC1321">
        <v>2</v>
      </c>
      <c r="AD1321">
        <v>4</v>
      </c>
      <c r="AE1321">
        <v>0</v>
      </c>
      <c r="AF1321">
        <v>0</v>
      </c>
      <c r="AG1321">
        <v>0</v>
      </c>
      <c r="AH1321">
        <v>0</v>
      </c>
      <c r="AI1321" t="str">
        <f t="shared" si="80"/>
        <v>0-2 Years</v>
      </c>
      <c r="AJ1321" t="str">
        <f t="shared" si="81"/>
        <v>0-2</v>
      </c>
    </row>
    <row r="1322" spans="1:36" x14ac:dyDescent="0.35">
      <c r="A1322">
        <v>1321</v>
      </c>
      <c r="B1322">
        <v>42</v>
      </c>
      <c r="C1322" t="str">
        <f t="shared" si="82"/>
        <v>36-45</v>
      </c>
      <c r="D1322" t="s">
        <v>38</v>
      </c>
      <c r="E1322" t="s">
        <v>50</v>
      </c>
      <c r="F1322" s="3">
        <v>1389</v>
      </c>
      <c r="G1322" t="s">
        <v>40</v>
      </c>
      <c r="H1322" s="1">
        <v>10</v>
      </c>
      <c r="I1322" t="s">
        <v>60</v>
      </c>
      <c r="J1322" t="s">
        <v>55</v>
      </c>
      <c r="K1322" t="s">
        <v>60</v>
      </c>
      <c r="L1322" t="s">
        <v>41</v>
      </c>
      <c r="M1322" s="3">
        <v>38</v>
      </c>
      <c r="N1322" t="s">
        <v>60</v>
      </c>
      <c r="O1322" t="s">
        <v>59</v>
      </c>
      <c r="P1322" t="s">
        <v>42</v>
      </c>
      <c r="Q1322" t="s">
        <v>60</v>
      </c>
      <c r="R1322" t="s">
        <v>43</v>
      </c>
      <c r="S1322" s="3">
        <v>2936</v>
      </c>
      <c r="T1322" s="3">
        <v>6161</v>
      </c>
      <c r="U1322" s="3" t="str">
        <f t="shared" si="83"/>
        <v>Low</v>
      </c>
      <c r="V1322">
        <v>3</v>
      </c>
      <c r="W1322" t="s">
        <v>38</v>
      </c>
      <c r="X1322" s="2">
        <v>22</v>
      </c>
      <c r="Y1322" t="s">
        <v>62</v>
      </c>
      <c r="Z1322" t="s">
        <v>61</v>
      </c>
      <c r="AA1322">
        <v>2</v>
      </c>
      <c r="AB1322">
        <v>10</v>
      </c>
      <c r="AC1322">
        <v>1</v>
      </c>
      <c r="AD1322">
        <v>2</v>
      </c>
      <c r="AE1322">
        <v>6</v>
      </c>
      <c r="AF1322">
        <v>3</v>
      </c>
      <c r="AG1322">
        <v>3</v>
      </c>
      <c r="AH1322">
        <v>3</v>
      </c>
      <c r="AI1322" t="str">
        <f t="shared" si="80"/>
        <v>6-10 Years</v>
      </c>
      <c r="AJ1322" t="str">
        <f t="shared" si="81"/>
        <v>3-5</v>
      </c>
    </row>
    <row r="1323" spans="1:36" x14ac:dyDescent="0.35">
      <c r="A1323">
        <v>1322</v>
      </c>
      <c r="B1323">
        <v>47</v>
      </c>
      <c r="C1323" t="str">
        <f t="shared" si="82"/>
        <v>46-55</v>
      </c>
      <c r="D1323" t="s">
        <v>38</v>
      </c>
      <c r="E1323" t="s">
        <v>32</v>
      </c>
      <c r="F1323" s="3">
        <v>1389</v>
      </c>
      <c r="G1323" t="s">
        <v>40</v>
      </c>
      <c r="H1323" s="1">
        <v>9</v>
      </c>
      <c r="I1323" t="s">
        <v>60</v>
      </c>
      <c r="J1323" t="s">
        <v>34</v>
      </c>
      <c r="K1323" t="s">
        <v>61</v>
      </c>
      <c r="L1323" t="s">
        <v>35</v>
      </c>
      <c r="M1323" s="3">
        <v>64</v>
      </c>
      <c r="N1323" t="s">
        <v>60</v>
      </c>
      <c r="O1323" t="s">
        <v>59</v>
      </c>
      <c r="P1323" t="s">
        <v>45</v>
      </c>
      <c r="Q1323" t="s">
        <v>60</v>
      </c>
      <c r="R1323" t="s">
        <v>37</v>
      </c>
      <c r="S1323" s="3">
        <v>2105</v>
      </c>
      <c r="T1323" s="3">
        <v>5411</v>
      </c>
      <c r="U1323" s="3" t="str">
        <f t="shared" si="83"/>
        <v>Low</v>
      </c>
      <c r="V1323">
        <v>4</v>
      </c>
      <c r="W1323" t="s">
        <v>38</v>
      </c>
      <c r="X1323" s="2">
        <v>12</v>
      </c>
      <c r="Y1323" t="s">
        <v>60</v>
      </c>
      <c r="Z1323" t="s">
        <v>60</v>
      </c>
      <c r="AA1323">
        <v>0</v>
      </c>
      <c r="AB1323">
        <v>7</v>
      </c>
      <c r="AC1323">
        <v>2</v>
      </c>
      <c r="AD1323">
        <v>3</v>
      </c>
      <c r="AE1323">
        <v>2</v>
      </c>
      <c r="AF1323">
        <v>2</v>
      </c>
      <c r="AG1323">
        <v>2</v>
      </c>
      <c r="AH1323">
        <v>0</v>
      </c>
      <c r="AI1323" t="str">
        <f t="shared" si="80"/>
        <v>0-2 Years</v>
      </c>
      <c r="AJ1323" t="str">
        <f t="shared" si="81"/>
        <v>0-2</v>
      </c>
    </row>
    <row r="1324" spans="1:36" x14ac:dyDescent="0.35">
      <c r="A1324">
        <v>1323</v>
      </c>
      <c r="B1324">
        <v>46</v>
      </c>
      <c r="C1324" t="str">
        <f t="shared" si="82"/>
        <v>46-55</v>
      </c>
      <c r="D1324" t="s">
        <v>38</v>
      </c>
      <c r="E1324" t="s">
        <v>32</v>
      </c>
      <c r="F1324" s="3">
        <v>1389</v>
      </c>
      <c r="G1324" t="s">
        <v>40</v>
      </c>
      <c r="H1324" s="1">
        <v>2</v>
      </c>
      <c r="I1324" t="s">
        <v>58</v>
      </c>
      <c r="J1324" t="s">
        <v>34</v>
      </c>
      <c r="K1324" t="s">
        <v>62</v>
      </c>
      <c r="L1324" t="s">
        <v>41</v>
      </c>
      <c r="M1324" s="3">
        <v>82</v>
      </c>
      <c r="N1324" t="s">
        <v>60</v>
      </c>
      <c r="O1324" t="s">
        <v>60</v>
      </c>
      <c r="P1324" t="s">
        <v>48</v>
      </c>
      <c r="Q1324" t="s">
        <v>62</v>
      </c>
      <c r="R1324" t="s">
        <v>47</v>
      </c>
      <c r="S1324" s="3">
        <v>8578</v>
      </c>
      <c r="T1324" s="3">
        <v>19989</v>
      </c>
      <c r="U1324" s="3" t="str">
        <f t="shared" si="83"/>
        <v>Medium</v>
      </c>
      <c r="V1324">
        <v>3</v>
      </c>
      <c r="W1324" t="s">
        <v>38</v>
      </c>
      <c r="X1324" s="2">
        <v>14</v>
      </c>
      <c r="Y1324" t="s">
        <v>60</v>
      </c>
      <c r="Z1324" t="s">
        <v>60</v>
      </c>
      <c r="AA1324">
        <v>1</v>
      </c>
      <c r="AB1324">
        <v>12</v>
      </c>
      <c r="AC1324">
        <v>4</v>
      </c>
      <c r="AD1324">
        <v>2</v>
      </c>
      <c r="AE1324">
        <v>9</v>
      </c>
      <c r="AF1324">
        <v>8</v>
      </c>
      <c r="AG1324">
        <v>4</v>
      </c>
      <c r="AH1324">
        <v>7</v>
      </c>
      <c r="AI1324" t="str">
        <f t="shared" si="80"/>
        <v>6-10 Years</v>
      </c>
      <c r="AJ1324" t="str">
        <f t="shared" si="81"/>
        <v>3-5</v>
      </c>
    </row>
    <row r="1325" spans="1:36" x14ac:dyDescent="0.35">
      <c r="A1325">
        <v>1324</v>
      </c>
      <c r="B1325">
        <v>28</v>
      </c>
      <c r="C1325" t="str">
        <f t="shared" si="82"/>
        <v>26-35</v>
      </c>
      <c r="D1325" t="s">
        <v>38</v>
      </c>
      <c r="E1325" t="s">
        <v>50</v>
      </c>
      <c r="F1325" s="3">
        <v>1389</v>
      </c>
      <c r="G1325" t="s">
        <v>56</v>
      </c>
      <c r="H1325" s="1">
        <v>1</v>
      </c>
      <c r="I1325" t="s">
        <v>58</v>
      </c>
      <c r="J1325" t="s">
        <v>34</v>
      </c>
      <c r="K1325" t="s">
        <v>60</v>
      </c>
      <c r="L1325" t="s">
        <v>41</v>
      </c>
      <c r="M1325" s="3">
        <v>43</v>
      </c>
      <c r="N1325" t="s">
        <v>60</v>
      </c>
      <c r="O1325" t="s">
        <v>59</v>
      </c>
      <c r="P1325" t="s">
        <v>56</v>
      </c>
      <c r="Q1325" t="s">
        <v>62</v>
      </c>
      <c r="R1325" t="s">
        <v>47</v>
      </c>
      <c r="S1325" s="3">
        <v>2706</v>
      </c>
      <c r="T1325" s="3">
        <v>10494</v>
      </c>
      <c r="U1325" s="3" t="str">
        <f t="shared" si="83"/>
        <v>Low</v>
      </c>
      <c r="V1325">
        <v>1</v>
      </c>
      <c r="W1325" t="s">
        <v>38</v>
      </c>
      <c r="X1325" s="2">
        <v>15</v>
      </c>
      <c r="Y1325" t="s">
        <v>60</v>
      </c>
      <c r="Z1325" t="s">
        <v>61</v>
      </c>
      <c r="AA1325">
        <v>1</v>
      </c>
      <c r="AB1325">
        <v>3</v>
      </c>
      <c r="AC1325">
        <v>2</v>
      </c>
      <c r="AD1325">
        <v>3</v>
      </c>
      <c r="AE1325">
        <v>3</v>
      </c>
      <c r="AF1325">
        <v>2</v>
      </c>
      <c r="AG1325">
        <v>2</v>
      </c>
      <c r="AH1325">
        <v>2</v>
      </c>
      <c r="AI1325" t="str">
        <f t="shared" si="80"/>
        <v>3-5 Years</v>
      </c>
      <c r="AJ1325" t="str">
        <f t="shared" si="81"/>
        <v>0-2</v>
      </c>
    </row>
    <row r="1326" spans="1:36" x14ac:dyDescent="0.35">
      <c r="A1326">
        <v>1325</v>
      </c>
      <c r="B1326">
        <v>29</v>
      </c>
      <c r="C1326" t="str">
        <f t="shared" si="82"/>
        <v>26-35</v>
      </c>
      <c r="D1326" t="s">
        <v>38</v>
      </c>
      <c r="E1326" t="s">
        <v>32</v>
      </c>
      <c r="F1326" s="3">
        <v>1389</v>
      </c>
      <c r="G1326" t="s">
        <v>40</v>
      </c>
      <c r="H1326" s="1">
        <v>29</v>
      </c>
      <c r="I1326" t="s">
        <v>59</v>
      </c>
      <c r="J1326" t="s">
        <v>34</v>
      </c>
      <c r="K1326" t="s">
        <v>62</v>
      </c>
      <c r="L1326" t="s">
        <v>41</v>
      </c>
      <c r="M1326" s="3">
        <v>93</v>
      </c>
      <c r="N1326" t="s">
        <v>59</v>
      </c>
      <c r="O1326" t="s">
        <v>61</v>
      </c>
      <c r="P1326" t="s">
        <v>49</v>
      </c>
      <c r="Q1326" t="s">
        <v>60</v>
      </c>
      <c r="R1326" t="s">
        <v>47</v>
      </c>
      <c r="S1326" s="3">
        <v>6384</v>
      </c>
      <c r="T1326" s="3">
        <v>21143</v>
      </c>
      <c r="U1326" s="3" t="str">
        <f t="shared" si="83"/>
        <v>Medium</v>
      </c>
      <c r="V1326">
        <v>8</v>
      </c>
      <c r="W1326" t="s">
        <v>38</v>
      </c>
      <c r="X1326" s="2">
        <v>17</v>
      </c>
      <c r="Y1326" t="s">
        <v>60</v>
      </c>
      <c r="Z1326" t="s">
        <v>62</v>
      </c>
      <c r="AA1326">
        <v>2</v>
      </c>
      <c r="AB1326">
        <v>11</v>
      </c>
      <c r="AC1326">
        <v>3</v>
      </c>
      <c r="AD1326">
        <v>3</v>
      </c>
      <c r="AE1326">
        <v>7</v>
      </c>
      <c r="AF1326">
        <v>0</v>
      </c>
      <c r="AG1326">
        <v>1</v>
      </c>
      <c r="AH1326">
        <v>6</v>
      </c>
      <c r="AI1326" t="str">
        <f t="shared" si="80"/>
        <v>6-10 Years</v>
      </c>
      <c r="AJ1326" t="str">
        <f t="shared" si="81"/>
        <v>0-2</v>
      </c>
    </row>
    <row r="1327" spans="1:36" x14ac:dyDescent="0.35">
      <c r="A1327">
        <v>1326</v>
      </c>
      <c r="B1327">
        <v>42</v>
      </c>
      <c r="C1327" t="str">
        <f t="shared" si="82"/>
        <v>36-45</v>
      </c>
      <c r="D1327" t="s">
        <v>38</v>
      </c>
      <c r="E1327" t="s">
        <v>32</v>
      </c>
      <c r="F1327" s="3">
        <v>1389</v>
      </c>
      <c r="G1327" t="s">
        <v>40</v>
      </c>
      <c r="H1327" s="1">
        <v>8</v>
      </c>
      <c r="I1327" t="s">
        <v>61</v>
      </c>
      <c r="J1327" t="s">
        <v>34</v>
      </c>
      <c r="K1327" t="s">
        <v>62</v>
      </c>
      <c r="L1327" t="s">
        <v>41</v>
      </c>
      <c r="M1327" s="3">
        <v>81</v>
      </c>
      <c r="N1327" t="s">
        <v>60</v>
      </c>
      <c r="O1327" t="s">
        <v>59</v>
      </c>
      <c r="P1327" t="s">
        <v>45</v>
      </c>
      <c r="Q1327" t="s">
        <v>60</v>
      </c>
      <c r="R1327" t="s">
        <v>37</v>
      </c>
      <c r="S1327" s="3">
        <v>3968</v>
      </c>
      <c r="T1327" s="3">
        <v>13624</v>
      </c>
      <c r="U1327" s="3" t="str">
        <f t="shared" si="83"/>
        <v>Low</v>
      </c>
      <c r="V1327">
        <v>4</v>
      </c>
      <c r="W1327" t="s">
        <v>38</v>
      </c>
      <c r="X1327" s="2">
        <v>13</v>
      </c>
      <c r="Y1327" t="s">
        <v>60</v>
      </c>
      <c r="Z1327" t="s">
        <v>62</v>
      </c>
      <c r="AA1327">
        <v>0</v>
      </c>
      <c r="AB1327">
        <v>8</v>
      </c>
      <c r="AC1327">
        <v>3</v>
      </c>
      <c r="AD1327">
        <v>3</v>
      </c>
      <c r="AE1327">
        <v>0</v>
      </c>
      <c r="AF1327">
        <v>0</v>
      </c>
      <c r="AG1327">
        <v>0</v>
      </c>
      <c r="AH1327">
        <v>0</v>
      </c>
      <c r="AI1327" t="str">
        <f t="shared" si="80"/>
        <v>0-2 Years</v>
      </c>
      <c r="AJ1327" t="str">
        <f t="shared" si="81"/>
        <v>0-2</v>
      </c>
    </row>
    <row r="1328" spans="1:36" x14ac:dyDescent="0.35">
      <c r="A1328">
        <v>1327</v>
      </c>
      <c r="B1328">
        <v>32</v>
      </c>
      <c r="C1328" t="str">
        <f t="shared" si="82"/>
        <v>26-35</v>
      </c>
      <c r="D1328" t="s">
        <v>31</v>
      </c>
      <c r="E1328" t="s">
        <v>32</v>
      </c>
      <c r="F1328" s="3">
        <v>1389</v>
      </c>
      <c r="G1328" t="s">
        <v>33</v>
      </c>
      <c r="H1328" s="1">
        <v>2</v>
      </c>
      <c r="I1328" t="s">
        <v>60</v>
      </c>
      <c r="J1328" t="s">
        <v>54</v>
      </c>
      <c r="K1328" t="s">
        <v>60</v>
      </c>
      <c r="L1328" t="s">
        <v>41</v>
      </c>
      <c r="M1328" s="3">
        <v>82</v>
      </c>
      <c r="N1328" t="s">
        <v>61</v>
      </c>
      <c r="O1328" t="s">
        <v>61</v>
      </c>
      <c r="P1328" t="s">
        <v>36</v>
      </c>
      <c r="Q1328" t="s">
        <v>61</v>
      </c>
      <c r="R1328" t="s">
        <v>37</v>
      </c>
      <c r="S1328" s="3">
        <v>9907</v>
      </c>
      <c r="T1328" s="3">
        <v>26186</v>
      </c>
      <c r="U1328" s="3" t="str">
        <f t="shared" si="83"/>
        <v>Medium</v>
      </c>
      <c r="V1328">
        <v>7</v>
      </c>
      <c r="W1328" t="s">
        <v>31</v>
      </c>
      <c r="X1328" s="2">
        <v>12</v>
      </c>
      <c r="Y1328" t="s">
        <v>60</v>
      </c>
      <c r="Z1328" t="s">
        <v>60</v>
      </c>
      <c r="AA1328">
        <v>0</v>
      </c>
      <c r="AB1328">
        <v>7</v>
      </c>
      <c r="AC1328">
        <v>3</v>
      </c>
      <c r="AD1328">
        <v>2</v>
      </c>
      <c r="AE1328">
        <v>2</v>
      </c>
      <c r="AF1328">
        <v>2</v>
      </c>
      <c r="AG1328">
        <v>2</v>
      </c>
      <c r="AH1328">
        <v>2</v>
      </c>
      <c r="AI1328" t="str">
        <f t="shared" si="80"/>
        <v>0-2 Years</v>
      </c>
      <c r="AJ1328" t="str">
        <f t="shared" si="81"/>
        <v>0-2</v>
      </c>
    </row>
    <row r="1329" spans="1:36" x14ac:dyDescent="0.35">
      <c r="A1329">
        <v>1328</v>
      </c>
      <c r="B1329">
        <v>46</v>
      </c>
      <c r="C1329" t="str">
        <f t="shared" si="82"/>
        <v>46-55</v>
      </c>
      <c r="D1329" t="s">
        <v>38</v>
      </c>
      <c r="E1329" t="s">
        <v>32</v>
      </c>
      <c r="F1329" s="3">
        <v>1389</v>
      </c>
      <c r="G1329" t="s">
        <v>33</v>
      </c>
      <c r="H1329" s="1">
        <v>3</v>
      </c>
      <c r="I1329" t="s">
        <v>61</v>
      </c>
      <c r="J1329" t="s">
        <v>55</v>
      </c>
      <c r="K1329" t="s">
        <v>59</v>
      </c>
      <c r="L1329" t="s">
        <v>35</v>
      </c>
      <c r="M1329" s="3">
        <v>45</v>
      </c>
      <c r="N1329" t="s">
        <v>62</v>
      </c>
      <c r="O1329" t="s">
        <v>62</v>
      </c>
      <c r="P1329" t="s">
        <v>36</v>
      </c>
      <c r="Q1329" t="s">
        <v>59</v>
      </c>
      <c r="R1329" t="s">
        <v>47</v>
      </c>
      <c r="S1329" s="3">
        <v>13225</v>
      </c>
      <c r="T1329" s="3">
        <v>7739</v>
      </c>
      <c r="U1329" s="3" t="str">
        <f t="shared" si="83"/>
        <v>High</v>
      </c>
      <c r="V1329">
        <v>2</v>
      </c>
      <c r="W1329" t="s">
        <v>38</v>
      </c>
      <c r="X1329" s="2">
        <v>12</v>
      </c>
      <c r="Y1329" t="s">
        <v>60</v>
      </c>
      <c r="Z1329" t="s">
        <v>62</v>
      </c>
      <c r="AA1329">
        <v>1</v>
      </c>
      <c r="AB1329">
        <v>25</v>
      </c>
      <c r="AC1329">
        <v>5</v>
      </c>
      <c r="AD1329">
        <v>3</v>
      </c>
      <c r="AE1329">
        <v>19</v>
      </c>
      <c r="AF1329">
        <v>17</v>
      </c>
      <c r="AG1329">
        <v>2</v>
      </c>
      <c r="AH1329">
        <v>8</v>
      </c>
      <c r="AI1329" t="str">
        <f t="shared" si="80"/>
        <v>10+ Years</v>
      </c>
      <c r="AJ1329" t="str">
        <f t="shared" si="81"/>
        <v>0-2</v>
      </c>
    </row>
    <row r="1330" spans="1:36" x14ac:dyDescent="0.35">
      <c r="A1330">
        <v>1329</v>
      </c>
      <c r="B1330">
        <v>27</v>
      </c>
      <c r="C1330" t="str">
        <f t="shared" si="82"/>
        <v>26-35</v>
      </c>
      <c r="D1330" t="s">
        <v>38</v>
      </c>
      <c r="E1330" t="s">
        <v>32</v>
      </c>
      <c r="F1330" s="3">
        <v>1389</v>
      </c>
      <c r="G1330" t="s">
        <v>33</v>
      </c>
      <c r="H1330" s="1">
        <v>23</v>
      </c>
      <c r="I1330" t="s">
        <v>59</v>
      </c>
      <c r="J1330" t="s">
        <v>46</v>
      </c>
      <c r="K1330" t="s">
        <v>61</v>
      </c>
      <c r="L1330" t="s">
        <v>35</v>
      </c>
      <c r="M1330" s="3">
        <v>36</v>
      </c>
      <c r="N1330" t="s">
        <v>61</v>
      </c>
      <c r="O1330" t="s">
        <v>61</v>
      </c>
      <c r="P1330" t="s">
        <v>52</v>
      </c>
      <c r="Q1330" t="s">
        <v>60</v>
      </c>
      <c r="R1330" t="s">
        <v>43</v>
      </c>
      <c r="S1330" s="3">
        <v>3540</v>
      </c>
      <c r="T1330" s="3">
        <v>7018</v>
      </c>
      <c r="U1330" s="3" t="str">
        <f t="shared" si="83"/>
        <v>Low</v>
      </c>
      <c r="V1330">
        <v>1</v>
      </c>
      <c r="W1330" t="s">
        <v>38</v>
      </c>
      <c r="X1330" s="2">
        <v>21</v>
      </c>
      <c r="Y1330" t="s">
        <v>62</v>
      </c>
      <c r="Z1330" t="s">
        <v>62</v>
      </c>
      <c r="AA1330">
        <v>1</v>
      </c>
      <c r="AB1330">
        <v>9</v>
      </c>
      <c r="AC1330">
        <v>5</v>
      </c>
      <c r="AD1330">
        <v>3</v>
      </c>
      <c r="AE1330">
        <v>9</v>
      </c>
      <c r="AF1330">
        <v>8</v>
      </c>
      <c r="AG1330">
        <v>5</v>
      </c>
      <c r="AH1330">
        <v>8</v>
      </c>
      <c r="AI1330" t="str">
        <f t="shared" si="80"/>
        <v>6-10 Years</v>
      </c>
      <c r="AJ1330" t="str">
        <f t="shared" si="81"/>
        <v>3-5</v>
      </c>
    </row>
    <row r="1331" spans="1:36" x14ac:dyDescent="0.35">
      <c r="A1331">
        <v>1330</v>
      </c>
      <c r="B1331">
        <v>29</v>
      </c>
      <c r="C1331" t="str">
        <f t="shared" si="82"/>
        <v>26-35</v>
      </c>
      <c r="D1331" t="s">
        <v>38</v>
      </c>
      <c r="E1331" t="s">
        <v>32</v>
      </c>
      <c r="F1331" s="3">
        <v>1389</v>
      </c>
      <c r="G1331" t="s">
        <v>56</v>
      </c>
      <c r="H1331" s="1">
        <v>6</v>
      </c>
      <c r="I1331" t="s">
        <v>59</v>
      </c>
      <c r="J1331" t="s">
        <v>46</v>
      </c>
      <c r="K1331" t="s">
        <v>62</v>
      </c>
      <c r="L1331" t="s">
        <v>41</v>
      </c>
      <c r="M1331" s="3">
        <v>87</v>
      </c>
      <c r="N1331" t="s">
        <v>61</v>
      </c>
      <c r="O1331" t="s">
        <v>59</v>
      </c>
      <c r="P1331" t="s">
        <v>56</v>
      </c>
      <c r="Q1331" t="s">
        <v>61</v>
      </c>
      <c r="R1331" t="s">
        <v>43</v>
      </c>
      <c r="S1331" s="3">
        <v>2804</v>
      </c>
      <c r="T1331" s="3">
        <v>15434</v>
      </c>
      <c r="U1331" s="3" t="str">
        <f t="shared" si="83"/>
        <v>Low</v>
      </c>
      <c r="V1331">
        <v>1</v>
      </c>
      <c r="W1331" t="s">
        <v>38</v>
      </c>
      <c r="X1331" s="2">
        <v>11</v>
      </c>
      <c r="Y1331" t="s">
        <v>60</v>
      </c>
      <c r="Z1331" t="s">
        <v>62</v>
      </c>
      <c r="AA1331">
        <v>0</v>
      </c>
      <c r="AB1331">
        <v>1</v>
      </c>
      <c r="AC1331">
        <v>3</v>
      </c>
      <c r="AD1331">
        <v>3</v>
      </c>
      <c r="AE1331">
        <v>1</v>
      </c>
      <c r="AF1331">
        <v>0</v>
      </c>
      <c r="AG1331">
        <v>0</v>
      </c>
      <c r="AH1331">
        <v>0</v>
      </c>
      <c r="AI1331" t="str">
        <f t="shared" si="80"/>
        <v>0-2 Years</v>
      </c>
      <c r="AJ1331" t="str">
        <f t="shared" si="81"/>
        <v>0-2</v>
      </c>
    </row>
    <row r="1332" spans="1:36" x14ac:dyDescent="0.35">
      <c r="A1332">
        <v>1331</v>
      </c>
      <c r="B1332">
        <v>43</v>
      </c>
      <c r="C1332" t="str">
        <f t="shared" si="82"/>
        <v>36-45</v>
      </c>
      <c r="D1332" t="s">
        <v>38</v>
      </c>
      <c r="E1332" t="s">
        <v>32</v>
      </c>
      <c r="F1332" s="3">
        <v>1389</v>
      </c>
      <c r="G1332" t="s">
        <v>40</v>
      </c>
      <c r="H1332" s="1">
        <v>6</v>
      </c>
      <c r="I1332" t="s">
        <v>61</v>
      </c>
      <c r="J1332" t="s">
        <v>46</v>
      </c>
      <c r="K1332" t="s">
        <v>59</v>
      </c>
      <c r="L1332" t="s">
        <v>35</v>
      </c>
      <c r="M1332" s="3">
        <v>81</v>
      </c>
      <c r="N1332" t="s">
        <v>61</v>
      </c>
      <c r="O1332" t="e">
        <v>#N/A</v>
      </c>
      <c r="P1332" t="s">
        <v>51</v>
      </c>
      <c r="Q1332" t="s">
        <v>60</v>
      </c>
      <c r="R1332" t="s">
        <v>43</v>
      </c>
      <c r="S1332" s="3">
        <v>19392</v>
      </c>
      <c r="T1332" s="3">
        <v>22539</v>
      </c>
      <c r="U1332" s="3" t="str">
        <f t="shared" si="83"/>
        <v>High</v>
      </c>
      <c r="V1332">
        <v>7</v>
      </c>
      <c r="W1332" t="s">
        <v>38</v>
      </c>
      <c r="X1332" s="2">
        <v>13</v>
      </c>
      <c r="Y1332" t="s">
        <v>60</v>
      </c>
      <c r="Z1332" t="s">
        <v>62</v>
      </c>
      <c r="AA1332">
        <v>0</v>
      </c>
      <c r="AB1332">
        <v>21</v>
      </c>
      <c r="AC1332">
        <v>2</v>
      </c>
      <c r="AD1332">
        <v>3</v>
      </c>
      <c r="AE1332">
        <v>16</v>
      </c>
      <c r="AF1332">
        <v>12</v>
      </c>
      <c r="AG1332">
        <v>6</v>
      </c>
      <c r="AH1332">
        <v>14</v>
      </c>
      <c r="AI1332" t="str">
        <f t="shared" si="80"/>
        <v>10+ Years</v>
      </c>
      <c r="AJ1332" t="str">
        <f t="shared" si="81"/>
        <v>6+</v>
      </c>
    </row>
    <row r="1333" spans="1:36" x14ac:dyDescent="0.35">
      <c r="A1333">
        <v>1332</v>
      </c>
      <c r="B1333">
        <v>48</v>
      </c>
      <c r="C1333" t="str">
        <f t="shared" si="82"/>
        <v>46-55</v>
      </c>
      <c r="D1333" t="s">
        <v>38</v>
      </c>
      <c r="E1333" t="s">
        <v>32</v>
      </c>
      <c r="F1333" s="3">
        <v>1389</v>
      </c>
      <c r="G1333" t="s">
        <v>40</v>
      </c>
      <c r="H1333" s="1">
        <v>10</v>
      </c>
      <c r="I1333" t="s">
        <v>61</v>
      </c>
      <c r="J1333" t="s">
        <v>34</v>
      </c>
      <c r="K1333" t="s">
        <v>62</v>
      </c>
      <c r="L1333" t="s">
        <v>41</v>
      </c>
      <c r="M1333" s="3">
        <v>91</v>
      </c>
      <c r="N1333" t="s">
        <v>61</v>
      </c>
      <c r="O1333" t="e">
        <v>#N/A</v>
      </c>
      <c r="P1333" t="s">
        <v>53</v>
      </c>
      <c r="Q1333" t="s">
        <v>61</v>
      </c>
      <c r="R1333" t="s">
        <v>43</v>
      </c>
      <c r="S1333" s="3">
        <v>19665</v>
      </c>
      <c r="T1333" s="3">
        <v>13583</v>
      </c>
      <c r="U1333" s="3" t="str">
        <f t="shared" si="83"/>
        <v>High</v>
      </c>
      <c r="V1333">
        <v>4</v>
      </c>
      <c r="W1333" t="s">
        <v>38</v>
      </c>
      <c r="X1333" s="2">
        <v>12</v>
      </c>
      <c r="Y1333" t="s">
        <v>60</v>
      </c>
      <c r="Z1333" t="s">
        <v>62</v>
      </c>
      <c r="AA1333">
        <v>0</v>
      </c>
      <c r="AB1333">
        <v>29</v>
      </c>
      <c r="AC1333">
        <v>3</v>
      </c>
      <c r="AD1333">
        <v>3</v>
      </c>
      <c r="AE1333">
        <v>22</v>
      </c>
      <c r="AF1333">
        <v>10</v>
      </c>
      <c r="AG1333">
        <v>12</v>
      </c>
      <c r="AH1333">
        <v>9</v>
      </c>
      <c r="AI1333" t="str">
        <f t="shared" si="80"/>
        <v>10+ Years</v>
      </c>
      <c r="AJ1333" t="str">
        <f t="shared" si="81"/>
        <v>6+</v>
      </c>
    </row>
    <row r="1334" spans="1:36" x14ac:dyDescent="0.35">
      <c r="A1334">
        <v>1333</v>
      </c>
      <c r="B1334">
        <v>29</v>
      </c>
      <c r="C1334" t="str">
        <f t="shared" si="82"/>
        <v>26-35</v>
      </c>
      <c r="D1334" t="s">
        <v>31</v>
      </c>
      <c r="E1334" t="s">
        <v>39</v>
      </c>
      <c r="F1334" s="3">
        <v>1389</v>
      </c>
      <c r="G1334" t="s">
        <v>40</v>
      </c>
      <c r="H1334" s="1">
        <v>24</v>
      </c>
      <c r="I1334" t="s">
        <v>58</v>
      </c>
      <c r="J1334" t="s">
        <v>34</v>
      </c>
      <c r="K1334" t="s">
        <v>62</v>
      </c>
      <c r="L1334" t="s">
        <v>41</v>
      </c>
      <c r="M1334" s="3">
        <v>73</v>
      </c>
      <c r="N1334" t="s">
        <v>61</v>
      </c>
      <c r="O1334" t="s">
        <v>59</v>
      </c>
      <c r="P1334" t="s">
        <v>42</v>
      </c>
      <c r="Q1334" t="s">
        <v>62</v>
      </c>
      <c r="R1334" t="s">
        <v>37</v>
      </c>
      <c r="S1334" s="3">
        <v>2439</v>
      </c>
      <c r="T1334" s="3">
        <v>14753</v>
      </c>
      <c r="U1334" s="3" t="str">
        <f t="shared" si="83"/>
        <v>Low</v>
      </c>
      <c r="V1334">
        <v>1</v>
      </c>
      <c r="W1334" t="s">
        <v>31</v>
      </c>
      <c r="X1334" s="2">
        <v>24</v>
      </c>
      <c r="Y1334" t="s">
        <v>62</v>
      </c>
      <c r="Z1334" t="s">
        <v>61</v>
      </c>
      <c r="AA1334">
        <v>0</v>
      </c>
      <c r="AB1334">
        <v>1</v>
      </c>
      <c r="AC1334">
        <v>3</v>
      </c>
      <c r="AD1334">
        <v>2</v>
      </c>
      <c r="AE1334">
        <v>1</v>
      </c>
      <c r="AF1334">
        <v>0</v>
      </c>
      <c r="AG1334">
        <v>1</v>
      </c>
      <c r="AH1334">
        <v>0</v>
      </c>
      <c r="AI1334" t="str">
        <f t="shared" si="80"/>
        <v>0-2 Years</v>
      </c>
      <c r="AJ1334" t="str">
        <f t="shared" si="81"/>
        <v>0-2</v>
      </c>
    </row>
    <row r="1335" spans="1:36" x14ac:dyDescent="0.35">
      <c r="A1335">
        <v>1334</v>
      </c>
      <c r="B1335">
        <v>46</v>
      </c>
      <c r="C1335" t="str">
        <f t="shared" si="82"/>
        <v>46-55</v>
      </c>
      <c r="D1335" t="s">
        <v>31</v>
      </c>
      <c r="E1335" t="s">
        <v>32</v>
      </c>
      <c r="F1335" s="3">
        <v>1389</v>
      </c>
      <c r="G1335" t="s">
        <v>33</v>
      </c>
      <c r="H1335" s="1">
        <v>10</v>
      </c>
      <c r="I1335" t="s">
        <v>61</v>
      </c>
      <c r="J1335" t="s">
        <v>34</v>
      </c>
      <c r="K1335" t="s">
        <v>60</v>
      </c>
      <c r="L1335" t="s">
        <v>35</v>
      </c>
      <c r="M1335" s="3">
        <v>64</v>
      </c>
      <c r="N1335" t="s">
        <v>60</v>
      </c>
      <c r="O1335" t="s">
        <v>60</v>
      </c>
      <c r="P1335" t="s">
        <v>36</v>
      </c>
      <c r="Q1335" t="s">
        <v>61</v>
      </c>
      <c r="R1335" t="s">
        <v>43</v>
      </c>
      <c r="S1335" s="3">
        <v>7314</v>
      </c>
      <c r="T1335" s="3">
        <v>14011</v>
      </c>
      <c r="U1335" s="3" t="str">
        <f t="shared" si="83"/>
        <v>Medium</v>
      </c>
      <c r="V1335">
        <v>5</v>
      </c>
      <c r="W1335" t="s">
        <v>38</v>
      </c>
      <c r="X1335" s="2">
        <v>21</v>
      </c>
      <c r="Y1335" t="s">
        <v>62</v>
      </c>
      <c r="Z1335" t="s">
        <v>60</v>
      </c>
      <c r="AA1335">
        <v>3</v>
      </c>
      <c r="AB1335">
        <v>14</v>
      </c>
      <c r="AC1335">
        <v>2</v>
      </c>
      <c r="AD1335">
        <v>3</v>
      </c>
      <c r="AE1335">
        <v>8</v>
      </c>
      <c r="AF1335">
        <v>7</v>
      </c>
      <c r="AG1335">
        <v>0</v>
      </c>
      <c r="AH1335">
        <v>7</v>
      </c>
      <c r="AI1335" t="str">
        <f t="shared" si="80"/>
        <v>6-10 Years</v>
      </c>
      <c r="AJ1335" t="str">
        <f t="shared" si="81"/>
        <v>0-2</v>
      </c>
    </row>
    <row r="1336" spans="1:36" x14ac:dyDescent="0.35">
      <c r="A1336">
        <v>1335</v>
      </c>
      <c r="B1336">
        <v>27</v>
      </c>
      <c r="C1336" t="str">
        <f t="shared" si="82"/>
        <v>26-35</v>
      </c>
      <c r="D1336" t="s">
        <v>38</v>
      </c>
      <c r="E1336" t="s">
        <v>39</v>
      </c>
      <c r="F1336" s="3">
        <v>1389</v>
      </c>
      <c r="G1336" t="s">
        <v>40</v>
      </c>
      <c r="H1336" s="1">
        <v>15</v>
      </c>
      <c r="I1336" t="s">
        <v>61</v>
      </c>
      <c r="J1336" t="s">
        <v>34</v>
      </c>
      <c r="K1336" t="s">
        <v>62</v>
      </c>
      <c r="L1336" t="s">
        <v>35</v>
      </c>
      <c r="M1336" s="3">
        <v>77</v>
      </c>
      <c r="N1336" t="s">
        <v>61</v>
      </c>
      <c r="O1336" t="s">
        <v>59</v>
      </c>
      <c r="P1336" t="s">
        <v>42</v>
      </c>
      <c r="Q1336" t="s">
        <v>59</v>
      </c>
      <c r="R1336" t="s">
        <v>43</v>
      </c>
      <c r="S1336" s="3">
        <v>4774</v>
      </c>
      <c r="T1336" s="3">
        <v>23844</v>
      </c>
      <c r="U1336" s="3" t="str">
        <f t="shared" si="83"/>
        <v>Low</v>
      </c>
      <c r="V1336">
        <v>0</v>
      </c>
      <c r="W1336" t="s">
        <v>38</v>
      </c>
      <c r="X1336" s="2">
        <v>19</v>
      </c>
      <c r="Y1336" t="s">
        <v>60</v>
      </c>
      <c r="Z1336" t="s">
        <v>62</v>
      </c>
      <c r="AA1336">
        <v>1</v>
      </c>
      <c r="AB1336">
        <v>8</v>
      </c>
      <c r="AC1336">
        <v>2</v>
      </c>
      <c r="AD1336">
        <v>2</v>
      </c>
      <c r="AE1336">
        <v>7</v>
      </c>
      <c r="AF1336">
        <v>6</v>
      </c>
      <c r="AG1336">
        <v>7</v>
      </c>
      <c r="AH1336">
        <v>3</v>
      </c>
      <c r="AI1336" t="str">
        <f t="shared" si="80"/>
        <v>6-10 Years</v>
      </c>
      <c r="AJ1336" t="str">
        <f t="shared" si="81"/>
        <v>6+</v>
      </c>
    </row>
    <row r="1337" spans="1:36" x14ac:dyDescent="0.35">
      <c r="A1337">
        <v>1336</v>
      </c>
      <c r="B1337">
        <v>39</v>
      </c>
      <c r="C1337" t="str">
        <f t="shared" si="82"/>
        <v>36-45</v>
      </c>
      <c r="D1337" t="s">
        <v>38</v>
      </c>
      <c r="E1337" t="s">
        <v>32</v>
      </c>
      <c r="F1337" s="3">
        <v>1389</v>
      </c>
      <c r="G1337" t="s">
        <v>40</v>
      </c>
      <c r="H1337" s="1">
        <v>19</v>
      </c>
      <c r="I1337" t="s">
        <v>60</v>
      </c>
      <c r="J1337" t="s">
        <v>44</v>
      </c>
      <c r="K1337" t="s">
        <v>62</v>
      </c>
      <c r="L1337" t="s">
        <v>41</v>
      </c>
      <c r="M1337" s="3">
        <v>41</v>
      </c>
      <c r="N1337" t="s">
        <v>60</v>
      </c>
      <c r="O1337" t="s">
        <v>61</v>
      </c>
      <c r="P1337" t="s">
        <v>42</v>
      </c>
      <c r="Q1337" t="s">
        <v>62</v>
      </c>
      <c r="R1337" t="s">
        <v>47</v>
      </c>
      <c r="S1337" s="3">
        <v>3902</v>
      </c>
      <c r="T1337" s="3">
        <v>5141</v>
      </c>
      <c r="U1337" s="3" t="str">
        <f t="shared" si="83"/>
        <v>Low</v>
      </c>
      <c r="V1337">
        <v>8</v>
      </c>
      <c r="W1337" t="s">
        <v>38</v>
      </c>
      <c r="X1337" s="2">
        <v>14</v>
      </c>
      <c r="Y1337" t="s">
        <v>60</v>
      </c>
      <c r="Z1337" t="s">
        <v>61</v>
      </c>
      <c r="AA1337">
        <v>3</v>
      </c>
      <c r="AB1337">
        <v>7</v>
      </c>
      <c r="AC1337">
        <v>2</v>
      </c>
      <c r="AD1337">
        <v>3</v>
      </c>
      <c r="AE1337">
        <v>2</v>
      </c>
      <c r="AF1337">
        <v>2</v>
      </c>
      <c r="AG1337">
        <v>2</v>
      </c>
      <c r="AH1337">
        <v>2</v>
      </c>
      <c r="AI1337" t="str">
        <f t="shared" si="80"/>
        <v>0-2 Years</v>
      </c>
      <c r="AJ1337" t="str">
        <f t="shared" si="81"/>
        <v>0-2</v>
      </c>
    </row>
    <row r="1338" spans="1:36" x14ac:dyDescent="0.35">
      <c r="A1338">
        <v>1337</v>
      </c>
      <c r="B1338">
        <v>55</v>
      </c>
      <c r="C1338" t="str">
        <f t="shared" si="82"/>
        <v>46-55</v>
      </c>
      <c r="D1338" t="s">
        <v>38</v>
      </c>
      <c r="E1338" t="s">
        <v>32</v>
      </c>
      <c r="F1338" s="3">
        <v>1389</v>
      </c>
      <c r="G1338" t="s">
        <v>40</v>
      </c>
      <c r="H1338" s="1">
        <v>2</v>
      </c>
      <c r="I1338" t="s">
        <v>60</v>
      </c>
      <c r="J1338" t="s">
        <v>55</v>
      </c>
      <c r="K1338" t="s">
        <v>61</v>
      </c>
      <c r="L1338" t="s">
        <v>41</v>
      </c>
      <c r="M1338" s="3">
        <v>98</v>
      </c>
      <c r="N1338" t="s">
        <v>61</v>
      </c>
      <c r="O1338" t="s">
        <v>59</v>
      </c>
      <c r="P1338" t="s">
        <v>42</v>
      </c>
      <c r="Q1338" t="s">
        <v>62</v>
      </c>
      <c r="R1338" t="s">
        <v>43</v>
      </c>
      <c r="S1338" s="3">
        <v>2662</v>
      </c>
      <c r="T1338" s="3">
        <v>7975</v>
      </c>
      <c r="U1338" s="3" t="str">
        <f t="shared" si="83"/>
        <v>Low</v>
      </c>
      <c r="V1338">
        <v>8</v>
      </c>
      <c r="W1338" t="s">
        <v>38</v>
      </c>
      <c r="X1338" s="2">
        <v>20</v>
      </c>
      <c r="Y1338" t="s">
        <v>62</v>
      </c>
      <c r="Z1338" t="s">
        <v>61</v>
      </c>
      <c r="AA1338">
        <v>1</v>
      </c>
      <c r="AB1338">
        <v>19</v>
      </c>
      <c r="AC1338">
        <v>2</v>
      </c>
      <c r="AD1338">
        <v>4</v>
      </c>
      <c r="AE1338">
        <v>5</v>
      </c>
      <c r="AF1338">
        <v>2</v>
      </c>
      <c r="AG1338">
        <v>0</v>
      </c>
      <c r="AH1338">
        <v>4</v>
      </c>
      <c r="AI1338" t="str">
        <f t="shared" si="80"/>
        <v>3-5 Years</v>
      </c>
      <c r="AJ1338" t="str">
        <f t="shared" si="81"/>
        <v>0-2</v>
      </c>
    </row>
    <row r="1339" spans="1:36" x14ac:dyDescent="0.35">
      <c r="A1339">
        <v>1338</v>
      </c>
      <c r="B1339">
        <v>28</v>
      </c>
      <c r="C1339" t="str">
        <f t="shared" si="82"/>
        <v>26-35</v>
      </c>
      <c r="D1339" t="s">
        <v>38</v>
      </c>
      <c r="E1339" t="s">
        <v>32</v>
      </c>
      <c r="F1339" s="3">
        <v>1389</v>
      </c>
      <c r="G1339" t="s">
        <v>33</v>
      </c>
      <c r="H1339" s="1">
        <v>3</v>
      </c>
      <c r="I1339" t="s">
        <v>61</v>
      </c>
      <c r="J1339" t="s">
        <v>46</v>
      </c>
      <c r="K1339" t="s">
        <v>61</v>
      </c>
      <c r="L1339" t="s">
        <v>35</v>
      </c>
      <c r="M1339" s="3">
        <v>78</v>
      </c>
      <c r="N1339" t="s">
        <v>60</v>
      </c>
      <c r="O1339" t="s">
        <v>59</v>
      </c>
      <c r="P1339" t="s">
        <v>52</v>
      </c>
      <c r="Q1339" t="s">
        <v>61</v>
      </c>
      <c r="R1339" t="s">
        <v>43</v>
      </c>
      <c r="S1339" s="3">
        <v>2856</v>
      </c>
      <c r="T1339" s="3">
        <v>3692</v>
      </c>
      <c r="U1339" s="3" t="str">
        <f t="shared" si="83"/>
        <v>Low</v>
      </c>
      <c r="V1339">
        <v>1</v>
      </c>
      <c r="W1339" t="s">
        <v>38</v>
      </c>
      <c r="X1339" s="2">
        <v>19</v>
      </c>
      <c r="Y1339" t="s">
        <v>60</v>
      </c>
      <c r="Z1339" t="s">
        <v>62</v>
      </c>
      <c r="AA1339">
        <v>1</v>
      </c>
      <c r="AB1339">
        <v>1</v>
      </c>
      <c r="AC1339">
        <v>3</v>
      </c>
      <c r="AD1339">
        <v>3</v>
      </c>
      <c r="AE1339">
        <v>1</v>
      </c>
      <c r="AF1339">
        <v>0</v>
      </c>
      <c r="AG1339">
        <v>0</v>
      </c>
      <c r="AH1339">
        <v>0</v>
      </c>
      <c r="AI1339" t="str">
        <f t="shared" si="80"/>
        <v>0-2 Years</v>
      </c>
      <c r="AJ1339" t="str">
        <f t="shared" si="81"/>
        <v>0-2</v>
      </c>
    </row>
    <row r="1340" spans="1:36" x14ac:dyDescent="0.35">
      <c r="A1340">
        <v>1339</v>
      </c>
      <c r="B1340">
        <v>30</v>
      </c>
      <c r="C1340" t="str">
        <f t="shared" si="82"/>
        <v>26-35</v>
      </c>
      <c r="D1340" t="s">
        <v>31</v>
      </c>
      <c r="E1340" t="s">
        <v>32</v>
      </c>
      <c r="F1340" s="3">
        <v>1389</v>
      </c>
      <c r="G1340" t="s">
        <v>33</v>
      </c>
      <c r="H1340" s="1">
        <v>9</v>
      </c>
      <c r="I1340" t="s">
        <v>61</v>
      </c>
      <c r="J1340" t="s">
        <v>46</v>
      </c>
      <c r="K1340" t="s">
        <v>61</v>
      </c>
      <c r="L1340" t="s">
        <v>41</v>
      </c>
      <c r="M1340" s="3">
        <v>89</v>
      </c>
      <c r="N1340" t="s">
        <v>60</v>
      </c>
      <c r="O1340" t="s">
        <v>59</v>
      </c>
      <c r="P1340" t="s">
        <v>52</v>
      </c>
      <c r="Q1340" t="s">
        <v>62</v>
      </c>
      <c r="R1340" t="s">
        <v>37</v>
      </c>
      <c r="S1340" s="3">
        <v>1081</v>
      </c>
      <c r="T1340" s="3">
        <v>16019</v>
      </c>
      <c r="U1340" s="3" t="str">
        <f t="shared" si="83"/>
        <v>Low</v>
      </c>
      <c r="V1340">
        <v>1</v>
      </c>
      <c r="W1340" t="s">
        <v>38</v>
      </c>
      <c r="X1340" s="2">
        <v>13</v>
      </c>
      <c r="Y1340" t="s">
        <v>60</v>
      </c>
      <c r="Z1340" t="s">
        <v>60</v>
      </c>
      <c r="AA1340">
        <v>0</v>
      </c>
      <c r="AB1340">
        <v>1</v>
      </c>
      <c r="AC1340">
        <v>3</v>
      </c>
      <c r="AD1340">
        <v>2</v>
      </c>
      <c r="AE1340">
        <v>1</v>
      </c>
      <c r="AF1340">
        <v>0</v>
      </c>
      <c r="AG1340">
        <v>0</v>
      </c>
      <c r="AH1340">
        <v>0</v>
      </c>
      <c r="AI1340" t="str">
        <f t="shared" si="80"/>
        <v>0-2 Years</v>
      </c>
      <c r="AJ1340" t="str">
        <f t="shared" si="81"/>
        <v>0-2</v>
      </c>
    </row>
    <row r="1341" spans="1:36" x14ac:dyDescent="0.35">
      <c r="A1341">
        <v>1340</v>
      </c>
      <c r="B1341">
        <v>22</v>
      </c>
      <c r="C1341" t="str">
        <f t="shared" si="82"/>
        <v>18-25</v>
      </c>
      <c r="D1341" t="s">
        <v>31</v>
      </c>
      <c r="E1341" t="s">
        <v>32</v>
      </c>
      <c r="F1341" s="3">
        <v>1389</v>
      </c>
      <c r="G1341" t="s">
        <v>40</v>
      </c>
      <c r="H1341" s="1">
        <v>7</v>
      </c>
      <c r="I1341" t="s">
        <v>59</v>
      </c>
      <c r="J1341" t="s">
        <v>34</v>
      </c>
      <c r="K1341" t="s">
        <v>62</v>
      </c>
      <c r="L1341" t="s">
        <v>41</v>
      </c>
      <c r="M1341" s="3">
        <v>75</v>
      </c>
      <c r="N1341" t="s">
        <v>60</v>
      </c>
      <c r="O1341" t="s">
        <v>59</v>
      </c>
      <c r="P1341" t="s">
        <v>42</v>
      </c>
      <c r="Q1341" t="s">
        <v>61</v>
      </c>
      <c r="R1341" t="s">
        <v>37</v>
      </c>
      <c r="S1341" s="3">
        <v>2472</v>
      </c>
      <c r="T1341" s="3">
        <v>26092</v>
      </c>
      <c r="U1341" s="3" t="str">
        <f t="shared" si="83"/>
        <v>Low</v>
      </c>
      <c r="V1341">
        <v>1</v>
      </c>
      <c r="W1341" t="s">
        <v>31</v>
      </c>
      <c r="X1341" s="2">
        <v>23</v>
      </c>
      <c r="Y1341" t="s">
        <v>62</v>
      </c>
      <c r="Z1341" t="s">
        <v>59</v>
      </c>
      <c r="AA1341">
        <v>0</v>
      </c>
      <c r="AB1341">
        <v>1</v>
      </c>
      <c r="AC1341">
        <v>2</v>
      </c>
      <c r="AD1341">
        <v>3</v>
      </c>
      <c r="AE1341">
        <v>1</v>
      </c>
      <c r="AF1341">
        <v>0</v>
      </c>
      <c r="AG1341">
        <v>0</v>
      </c>
      <c r="AH1341">
        <v>0</v>
      </c>
      <c r="AI1341" t="str">
        <f t="shared" si="80"/>
        <v>0-2 Years</v>
      </c>
      <c r="AJ1341" t="str">
        <f t="shared" si="81"/>
        <v>0-2</v>
      </c>
    </row>
    <row r="1342" spans="1:36" x14ac:dyDescent="0.35">
      <c r="A1342">
        <v>1341</v>
      </c>
      <c r="B1342">
        <v>36</v>
      </c>
      <c r="C1342" t="str">
        <f t="shared" si="82"/>
        <v>36-45</v>
      </c>
      <c r="D1342" t="s">
        <v>38</v>
      </c>
      <c r="E1342" t="s">
        <v>32</v>
      </c>
      <c r="F1342" s="3">
        <v>1389</v>
      </c>
      <c r="G1342" t="s">
        <v>33</v>
      </c>
      <c r="H1342" s="1">
        <v>10</v>
      </c>
      <c r="I1342" t="s">
        <v>60</v>
      </c>
      <c r="J1342" t="s">
        <v>55</v>
      </c>
      <c r="K1342" t="s">
        <v>61</v>
      </c>
      <c r="L1342" t="s">
        <v>35</v>
      </c>
      <c r="M1342" s="3">
        <v>63</v>
      </c>
      <c r="N1342" t="s">
        <v>61</v>
      </c>
      <c r="O1342" t="s">
        <v>61</v>
      </c>
      <c r="P1342" t="s">
        <v>36</v>
      </c>
      <c r="Q1342" t="s">
        <v>60</v>
      </c>
      <c r="R1342" t="s">
        <v>43</v>
      </c>
      <c r="S1342" s="3">
        <v>5673</v>
      </c>
      <c r="T1342" s="3">
        <v>6060</v>
      </c>
      <c r="U1342" s="3" t="str">
        <f t="shared" si="83"/>
        <v>Medium</v>
      </c>
      <c r="V1342">
        <v>1</v>
      </c>
      <c r="W1342" t="s">
        <v>31</v>
      </c>
      <c r="X1342" s="2">
        <v>13</v>
      </c>
      <c r="Y1342" t="s">
        <v>60</v>
      </c>
      <c r="Z1342" t="s">
        <v>59</v>
      </c>
      <c r="AA1342">
        <v>1</v>
      </c>
      <c r="AB1342">
        <v>10</v>
      </c>
      <c r="AC1342">
        <v>4</v>
      </c>
      <c r="AD1342">
        <v>3</v>
      </c>
      <c r="AE1342">
        <v>10</v>
      </c>
      <c r="AF1342">
        <v>9</v>
      </c>
      <c r="AG1342">
        <v>1</v>
      </c>
      <c r="AH1342">
        <v>7</v>
      </c>
      <c r="AI1342" t="str">
        <f t="shared" si="80"/>
        <v>6-10 Years</v>
      </c>
      <c r="AJ1342" t="str">
        <f t="shared" si="81"/>
        <v>0-2</v>
      </c>
    </row>
    <row r="1343" spans="1:36" x14ac:dyDescent="0.35">
      <c r="A1343">
        <v>1342</v>
      </c>
      <c r="B1343">
        <v>31</v>
      </c>
      <c r="C1343" t="str">
        <f t="shared" si="82"/>
        <v>26-35</v>
      </c>
      <c r="D1343" t="s">
        <v>38</v>
      </c>
      <c r="E1343" t="s">
        <v>32</v>
      </c>
      <c r="F1343" s="3">
        <v>1389</v>
      </c>
      <c r="G1343" t="s">
        <v>40</v>
      </c>
      <c r="H1343" s="1">
        <v>20</v>
      </c>
      <c r="I1343" t="s">
        <v>61</v>
      </c>
      <c r="J1343" t="s">
        <v>34</v>
      </c>
      <c r="K1343" t="s">
        <v>61</v>
      </c>
      <c r="L1343" t="s">
        <v>41</v>
      </c>
      <c r="M1343" s="3">
        <v>89</v>
      </c>
      <c r="N1343" t="s">
        <v>60</v>
      </c>
      <c r="O1343" t="s">
        <v>61</v>
      </c>
      <c r="P1343" t="s">
        <v>45</v>
      </c>
      <c r="Q1343" t="s">
        <v>60</v>
      </c>
      <c r="R1343" t="s">
        <v>47</v>
      </c>
      <c r="S1343" s="3">
        <v>4197</v>
      </c>
      <c r="T1343" s="3">
        <v>18624</v>
      </c>
      <c r="U1343" s="3" t="str">
        <f t="shared" si="83"/>
        <v>Low</v>
      </c>
      <c r="V1343">
        <v>1</v>
      </c>
      <c r="W1343" t="s">
        <v>38</v>
      </c>
      <c r="X1343" s="2">
        <v>11</v>
      </c>
      <c r="Y1343" t="s">
        <v>60</v>
      </c>
      <c r="Z1343" t="s">
        <v>59</v>
      </c>
      <c r="AA1343">
        <v>1</v>
      </c>
      <c r="AB1343">
        <v>10</v>
      </c>
      <c r="AC1343">
        <v>2</v>
      </c>
      <c r="AD1343">
        <v>3</v>
      </c>
      <c r="AE1343">
        <v>10</v>
      </c>
      <c r="AF1343">
        <v>8</v>
      </c>
      <c r="AG1343">
        <v>0</v>
      </c>
      <c r="AH1343">
        <v>2</v>
      </c>
      <c r="AI1343" t="str">
        <f t="shared" si="80"/>
        <v>6-10 Years</v>
      </c>
      <c r="AJ1343" t="str">
        <f t="shared" si="81"/>
        <v>0-2</v>
      </c>
    </row>
    <row r="1344" spans="1:36" x14ac:dyDescent="0.35">
      <c r="A1344">
        <v>1343</v>
      </c>
      <c r="B1344">
        <v>34</v>
      </c>
      <c r="C1344" t="str">
        <f t="shared" si="82"/>
        <v>26-35</v>
      </c>
      <c r="D1344" t="s">
        <v>38</v>
      </c>
      <c r="E1344" t="s">
        <v>32</v>
      </c>
      <c r="F1344" s="3">
        <v>1389</v>
      </c>
      <c r="G1344" t="s">
        <v>33</v>
      </c>
      <c r="H1344" s="1">
        <v>4</v>
      </c>
      <c r="I1344" t="s">
        <v>61</v>
      </c>
      <c r="J1344" t="s">
        <v>34</v>
      </c>
      <c r="K1344" t="s">
        <v>60</v>
      </c>
      <c r="L1344" t="s">
        <v>41</v>
      </c>
      <c r="M1344" s="3">
        <v>64</v>
      </c>
      <c r="N1344" t="s">
        <v>60</v>
      </c>
      <c r="O1344" t="s">
        <v>60</v>
      </c>
      <c r="P1344" t="s">
        <v>36</v>
      </c>
      <c r="Q1344" t="s">
        <v>62</v>
      </c>
      <c r="R1344" t="s">
        <v>43</v>
      </c>
      <c r="S1344" s="3">
        <v>9713</v>
      </c>
      <c r="T1344" s="3">
        <v>24444</v>
      </c>
      <c r="U1344" s="3" t="str">
        <f t="shared" si="83"/>
        <v>Medium</v>
      </c>
      <c r="V1344">
        <v>2</v>
      </c>
      <c r="W1344" t="s">
        <v>31</v>
      </c>
      <c r="X1344" s="2">
        <v>13</v>
      </c>
      <c r="Y1344" t="s">
        <v>60</v>
      </c>
      <c r="Z1344" t="s">
        <v>62</v>
      </c>
      <c r="AA1344">
        <v>3</v>
      </c>
      <c r="AB1344">
        <v>9</v>
      </c>
      <c r="AC1344">
        <v>3</v>
      </c>
      <c r="AD1344">
        <v>3</v>
      </c>
      <c r="AE1344">
        <v>5</v>
      </c>
      <c r="AF1344">
        <v>3</v>
      </c>
      <c r="AG1344">
        <v>1</v>
      </c>
      <c r="AH1344">
        <v>0</v>
      </c>
      <c r="AI1344" t="str">
        <f t="shared" si="80"/>
        <v>3-5 Years</v>
      </c>
      <c r="AJ1344" t="str">
        <f t="shared" si="81"/>
        <v>0-2</v>
      </c>
    </row>
    <row r="1345" spans="1:36" x14ac:dyDescent="0.35">
      <c r="A1345">
        <v>1344</v>
      </c>
      <c r="B1345">
        <v>29</v>
      </c>
      <c r="C1345" t="str">
        <f t="shared" si="82"/>
        <v>26-35</v>
      </c>
      <c r="D1345" t="s">
        <v>38</v>
      </c>
      <c r="E1345" t="s">
        <v>32</v>
      </c>
      <c r="F1345" s="3">
        <v>1389</v>
      </c>
      <c r="G1345" t="s">
        <v>40</v>
      </c>
      <c r="H1345" s="1">
        <v>7</v>
      </c>
      <c r="I1345" t="s">
        <v>61</v>
      </c>
      <c r="J1345" t="s">
        <v>34</v>
      </c>
      <c r="K1345" t="s">
        <v>62</v>
      </c>
      <c r="L1345" t="s">
        <v>41</v>
      </c>
      <c r="M1345" s="3">
        <v>59</v>
      </c>
      <c r="N1345" t="s">
        <v>60</v>
      </c>
      <c r="O1345" t="s">
        <v>59</v>
      </c>
      <c r="P1345" t="s">
        <v>45</v>
      </c>
      <c r="Q1345" t="s">
        <v>59</v>
      </c>
      <c r="R1345" t="s">
        <v>37</v>
      </c>
      <c r="S1345" s="3">
        <v>2062</v>
      </c>
      <c r="T1345" s="3">
        <v>19384</v>
      </c>
      <c r="U1345" s="3" t="str">
        <f t="shared" si="83"/>
        <v>Low</v>
      </c>
      <c r="V1345">
        <v>3</v>
      </c>
      <c r="W1345" t="s">
        <v>38</v>
      </c>
      <c r="X1345" s="2">
        <v>14</v>
      </c>
      <c r="Y1345" t="s">
        <v>60</v>
      </c>
      <c r="Z1345" t="s">
        <v>61</v>
      </c>
      <c r="AA1345">
        <v>0</v>
      </c>
      <c r="AB1345">
        <v>11</v>
      </c>
      <c r="AC1345">
        <v>2</v>
      </c>
      <c r="AD1345">
        <v>3</v>
      </c>
      <c r="AE1345">
        <v>3</v>
      </c>
      <c r="AF1345">
        <v>2</v>
      </c>
      <c r="AG1345">
        <v>1</v>
      </c>
      <c r="AH1345">
        <v>2</v>
      </c>
      <c r="AI1345" t="str">
        <f t="shared" si="80"/>
        <v>3-5 Years</v>
      </c>
      <c r="AJ1345" t="str">
        <f t="shared" si="81"/>
        <v>0-2</v>
      </c>
    </row>
    <row r="1346" spans="1:36" x14ac:dyDescent="0.35">
      <c r="A1346">
        <v>1345</v>
      </c>
      <c r="B1346">
        <v>37</v>
      </c>
      <c r="C1346" t="str">
        <f t="shared" si="82"/>
        <v>36-45</v>
      </c>
      <c r="D1346" t="s">
        <v>38</v>
      </c>
      <c r="E1346" t="s">
        <v>32</v>
      </c>
      <c r="F1346" s="3">
        <v>1389</v>
      </c>
      <c r="G1346" t="s">
        <v>40</v>
      </c>
      <c r="H1346" s="1">
        <v>7</v>
      </c>
      <c r="I1346" t="s">
        <v>60</v>
      </c>
      <c r="J1346" t="s">
        <v>46</v>
      </c>
      <c r="K1346" t="s">
        <v>62</v>
      </c>
      <c r="L1346" t="s">
        <v>41</v>
      </c>
      <c r="M1346" s="3">
        <v>78</v>
      </c>
      <c r="N1346" t="s">
        <v>60</v>
      </c>
      <c r="O1346" t="s">
        <v>61</v>
      </c>
      <c r="P1346" t="s">
        <v>42</v>
      </c>
      <c r="Q1346" t="s">
        <v>59</v>
      </c>
      <c r="R1346" t="s">
        <v>43</v>
      </c>
      <c r="S1346" s="3">
        <v>4284</v>
      </c>
      <c r="T1346" s="3">
        <v>13588</v>
      </c>
      <c r="U1346" s="3" t="str">
        <f t="shared" si="83"/>
        <v>Low</v>
      </c>
      <c r="V1346">
        <v>5</v>
      </c>
      <c r="W1346" t="s">
        <v>31</v>
      </c>
      <c r="X1346" s="2">
        <v>22</v>
      </c>
      <c r="Y1346" t="s">
        <v>62</v>
      </c>
      <c r="Z1346" t="s">
        <v>60</v>
      </c>
      <c r="AA1346">
        <v>1</v>
      </c>
      <c r="AB1346">
        <v>16</v>
      </c>
      <c r="AC1346">
        <v>2</v>
      </c>
      <c r="AD1346">
        <v>3</v>
      </c>
      <c r="AE1346">
        <v>5</v>
      </c>
      <c r="AF1346">
        <v>3</v>
      </c>
      <c r="AG1346">
        <v>0</v>
      </c>
      <c r="AH1346">
        <v>4</v>
      </c>
      <c r="AI1346" t="str">
        <f t="shared" ref="AI1346:AI1409" si="84">IF(AE1346&lt;=2,"0-2 Years",
IF(AE1346&lt;=5,"3-5 Years",
IF(AE1346&lt;=10,"6-10 Years","10+ Years")))</f>
        <v>3-5 Years</v>
      </c>
      <c r="AJ1346" t="str">
        <f t="shared" ref="AJ1346:AJ1409" si="85">IF(AG1346&lt;=2,"0-2",
IF(AG1346&lt;=5,"3-5","6+"))</f>
        <v>0-2</v>
      </c>
    </row>
    <row r="1347" spans="1:36" x14ac:dyDescent="0.35">
      <c r="A1347">
        <v>1346</v>
      </c>
      <c r="B1347">
        <v>35</v>
      </c>
      <c r="C1347" t="str">
        <f t="shared" ref="C1347:C1410" si="86">IF(B1347&lt;=25,"18-25",
IF(B1347&lt;=35,"26-35",
IF(B1347&lt;=45,"36-45",
IF(B1347&lt;=55,"46-55","55+"))))</f>
        <v>26-35</v>
      </c>
      <c r="D1347" t="s">
        <v>38</v>
      </c>
      <c r="E1347" t="s">
        <v>32</v>
      </c>
      <c r="F1347" s="3">
        <v>1389</v>
      </c>
      <c r="G1347" t="s">
        <v>40</v>
      </c>
      <c r="H1347" s="1">
        <v>16</v>
      </c>
      <c r="I1347" t="s">
        <v>58</v>
      </c>
      <c r="J1347" t="s">
        <v>44</v>
      </c>
      <c r="K1347" t="s">
        <v>62</v>
      </c>
      <c r="L1347" t="s">
        <v>35</v>
      </c>
      <c r="M1347" s="3">
        <v>44</v>
      </c>
      <c r="N1347" t="s">
        <v>61</v>
      </c>
      <c r="O1347" t="s">
        <v>61</v>
      </c>
      <c r="P1347" t="s">
        <v>48</v>
      </c>
      <c r="Q1347" t="s">
        <v>61</v>
      </c>
      <c r="R1347" t="s">
        <v>43</v>
      </c>
      <c r="S1347" s="3">
        <v>4788</v>
      </c>
      <c r="T1347" s="3">
        <v>25388</v>
      </c>
      <c r="U1347" s="3" t="str">
        <f t="shared" ref="U1347:U1410" si="87">_xlfn.IFS(S1347&lt;5000,"Low",S1347&lt;10000,"Medium",S1347&gt;10000,"High")</f>
        <v>Low</v>
      </c>
      <c r="V1347">
        <v>0</v>
      </c>
      <c r="W1347" t="s">
        <v>31</v>
      </c>
      <c r="X1347" s="2">
        <v>11</v>
      </c>
      <c r="Y1347" t="s">
        <v>60</v>
      </c>
      <c r="Z1347" t="s">
        <v>62</v>
      </c>
      <c r="AA1347">
        <v>0</v>
      </c>
      <c r="AB1347">
        <v>4</v>
      </c>
      <c r="AC1347">
        <v>2</v>
      </c>
      <c r="AD1347">
        <v>3</v>
      </c>
      <c r="AE1347">
        <v>3</v>
      </c>
      <c r="AF1347">
        <v>2</v>
      </c>
      <c r="AG1347">
        <v>0</v>
      </c>
      <c r="AH1347">
        <v>2</v>
      </c>
      <c r="AI1347" t="str">
        <f t="shared" si="84"/>
        <v>3-5 Years</v>
      </c>
      <c r="AJ1347" t="str">
        <f t="shared" si="85"/>
        <v>0-2</v>
      </c>
    </row>
    <row r="1348" spans="1:36" x14ac:dyDescent="0.35">
      <c r="A1348">
        <v>1347</v>
      </c>
      <c r="B1348">
        <v>45</v>
      </c>
      <c r="C1348" t="str">
        <f t="shared" si="86"/>
        <v>36-45</v>
      </c>
      <c r="D1348" t="s">
        <v>38</v>
      </c>
      <c r="E1348" t="s">
        <v>32</v>
      </c>
      <c r="F1348" s="3">
        <v>1389</v>
      </c>
      <c r="G1348" t="s">
        <v>40</v>
      </c>
      <c r="H1348" s="1">
        <v>25</v>
      </c>
      <c r="I1348" t="s">
        <v>58</v>
      </c>
      <c r="J1348" t="s">
        <v>34</v>
      </c>
      <c r="K1348" t="s">
        <v>61</v>
      </c>
      <c r="L1348" t="s">
        <v>35</v>
      </c>
      <c r="M1348" s="3">
        <v>93</v>
      </c>
      <c r="N1348" t="s">
        <v>61</v>
      </c>
      <c r="O1348" t="s">
        <v>61</v>
      </c>
      <c r="P1348" t="s">
        <v>48</v>
      </c>
      <c r="Q1348" t="s">
        <v>62</v>
      </c>
      <c r="R1348" t="s">
        <v>43</v>
      </c>
      <c r="S1348" s="3">
        <v>5906</v>
      </c>
      <c r="T1348" s="3">
        <v>23888</v>
      </c>
      <c r="U1348" s="3" t="str">
        <f t="shared" si="87"/>
        <v>Medium</v>
      </c>
      <c r="V1348">
        <v>0</v>
      </c>
      <c r="W1348" t="s">
        <v>38</v>
      </c>
      <c r="X1348" s="2">
        <v>13</v>
      </c>
      <c r="Y1348" t="s">
        <v>60</v>
      </c>
      <c r="Z1348" t="s">
        <v>62</v>
      </c>
      <c r="AA1348">
        <v>2</v>
      </c>
      <c r="AB1348">
        <v>10</v>
      </c>
      <c r="AC1348">
        <v>2</v>
      </c>
      <c r="AD1348">
        <v>2</v>
      </c>
      <c r="AE1348">
        <v>9</v>
      </c>
      <c r="AF1348">
        <v>8</v>
      </c>
      <c r="AG1348">
        <v>3</v>
      </c>
      <c r="AH1348">
        <v>8</v>
      </c>
      <c r="AI1348" t="str">
        <f t="shared" si="84"/>
        <v>6-10 Years</v>
      </c>
      <c r="AJ1348" t="str">
        <f t="shared" si="85"/>
        <v>3-5</v>
      </c>
    </row>
    <row r="1349" spans="1:36" x14ac:dyDescent="0.35">
      <c r="A1349">
        <v>1348</v>
      </c>
      <c r="B1349">
        <v>36</v>
      </c>
      <c r="C1349" t="str">
        <f t="shared" si="86"/>
        <v>36-45</v>
      </c>
      <c r="D1349" t="s">
        <v>38</v>
      </c>
      <c r="E1349" t="s">
        <v>39</v>
      </c>
      <c r="F1349" s="3">
        <v>1389</v>
      </c>
      <c r="G1349" t="s">
        <v>56</v>
      </c>
      <c r="H1349" s="1">
        <v>2</v>
      </c>
      <c r="I1349" t="s">
        <v>59</v>
      </c>
      <c r="J1349" t="s">
        <v>56</v>
      </c>
      <c r="K1349" t="s">
        <v>61</v>
      </c>
      <c r="L1349" t="s">
        <v>41</v>
      </c>
      <c r="M1349" s="3">
        <v>94</v>
      </c>
      <c r="N1349" t="s">
        <v>61</v>
      </c>
      <c r="O1349" t="s">
        <v>61</v>
      </c>
      <c r="P1349" t="s">
        <v>56</v>
      </c>
      <c r="Q1349" t="s">
        <v>62</v>
      </c>
      <c r="R1349" t="s">
        <v>37</v>
      </c>
      <c r="S1349" s="3">
        <v>3886</v>
      </c>
      <c r="T1349" s="3">
        <v>4223</v>
      </c>
      <c r="U1349" s="3" t="str">
        <f t="shared" si="87"/>
        <v>Low</v>
      </c>
      <c r="V1349">
        <v>1</v>
      </c>
      <c r="W1349" t="s">
        <v>38</v>
      </c>
      <c r="X1349" s="2">
        <v>21</v>
      </c>
      <c r="Y1349" t="s">
        <v>62</v>
      </c>
      <c r="Z1349" t="s">
        <v>62</v>
      </c>
      <c r="AA1349">
        <v>0</v>
      </c>
      <c r="AB1349">
        <v>10</v>
      </c>
      <c r="AC1349">
        <v>2</v>
      </c>
      <c r="AD1349">
        <v>2</v>
      </c>
      <c r="AE1349">
        <v>10</v>
      </c>
      <c r="AF1349">
        <v>1</v>
      </c>
      <c r="AG1349">
        <v>0</v>
      </c>
      <c r="AH1349">
        <v>8</v>
      </c>
      <c r="AI1349" t="str">
        <f t="shared" si="84"/>
        <v>6-10 Years</v>
      </c>
      <c r="AJ1349" t="str">
        <f t="shared" si="85"/>
        <v>0-2</v>
      </c>
    </row>
    <row r="1350" spans="1:36" x14ac:dyDescent="0.35">
      <c r="A1350">
        <v>1349</v>
      </c>
      <c r="B1350">
        <v>40</v>
      </c>
      <c r="C1350" t="str">
        <f t="shared" si="86"/>
        <v>36-45</v>
      </c>
      <c r="D1350" t="s">
        <v>38</v>
      </c>
      <c r="E1350" t="s">
        <v>32</v>
      </c>
      <c r="F1350" s="3">
        <v>1389</v>
      </c>
      <c r="G1350" t="s">
        <v>40</v>
      </c>
      <c r="H1350" s="1">
        <v>1</v>
      </c>
      <c r="I1350" t="s">
        <v>60</v>
      </c>
      <c r="J1350" t="s">
        <v>34</v>
      </c>
      <c r="K1350" t="s">
        <v>59</v>
      </c>
      <c r="L1350" t="s">
        <v>41</v>
      </c>
      <c r="M1350" s="3">
        <v>98</v>
      </c>
      <c r="N1350" t="s">
        <v>60</v>
      </c>
      <c r="O1350" t="s">
        <v>62</v>
      </c>
      <c r="P1350" t="s">
        <v>51</v>
      </c>
      <c r="Q1350" t="s">
        <v>59</v>
      </c>
      <c r="R1350" t="s">
        <v>47</v>
      </c>
      <c r="S1350" s="3">
        <v>16823</v>
      </c>
      <c r="T1350" s="3">
        <v>18991</v>
      </c>
      <c r="U1350" s="3" t="str">
        <f t="shared" si="87"/>
        <v>High</v>
      </c>
      <c r="V1350">
        <v>2</v>
      </c>
      <c r="W1350" t="s">
        <v>38</v>
      </c>
      <c r="X1350" s="2">
        <v>11</v>
      </c>
      <c r="Y1350" t="s">
        <v>60</v>
      </c>
      <c r="Z1350" t="s">
        <v>59</v>
      </c>
      <c r="AA1350">
        <v>1</v>
      </c>
      <c r="AB1350">
        <v>22</v>
      </c>
      <c r="AC1350">
        <v>3</v>
      </c>
      <c r="AD1350">
        <v>3</v>
      </c>
      <c r="AE1350">
        <v>19</v>
      </c>
      <c r="AF1350">
        <v>7</v>
      </c>
      <c r="AG1350">
        <v>11</v>
      </c>
      <c r="AH1350">
        <v>16</v>
      </c>
      <c r="AI1350" t="str">
        <f t="shared" si="84"/>
        <v>10+ Years</v>
      </c>
      <c r="AJ1350" t="str">
        <f t="shared" si="85"/>
        <v>6+</v>
      </c>
    </row>
    <row r="1351" spans="1:36" x14ac:dyDescent="0.35">
      <c r="A1351">
        <v>1350</v>
      </c>
      <c r="B1351">
        <v>26</v>
      </c>
      <c r="C1351" t="str">
        <f t="shared" si="86"/>
        <v>26-35</v>
      </c>
      <c r="D1351" t="s">
        <v>38</v>
      </c>
      <c r="E1351" t="s">
        <v>32</v>
      </c>
      <c r="F1351" s="3">
        <v>1389</v>
      </c>
      <c r="G1351" t="s">
        <v>40</v>
      </c>
      <c r="H1351" s="1">
        <v>1</v>
      </c>
      <c r="I1351" t="s">
        <v>58</v>
      </c>
      <c r="J1351" t="s">
        <v>34</v>
      </c>
      <c r="K1351" t="s">
        <v>61</v>
      </c>
      <c r="L1351" t="s">
        <v>35</v>
      </c>
      <c r="M1351" s="3">
        <v>90</v>
      </c>
      <c r="N1351" t="s">
        <v>61</v>
      </c>
      <c r="O1351" t="s">
        <v>59</v>
      </c>
      <c r="P1351" t="s">
        <v>42</v>
      </c>
      <c r="Q1351" t="s">
        <v>60</v>
      </c>
      <c r="R1351" t="s">
        <v>43</v>
      </c>
      <c r="S1351" s="3">
        <v>2933</v>
      </c>
      <c r="T1351" s="3">
        <v>14908</v>
      </c>
      <c r="U1351" s="3" t="str">
        <f t="shared" si="87"/>
        <v>Low</v>
      </c>
      <c r="V1351">
        <v>1</v>
      </c>
      <c r="W1351" t="s">
        <v>31</v>
      </c>
      <c r="X1351" s="2">
        <v>13</v>
      </c>
      <c r="Y1351" t="s">
        <v>60</v>
      </c>
      <c r="Z1351" t="s">
        <v>60</v>
      </c>
      <c r="AA1351">
        <v>1</v>
      </c>
      <c r="AB1351">
        <v>1</v>
      </c>
      <c r="AC1351">
        <v>3</v>
      </c>
      <c r="AD1351">
        <v>2</v>
      </c>
      <c r="AE1351">
        <v>1</v>
      </c>
      <c r="AF1351">
        <v>0</v>
      </c>
      <c r="AG1351">
        <v>1</v>
      </c>
      <c r="AH1351">
        <v>0</v>
      </c>
      <c r="AI1351" t="str">
        <f t="shared" si="84"/>
        <v>0-2 Years</v>
      </c>
      <c r="AJ1351" t="str">
        <f t="shared" si="85"/>
        <v>0-2</v>
      </c>
    </row>
    <row r="1352" spans="1:36" x14ac:dyDescent="0.35">
      <c r="A1352">
        <v>1351</v>
      </c>
      <c r="B1352">
        <v>27</v>
      </c>
      <c r="C1352" t="str">
        <f t="shared" si="86"/>
        <v>26-35</v>
      </c>
      <c r="D1352" t="s">
        <v>38</v>
      </c>
      <c r="E1352" t="s">
        <v>32</v>
      </c>
      <c r="F1352" s="3">
        <v>1389</v>
      </c>
      <c r="G1352" t="s">
        <v>33</v>
      </c>
      <c r="H1352" s="1">
        <v>2</v>
      </c>
      <c r="I1352" t="s">
        <v>58</v>
      </c>
      <c r="J1352" t="s">
        <v>46</v>
      </c>
      <c r="K1352" t="s">
        <v>59</v>
      </c>
      <c r="L1352" t="s">
        <v>35</v>
      </c>
      <c r="M1352" s="3">
        <v>89</v>
      </c>
      <c r="N1352" t="s">
        <v>62</v>
      </c>
      <c r="O1352" t="s">
        <v>61</v>
      </c>
      <c r="P1352" t="s">
        <v>36</v>
      </c>
      <c r="Q1352" t="s">
        <v>60</v>
      </c>
      <c r="R1352" t="s">
        <v>37</v>
      </c>
      <c r="S1352" s="3">
        <v>6500</v>
      </c>
      <c r="T1352" s="3">
        <v>26997</v>
      </c>
      <c r="U1352" s="3" t="str">
        <f t="shared" si="87"/>
        <v>Medium</v>
      </c>
      <c r="V1352">
        <v>0</v>
      </c>
      <c r="W1352" t="s">
        <v>38</v>
      </c>
      <c r="X1352" s="2">
        <v>14</v>
      </c>
      <c r="Y1352" t="s">
        <v>60</v>
      </c>
      <c r="Z1352" t="s">
        <v>61</v>
      </c>
      <c r="AA1352">
        <v>0</v>
      </c>
      <c r="AB1352">
        <v>9</v>
      </c>
      <c r="AC1352">
        <v>5</v>
      </c>
      <c r="AD1352">
        <v>2</v>
      </c>
      <c r="AE1352">
        <v>8</v>
      </c>
      <c r="AF1352">
        <v>7</v>
      </c>
      <c r="AG1352">
        <v>0</v>
      </c>
      <c r="AH1352">
        <v>7</v>
      </c>
      <c r="AI1352" t="str">
        <f t="shared" si="84"/>
        <v>6-10 Years</v>
      </c>
      <c r="AJ1352" t="str">
        <f t="shared" si="85"/>
        <v>0-2</v>
      </c>
    </row>
    <row r="1353" spans="1:36" x14ac:dyDescent="0.35">
      <c r="A1353">
        <v>1352</v>
      </c>
      <c r="B1353">
        <v>48</v>
      </c>
      <c r="C1353" t="str">
        <f t="shared" si="86"/>
        <v>46-55</v>
      </c>
      <c r="D1353" t="s">
        <v>38</v>
      </c>
      <c r="E1353" t="s">
        <v>39</v>
      </c>
      <c r="F1353" s="3">
        <v>1389</v>
      </c>
      <c r="G1353" t="s">
        <v>40</v>
      </c>
      <c r="H1353" s="1">
        <v>22</v>
      </c>
      <c r="I1353" t="s">
        <v>61</v>
      </c>
      <c r="J1353" t="s">
        <v>46</v>
      </c>
      <c r="K1353" t="s">
        <v>62</v>
      </c>
      <c r="L1353" t="s">
        <v>35</v>
      </c>
      <c r="M1353" s="3">
        <v>58</v>
      </c>
      <c r="N1353" t="s">
        <v>60</v>
      </c>
      <c r="O1353" t="s">
        <v>62</v>
      </c>
      <c r="P1353" t="s">
        <v>51</v>
      </c>
      <c r="Q1353" t="s">
        <v>62</v>
      </c>
      <c r="R1353" t="s">
        <v>47</v>
      </c>
      <c r="S1353" s="3">
        <v>17174</v>
      </c>
      <c r="T1353" s="3">
        <v>2437</v>
      </c>
      <c r="U1353" s="3" t="str">
        <f t="shared" si="87"/>
        <v>High</v>
      </c>
      <c r="V1353">
        <v>3</v>
      </c>
      <c r="W1353" t="s">
        <v>38</v>
      </c>
      <c r="X1353" s="2">
        <v>11</v>
      </c>
      <c r="Y1353" t="s">
        <v>60</v>
      </c>
      <c r="Z1353" t="s">
        <v>61</v>
      </c>
      <c r="AA1353">
        <v>1</v>
      </c>
      <c r="AB1353">
        <v>24</v>
      </c>
      <c r="AC1353">
        <v>3</v>
      </c>
      <c r="AD1353">
        <v>3</v>
      </c>
      <c r="AE1353">
        <v>22</v>
      </c>
      <c r="AF1353">
        <v>17</v>
      </c>
      <c r="AG1353">
        <v>4</v>
      </c>
      <c r="AH1353">
        <v>7</v>
      </c>
      <c r="AI1353" t="str">
        <f t="shared" si="84"/>
        <v>10+ Years</v>
      </c>
      <c r="AJ1353" t="str">
        <f t="shared" si="85"/>
        <v>3-5</v>
      </c>
    </row>
    <row r="1354" spans="1:36" x14ac:dyDescent="0.35">
      <c r="A1354">
        <v>1353</v>
      </c>
      <c r="B1354">
        <v>44</v>
      </c>
      <c r="C1354" t="str">
        <f t="shared" si="86"/>
        <v>36-45</v>
      </c>
      <c r="D1354" t="s">
        <v>38</v>
      </c>
      <c r="E1354" t="s">
        <v>32</v>
      </c>
      <c r="F1354" s="3">
        <v>1389</v>
      </c>
      <c r="G1354" t="s">
        <v>40</v>
      </c>
      <c r="H1354" s="1">
        <v>1</v>
      </c>
      <c r="I1354" t="s">
        <v>60</v>
      </c>
      <c r="J1354" t="s">
        <v>34</v>
      </c>
      <c r="K1354" t="s">
        <v>61</v>
      </c>
      <c r="L1354" t="s">
        <v>41</v>
      </c>
      <c r="M1354" s="3">
        <v>78</v>
      </c>
      <c r="N1354" t="s">
        <v>62</v>
      </c>
      <c r="O1354" t="s">
        <v>61</v>
      </c>
      <c r="P1354" t="s">
        <v>49</v>
      </c>
      <c r="Q1354" t="s">
        <v>59</v>
      </c>
      <c r="R1354" t="s">
        <v>43</v>
      </c>
      <c r="S1354" s="3">
        <v>5033</v>
      </c>
      <c r="T1354" s="3">
        <v>9364</v>
      </c>
      <c r="U1354" s="3" t="str">
        <f t="shared" si="87"/>
        <v>Medium</v>
      </c>
      <c r="V1354">
        <v>2</v>
      </c>
      <c r="W1354" t="s">
        <v>38</v>
      </c>
      <c r="X1354" s="2">
        <v>15</v>
      </c>
      <c r="Y1354" t="s">
        <v>60</v>
      </c>
      <c r="Z1354" t="s">
        <v>62</v>
      </c>
      <c r="AA1354">
        <v>1</v>
      </c>
      <c r="AB1354">
        <v>10</v>
      </c>
      <c r="AC1354">
        <v>5</v>
      </c>
      <c r="AD1354">
        <v>3</v>
      </c>
      <c r="AE1354">
        <v>2</v>
      </c>
      <c r="AF1354">
        <v>0</v>
      </c>
      <c r="AG1354">
        <v>2</v>
      </c>
      <c r="AH1354">
        <v>2</v>
      </c>
      <c r="AI1354" t="str">
        <f t="shared" si="84"/>
        <v>0-2 Years</v>
      </c>
      <c r="AJ1354" t="str">
        <f t="shared" si="85"/>
        <v>0-2</v>
      </c>
    </row>
    <row r="1355" spans="1:36" x14ac:dyDescent="0.35">
      <c r="A1355">
        <v>1354</v>
      </c>
      <c r="B1355">
        <v>34</v>
      </c>
      <c r="C1355" t="str">
        <f t="shared" si="86"/>
        <v>26-35</v>
      </c>
      <c r="D1355" t="s">
        <v>31</v>
      </c>
      <c r="E1355" t="s">
        <v>50</v>
      </c>
      <c r="F1355" s="3">
        <v>1389</v>
      </c>
      <c r="G1355" t="s">
        <v>40</v>
      </c>
      <c r="H1355" s="1">
        <v>16</v>
      </c>
      <c r="I1355" t="s">
        <v>60</v>
      </c>
      <c r="J1355" t="s">
        <v>55</v>
      </c>
      <c r="K1355" t="s">
        <v>62</v>
      </c>
      <c r="L1355" t="s">
        <v>41</v>
      </c>
      <c r="M1355" s="3">
        <v>85</v>
      </c>
      <c r="N1355" t="s">
        <v>59</v>
      </c>
      <c r="O1355" t="s">
        <v>59</v>
      </c>
      <c r="P1355" t="s">
        <v>42</v>
      </c>
      <c r="Q1355" t="s">
        <v>59</v>
      </c>
      <c r="R1355" t="s">
        <v>43</v>
      </c>
      <c r="S1355" s="3">
        <v>2307</v>
      </c>
      <c r="T1355" s="3">
        <v>14460</v>
      </c>
      <c r="U1355" s="3" t="str">
        <f t="shared" si="87"/>
        <v>Low</v>
      </c>
      <c r="V1355">
        <v>1</v>
      </c>
      <c r="W1355" t="s">
        <v>31</v>
      </c>
      <c r="X1355" s="2">
        <v>23</v>
      </c>
      <c r="Y1355" t="s">
        <v>62</v>
      </c>
      <c r="Z1355" t="s">
        <v>61</v>
      </c>
      <c r="AA1355">
        <v>1</v>
      </c>
      <c r="AB1355">
        <v>5</v>
      </c>
      <c r="AC1355">
        <v>2</v>
      </c>
      <c r="AD1355">
        <v>3</v>
      </c>
      <c r="AE1355">
        <v>5</v>
      </c>
      <c r="AF1355">
        <v>2</v>
      </c>
      <c r="AG1355">
        <v>3</v>
      </c>
      <c r="AH1355">
        <v>0</v>
      </c>
      <c r="AI1355" t="str">
        <f t="shared" si="84"/>
        <v>3-5 Years</v>
      </c>
      <c r="AJ1355" t="str">
        <f t="shared" si="85"/>
        <v>3-5</v>
      </c>
    </row>
    <row r="1356" spans="1:36" x14ac:dyDescent="0.35">
      <c r="A1356">
        <v>1355</v>
      </c>
      <c r="B1356">
        <v>56</v>
      </c>
      <c r="C1356" t="str">
        <f t="shared" si="86"/>
        <v>55+</v>
      </c>
      <c r="D1356" t="s">
        <v>31</v>
      </c>
      <c r="E1356" t="s">
        <v>32</v>
      </c>
      <c r="F1356" s="3">
        <v>1389</v>
      </c>
      <c r="G1356" t="s">
        <v>40</v>
      </c>
      <c r="H1356" s="1">
        <v>24</v>
      </c>
      <c r="I1356" t="s">
        <v>58</v>
      </c>
      <c r="J1356" t="s">
        <v>34</v>
      </c>
      <c r="K1356" t="s">
        <v>59</v>
      </c>
      <c r="L1356" t="s">
        <v>41</v>
      </c>
      <c r="M1356" s="3">
        <v>97</v>
      </c>
      <c r="N1356" t="s">
        <v>60</v>
      </c>
      <c r="O1356" t="s">
        <v>59</v>
      </c>
      <c r="P1356" t="s">
        <v>45</v>
      </c>
      <c r="Q1356" t="s">
        <v>62</v>
      </c>
      <c r="R1356" t="s">
        <v>37</v>
      </c>
      <c r="S1356" s="3">
        <v>2587</v>
      </c>
      <c r="T1356" s="3">
        <v>10261</v>
      </c>
      <c r="U1356" s="3" t="str">
        <f t="shared" si="87"/>
        <v>Low</v>
      </c>
      <c r="V1356">
        <v>1</v>
      </c>
      <c r="W1356" t="s">
        <v>38</v>
      </c>
      <c r="X1356" s="2">
        <v>16</v>
      </c>
      <c r="Y1356" t="s">
        <v>60</v>
      </c>
      <c r="Z1356" t="s">
        <v>62</v>
      </c>
      <c r="AA1356">
        <v>0</v>
      </c>
      <c r="AB1356">
        <v>5</v>
      </c>
      <c r="AC1356">
        <v>3</v>
      </c>
      <c r="AD1356">
        <v>3</v>
      </c>
      <c r="AE1356">
        <v>4</v>
      </c>
      <c r="AF1356">
        <v>2</v>
      </c>
      <c r="AG1356">
        <v>1</v>
      </c>
      <c r="AH1356">
        <v>0</v>
      </c>
      <c r="AI1356" t="str">
        <f t="shared" si="84"/>
        <v>3-5 Years</v>
      </c>
      <c r="AJ1356" t="str">
        <f t="shared" si="85"/>
        <v>0-2</v>
      </c>
    </row>
    <row r="1357" spans="1:36" x14ac:dyDescent="0.35">
      <c r="A1357">
        <v>1356</v>
      </c>
      <c r="B1357">
        <v>36</v>
      </c>
      <c r="C1357" t="str">
        <f t="shared" si="86"/>
        <v>36-45</v>
      </c>
      <c r="D1357" t="s">
        <v>38</v>
      </c>
      <c r="E1357" t="s">
        <v>32</v>
      </c>
      <c r="F1357" s="3">
        <v>1389</v>
      </c>
      <c r="G1357" t="s">
        <v>33</v>
      </c>
      <c r="H1357" s="1">
        <v>17</v>
      </c>
      <c r="I1357" t="s">
        <v>58</v>
      </c>
      <c r="J1357" t="s">
        <v>54</v>
      </c>
      <c r="K1357" t="s">
        <v>60</v>
      </c>
      <c r="L1357" t="s">
        <v>41</v>
      </c>
      <c r="M1357" s="3">
        <v>33</v>
      </c>
      <c r="N1357" t="s">
        <v>61</v>
      </c>
      <c r="O1357" t="s">
        <v>61</v>
      </c>
      <c r="P1357" t="s">
        <v>36</v>
      </c>
      <c r="Q1357" t="s">
        <v>61</v>
      </c>
      <c r="R1357" t="s">
        <v>43</v>
      </c>
      <c r="S1357" s="3">
        <v>5507</v>
      </c>
      <c r="T1357" s="3">
        <v>16822</v>
      </c>
      <c r="U1357" s="3" t="str">
        <f t="shared" si="87"/>
        <v>Medium</v>
      </c>
      <c r="V1357">
        <v>2</v>
      </c>
      <c r="W1357" t="s">
        <v>38</v>
      </c>
      <c r="X1357" s="2">
        <v>16</v>
      </c>
      <c r="Y1357" t="s">
        <v>60</v>
      </c>
      <c r="Z1357" t="s">
        <v>60</v>
      </c>
      <c r="AA1357">
        <v>2</v>
      </c>
      <c r="AB1357">
        <v>12</v>
      </c>
      <c r="AC1357">
        <v>1</v>
      </c>
      <c r="AD1357">
        <v>1</v>
      </c>
      <c r="AE1357">
        <v>4</v>
      </c>
      <c r="AF1357">
        <v>2</v>
      </c>
      <c r="AG1357">
        <v>1</v>
      </c>
      <c r="AH1357">
        <v>3</v>
      </c>
      <c r="AI1357" t="str">
        <f t="shared" si="84"/>
        <v>3-5 Years</v>
      </c>
      <c r="AJ1357" t="str">
        <f t="shared" si="85"/>
        <v>0-2</v>
      </c>
    </row>
    <row r="1358" spans="1:36" x14ac:dyDescent="0.35">
      <c r="A1358">
        <v>1357</v>
      </c>
      <c r="B1358">
        <v>41</v>
      </c>
      <c r="C1358" t="str">
        <f t="shared" si="86"/>
        <v>36-45</v>
      </c>
      <c r="D1358" t="s">
        <v>38</v>
      </c>
      <c r="E1358" t="s">
        <v>32</v>
      </c>
      <c r="F1358" s="3">
        <v>1389</v>
      </c>
      <c r="G1358" t="s">
        <v>33</v>
      </c>
      <c r="H1358" s="1">
        <v>8</v>
      </c>
      <c r="I1358" t="s">
        <v>61</v>
      </c>
      <c r="J1358" t="s">
        <v>54</v>
      </c>
      <c r="K1358" t="s">
        <v>60</v>
      </c>
      <c r="L1358" t="s">
        <v>35</v>
      </c>
      <c r="M1358" s="3">
        <v>54</v>
      </c>
      <c r="N1358" t="s">
        <v>60</v>
      </c>
      <c r="O1358" t="s">
        <v>61</v>
      </c>
      <c r="P1358" t="s">
        <v>36</v>
      </c>
      <c r="Q1358" t="s">
        <v>61</v>
      </c>
      <c r="R1358" t="s">
        <v>43</v>
      </c>
      <c r="S1358" s="3">
        <v>4393</v>
      </c>
      <c r="T1358" s="3">
        <v>26841</v>
      </c>
      <c r="U1358" s="3" t="str">
        <f t="shared" si="87"/>
        <v>Low</v>
      </c>
      <c r="V1358">
        <v>5</v>
      </c>
      <c r="W1358" t="s">
        <v>38</v>
      </c>
      <c r="X1358" s="2">
        <v>21</v>
      </c>
      <c r="Y1358" t="s">
        <v>62</v>
      </c>
      <c r="Z1358" t="s">
        <v>60</v>
      </c>
      <c r="AA1358">
        <v>1</v>
      </c>
      <c r="AB1358">
        <v>14</v>
      </c>
      <c r="AC1358">
        <v>3</v>
      </c>
      <c r="AD1358">
        <v>3</v>
      </c>
      <c r="AE1358">
        <v>5</v>
      </c>
      <c r="AF1358">
        <v>4</v>
      </c>
      <c r="AG1358">
        <v>1</v>
      </c>
      <c r="AH1358">
        <v>4</v>
      </c>
      <c r="AI1358" t="str">
        <f t="shared" si="84"/>
        <v>3-5 Years</v>
      </c>
      <c r="AJ1358" t="str">
        <f t="shared" si="85"/>
        <v>0-2</v>
      </c>
    </row>
    <row r="1359" spans="1:36" x14ac:dyDescent="0.35">
      <c r="A1359">
        <v>1358</v>
      </c>
      <c r="B1359">
        <v>42</v>
      </c>
      <c r="C1359" t="str">
        <f t="shared" si="86"/>
        <v>36-45</v>
      </c>
      <c r="D1359" t="s">
        <v>38</v>
      </c>
      <c r="E1359" t="s">
        <v>32</v>
      </c>
      <c r="F1359" s="3">
        <v>1389</v>
      </c>
      <c r="G1359" t="s">
        <v>40</v>
      </c>
      <c r="H1359" s="1">
        <v>6</v>
      </c>
      <c r="I1359" t="s">
        <v>61</v>
      </c>
      <c r="J1359" t="s">
        <v>46</v>
      </c>
      <c r="K1359" t="s">
        <v>60</v>
      </c>
      <c r="L1359" t="s">
        <v>41</v>
      </c>
      <c r="M1359" s="3">
        <v>83</v>
      </c>
      <c r="N1359" t="s">
        <v>60</v>
      </c>
      <c r="O1359" t="s">
        <v>60</v>
      </c>
      <c r="P1359" t="s">
        <v>53</v>
      </c>
      <c r="Q1359" t="s">
        <v>59</v>
      </c>
      <c r="R1359" t="s">
        <v>43</v>
      </c>
      <c r="S1359" s="3">
        <v>13348</v>
      </c>
      <c r="T1359" s="3">
        <v>14842</v>
      </c>
      <c r="U1359" s="3" t="str">
        <f t="shared" si="87"/>
        <v>High</v>
      </c>
      <c r="V1359">
        <v>9</v>
      </c>
      <c r="W1359" t="s">
        <v>38</v>
      </c>
      <c r="X1359" s="2">
        <v>13</v>
      </c>
      <c r="Y1359" t="s">
        <v>60</v>
      </c>
      <c r="Z1359" t="s">
        <v>61</v>
      </c>
      <c r="AA1359">
        <v>1</v>
      </c>
      <c r="AB1359">
        <v>18</v>
      </c>
      <c r="AC1359">
        <v>3</v>
      </c>
      <c r="AD1359">
        <v>4</v>
      </c>
      <c r="AE1359">
        <v>13</v>
      </c>
      <c r="AF1359">
        <v>7</v>
      </c>
      <c r="AG1359">
        <v>5</v>
      </c>
      <c r="AH1359">
        <v>7</v>
      </c>
      <c r="AI1359" t="str">
        <f t="shared" si="84"/>
        <v>10+ Years</v>
      </c>
      <c r="AJ1359" t="str">
        <f t="shared" si="85"/>
        <v>3-5</v>
      </c>
    </row>
    <row r="1360" spans="1:36" x14ac:dyDescent="0.35">
      <c r="A1360">
        <v>1359</v>
      </c>
      <c r="B1360">
        <v>31</v>
      </c>
      <c r="C1360" t="str">
        <f t="shared" si="86"/>
        <v>26-35</v>
      </c>
      <c r="D1360" t="s">
        <v>38</v>
      </c>
      <c r="E1360" t="s">
        <v>32</v>
      </c>
      <c r="F1360" s="3">
        <v>1389</v>
      </c>
      <c r="G1360" t="s">
        <v>33</v>
      </c>
      <c r="H1360" s="1">
        <v>10</v>
      </c>
      <c r="I1360" t="s">
        <v>58</v>
      </c>
      <c r="J1360" t="s">
        <v>46</v>
      </c>
      <c r="K1360" t="s">
        <v>60</v>
      </c>
      <c r="L1360" t="s">
        <v>35</v>
      </c>
      <c r="M1360" s="3">
        <v>86</v>
      </c>
      <c r="N1360" t="s">
        <v>60</v>
      </c>
      <c r="O1360" t="s">
        <v>61</v>
      </c>
      <c r="P1360" t="s">
        <v>36</v>
      </c>
      <c r="Q1360" t="s">
        <v>62</v>
      </c>
      <c r="R1360" t="s">
        <v>47</v>
      </c>
      <c r="S1360" s="3">
        <v>6583</v>
      </c>
      <c r="T1360" s="3">
        <v>20115</v>
      </c>
      <c r="U1360" s="3" t="str">
        <f t="shared" si="87"/>
        <v>Medium</v>
      </c>
      <c r="V1360">
        <v>2</v>
      </c>
      <c r="W1360" t="s">
        <v>31</v>
      </c>
      <c r="X1360" s="2">
        <v>11</v>
      </c>
      <c r="Y1360" t="s">
        <v>60</v>
      </c>
      <c r="Z1360" t="s">
        <v>62</v>
      </c>
      <c r="AA1360">
        <v>1</v>
      </c>
      <c r="AB1360">
        <v>8</v>
      </c>
      <c r="AC1360">
        <v>2</v>
      </c>
      <c r="AD1360">
        <v>3</v>
      </c>
      <c r="AE1360">
        <v>5</v>
      </c>
      <c r="AF1360">
        <v>2</v>
      </c>
      <c r="AG1360">
        <v>1</v>
      </c>
      <c r="AH1360">
        <v>4</v>
      </c>
      <c r="AI1360" t="str">
        <f t="shared" si="84"/>
        <v>3-5 Years</v>
      </c>
      <c r="AJ1360" t="str">
        <f t="shared" si="85"/>
        <v>0-2</v>
      </c>
    </row>
    <row r="1361" spans="1:36" x14ac:dyDescent="0.35">
      <c r="A1361">
        <v>1360</v>
      </c>
      <c r="B1361">
        <v>34</v>
      </c>
      <c r="C1361" t="str">
        <f t="shared" si="86"/>
        <v>26-35</v>
      </c>
      <c r="D1361" t="s">
        <v>38</v>
      </c>
      <c r="E1361" t="s">
        <v>32</v>
      </c>
      <c r="F1361" s="3">
        <v>1389</v>
      </c>
      <c r="G1361" t="s">
        <v>33</v>
      </c>
      <c r="H1361" s="1">
        <v>3</v>
      </c>
      <c r="I1361" t="s">
        <v>59</v>
      </c>
      <c r="J1361" t="s">
        <v>46</v>
      </c>
      <c r="K1361" t="s">
        <v>62</v>
      </c>
      <c r="L1361" t="s">
        <v>35</v>
      </c>
      <c r="M1361" s="3">
        <v>75</v>
      </c>
      <c r="N1361" t="s">
        <v>61</v>
      </c>
      <c r="O1361" t="s">
        <v>61</v>
      </c>
      <c r="P1361" t="s">
        <v>36</v>
      </c>
      <c r="Q1361" t="s">
        <v>62</v>
      </c>
      <c r="R1361" t="s">
        <v>43</v>
      </c>
      <c r="S1361" s="3">
        <v>8103</v>
      </c>
      <c r="T1361" s="3">
        <v>16495</v>
      </c>
      <c r="U1361" s="3" t="str">
        <f t="shared" si="87"/>
        <v>Medium</v>
      </c>
      <c r="V1361">
        <v>3</v>
      </c>
      <c r="W1361" t="s">
        <v>31</v>
      </c>
      <c r="X1361" s="2">
        <v>12</v>
      </c>
      <c r="Y1361" t="s">
        <v>60</v>
      </c>
      <c r="Z1361" t="s">
        <v>60</v>
      </c>
      <c r="AA1361">
        <v>0</v>
      </c>
      <c r="AB1361">
        <v>9</v>
      </c>
      <c r="AC1361">
        <v>3</v>
      </c>
      <c r="AD1361">
        <v>2</v>
      </c>
      <c r="AE1361">
        <v>4</v>
      </c>
      <c r="AF1361">
        <v>2</v>
      </c>
      <c r="AG1361">
        <v>0</v>
      </c>
      <c r="AH1361">
        <v>1</v>
      </c>
      <c r="AI1361" t="str">
        <f t="shared" si="84"/>
        <v>3-5 Years</v>
      </c>
      <c r="AJ1361" t="str">
        <f t="shared" si="85"/>
        <v>0-2</v>
      </c>
    </row>
    <row r="1362" spans="1:36" x14ac:dyDescent="0.35">
      <c r="A1362">
        <v>1361</v>
      </c>
      <c r="B1362">
        <v>31</v>
      </c>
      <c r="C1362" t="str">
        <f t="shared" si="86"/>
        <v>26-35</v>
      </c>
      <c r="D1362" t="s">
        <v>38</v>
      </c>
      <c r="E1362" t="s">
        <v>32</v>
      </c>
      <c r="F1362" s="3">
        <v>1389</v>
      </c>
      <c r="G1362" t="s">
        <v>40</v>
      </c>
      <c r="H1362" s="1">
        <v>4</v>
      </c>
      <c r="I1362" t="s">
        <v>61</v>
      </c>
      <c r="J1362" t="s">
        <v>46</v>
      </c>
      <c r="K1362" t="s">
        <v>59</v>
      </c>
      <c r="L1362" t="s">
        <v>35</v>
      </c>
      <c r="M1362" s="3">
        <v>62</v>
      </c>
      <c r="N1362" t="s">
        <v>62</v>
      </c>
      <c r="O1362" t="s">
        <v>59</v>
      </c>
      <c r="P1362" t="s">
        <v>45</v>
      </c>
      <c r="Q1362" t="s">
        <v>60</v>
      </c>
      <c r="R1362" t="s">
        <v>47</v>
      </c>
      <c r="S1362" s="3">
        <v>3978</v>
      </c>
      <c r="T1362" s="3">
        <v>16031</v>
      </c>
      <c r="U1362" s="3" t="str">
        <f t="shared" si="87"/>
        <v>Low</v>
      </c>
      <c r="V1362">
        <v>8</v>
      </c>
      <c r="W1362" t="s">
        <v>38</v>
      </c>
      <c r="X1362" s="2">
        <v>12</v>
      </c>
      <c r="Y1362" t="s">
        <v>60</v>
      </c>
      <c r="Z1362" t="s">
        <v>61</v>
      </c>
      <c r="AA1362">
        <v>1</v>
      </c>
      <c r="AB1362">
        <v>4</v>
      </c>
      <c r="AC1362">
        <v>0</v>
      </c>
      <c r="AD1362">
        <v>2</v>
      </c>
      <c r="AE1362">
        <v>2</v>
      </c>
      <c r="AF1362">
        <v>2</v>
      </c>
      <c r="AG1362">
        <v>2</v>
      </c>
      <c r="AH1362">
        <v>2</v>
      </c>
      <c r="AI1362" t="str">
        <f t="shared" si="84"/>
        <v>0-2 Years</v>
      </c>
      <c r="AJ1362" t="str">
        <f t="shared" si="85"/>
        <v>0-2</v>
      </c>
    </row>
    <row r="1363" spans="1:36" x14ac:dyDescent="0.35">
      <c r="A1363">
        <v>1362</v>
      </c>
      <c r="B1363">
        <v>26</v>
      </c>
      <c r="C1363" t="str">
        <f t="shared" si="86"/>
        <v>26-35</v>
      </c>
      <c r="D1363" t="s">
        <v>38</v>
      </c>
      <c r="E1363" t="s">
        <v>39</v>
      </c>
      <c r="F1363" s="3">
        <v>1389</v>
      </c>
      <c r="G1363" t="s">
        <v>40</v>
      </c>
      <c r="H1363" s="1">
        <v>6</v>
      </c>
      <c r="I1363" t="s">
        <v>61</v>
      </c>
      <c r="J1363" t="s">
        <v>44</v>
      </c>
      <c r="K1363" t="s">
        <v>60</v>
      </c>
      <c r="L1363" t="s">
        <v>41</v>
      </c>
      <c r="M1363" s="3">
        <v>61</v>
      </c>
      <c r="N1363" t="s">
        <v>62</v>
      </c>
      <c r="O1363" t="s">
        <v>59</v>
      </c>
      <c r="P1363" t="s">
        <v>45</v>
      </c>
      <c r="Q1363" t="s">
        <v>62</v>
      </c>
      <c r="R1363" t="s">
        <v>43</v>
      </c>
      <c r="S1363" s="3">
        <v>2544</v>
      </c>
      <c r="T1363" s="3">
        <v>7102</v>
      </c>
      <c r="U1363" s="3" t="str">
        <f t="shared" si="87"/>
        <v>Low</v>
      </c>
      <c r="V1363">
        <v>0</v>
      </c>
      <c r="W1363" t="s">
        <v>38</v>
      </c>
      <c r="X1363" s="2">
        <v>18</v>
      </c>
      <c r="Y1363" t="s">
        <v>60</v>
      </c>
      <c r="Z1363" t="s">
        <v>59</v>
      </c>
      <c r="AA1363">
        <v>1</v>
      </c>
      <c r="AB1363">
        <v>8</v>
      </c>
      <c r="AC1363">
        <v>3</v>
      </c>
      <c r="AD1363">
        <v>3</v>
      </c>
      <c r="AE1363">
        <v>7</v>
      </c>
      <c r="AF1363">
        <v>7</v>
      </c>
      <c r="AG1363">
        <v>7</v>
      </c>
      <c r="AH1363">
        <v>7</v>
      </c>
      <c r="AI1363" t="str">
        <f t="shared" si="84"/>
        <v>6-10 Years</v>
      </c>
      <c r="AJ1363" t="str">
        <f t="shared" si="85"/>
        <v>6+</v>
      </c>
    </row>
    <row r="1364" spans="1:36" x14ac:dyDescent="0.35">
      <c r="A1364">
        <v>1363</v>
      </c>
      <c r="B1364">
        <v>45</v>
      </c>
      <c r="C1364" t="str">
        <f t="shared" si="86"/>
        <v>36-45</v>
      </c>
      <c r="D1364" t="s">
        <v>38</v>
      </c>
      <c r="E1364" t="s">
        <v>39</v>
      </c>
      <c r="F1364" s="3">
        <v>1389</v>
      </c>
      <c r="G1364" t="s">
        <v>40</v>
      </c>
      <c r="H1364" s="1">
        <v>1</v>
      </c>
      <c r="I1364" t="s">
        <v>60</v>
      </c>
      <c r="J1364" t="s">
        <v>46</v>
      </c>
      <c r="K1364" t="s">
        <v>61</v>
      </c>
      <c r="L1364" t="s">
        <v>41</v>
      </c>
      <c r="M1364" s="3">
        <v>44</v>
      </c>
      <c r="N1364" t="s">
        <v>60</v>
      </c>
      <c r="O1364" t="s">
        <v>61</v>
      </c>
      <c r="P1364" t="s">
        <v>49</v>
      </c>
      <c r="Q1364" t="s">
        <v>60</v>
      </c>
      <c r="R1364" t="s">
        <v>37</v>
      </c>
      <c r="S1364" s="3">
        <v>5399</v>
      </c>
      <c r="T1364" s="3">
        <v>14511</v>
      </c>
      <c r="U1364" s="3" t="str">
        <f t="shared" si="87"/>
        <v>Medium</v>
      </c>
      <c r="V1364">
        <v>4</v>
      </c>
      <c r="W1364" t="s">
        <v>38</v>
      </c>
      <c r="X1364" s="2">
        <v>12</v>
      </c>
      <c r="Y1364" t="s">
        <v>60</v>
      </c>
      <c r="Z1364" t="s">
        <v>60</v>
      </c>
      <c r="AA1364">
        <v>0</v>
      </c>
      <c r="AB1364">
        <v>12</v>
      </c>
      <c r="AC1364">
        <v>3</v>
      </c>
      <c r="AD1364">
        <v>3</v>
      </c>
      <c r="AE1364">
        <v>4</v>
      </c>
      <c r="AF1364">
        <v>2</v>
      </c>
      <c r="AG1364">
        <v>0</v>
      </c>
      <c r="AH1364">
        <v>3</v>
      </c>
      <c r="AI1364" t="str">
        <f t="shared" si="84"/>
        <v>3-5 Years</v>
      </c>
      <c r="AJ1364" t="str">
        <f t="shared" si="85"/>
        <v>0-2</v>
      </c>
    </row>
    <row r="1365" spans="1:36" x14ac:dyDescent="0.35">
      <c r="A1365">
        <v>1364</v>
      </c>
      <c r="B1365">
        <v>33</v>
      </c>
      <c r="C1365" t="str">
        <f t="shared" si="86"/>
        <v>26-35</v>
      </c>
      <c r="D1365" t="s">
        <v>38</v>
      </c>
      <c r="E1365" t="s">
        <v>32</v>
      </c>
      <c r="F1365" s="3">
        <v>1389</v>
      </c>
      <c r="G1365" t="s">
        <v>33</v>
      </c>
      <c r="H1365" s="1">
        <v>10</v>
      </c>
      <c r="I1365" t="s">
        <v>60</v>
      </c>
      <c r="J1365" t="s">
        <v>54</v>
      </c>
      <c r="K1365" t="s">
        <v>61</v>
      </c>
      <c r="L1365" t="s">
        <v>41</v>
      </c>
      <c r="M1365" s="3">
        <v>43</v>
      </c>
      <c r="N1365" t="s">
        <v>60</v>
      </c>
      <c r="O1365" t="s">
        <v>61</v>
      </c>
      <c r="P1365" t="s">
        <v>36</v>
      </c>
      <c r="Q1365" t="s">
        <v>60</v>
      </c>
      <c r="R1365" t="s">
        <v>37</v>
      </c>
      <c r="S1365" s="3">
        <v>5487</v>
      </c>
      <c r="T1365" s="3">
        <v>10410</v>
      </c>
      <c r="U1365" s="3" t="str">
        <f t="shared" si="87"/>
        <v>Medium</v>
      </c>
      <c r="V1365">
        <v>1</v>
      </c>
      <c r="W1365" t="s">
        <v>38</v>
      </c>
      <c r="X1365" s="2">
        <v>14</v>
      </c>
      <c r="Y1365" t="s">
        <v>60</v>
      </c>
      <c r="Z1365" t="s">
        <v>61</v>
      </c>
      <c r="AA1365">
        <v>0</v>
      </c>
      <c r="AB1365">
        <v>10</v>
      </c>
      <c r="AC1365">
        <v>2</v>
      </c>
      <c r="AD1365">
        <v>2</v>
      </c>
      <c r="AE1365">
        <v>10</v>
      </c>
      <c r="AF1365">
        <v>4</v>
      </c>
      <c r="AG1365">
        <v>0</v>
      </c>
      <c r="AH1365">
        <v>9</v>
      </c>
      <c r="AI1365" t="str">
        <f t="shared" si="84"/>
        <v>6-10 Years</v>
      </c>
      <c r="AJ1365" t="str">
        <f t="shared" si="85"/>
        <v>0-2</v>
      </c>
    </row>
    <row r="1366" spans="1:36" x14ac:dyDescent="0.35">
      <c r="A1366">
        <v>1365</v>
      </c>
      <c r="B1366">
        <v>28</v>
      </c>
      <c r="C1366" t="str">
        <f t="shared" si="86"/>
        <v>26-35</v>
      </c>
      <c r="D1366" t="s">
        <v>38</v>
      </c>
      <c r="E1366" t="s">
        <v>39</v>
      </c>
      <c r="F1366" s="3">
        <v>1389</v>
      </c>
      <c r="G1366" t="s">
        <v>33</v>
      </c>
      <c r="H1366" s="1">
        <v>1</v>
      </c>
      <c r="I1366" t="s">
        <v>58</v>
      </c>
      <c r="J1366" t="s">
        <v>34</v>
      </c>
      <c r="K1366" t="s">
        <v>60</v>
      </c>
      <c r="L1366" t="s">
        <v>41</v>
      </c>
      <c r="M1366" s="3">
        <v>42</v>
      </c>
      <c r="N1366" t="s">
        <v>61</v>
      </c>
      <c r="O1366" t="s">
        <v>61</v>
      </c>
      <c r="P1366" t="s">
        <v>36</v>
      </c>
      <c r="Q1366" t="s">
        <v>62</v>
      </c>
      <c r="R1366" t="s">
        <v>43</v>
      </c>
      <c r="S1366" s="3">
        <v>6834</v>
      </c>
      <c r="T1366" s="3">
        <v>19255</v>
      </c>
      <c r="U1366" s="3" t="str">
        <f t="shared" si="87"/>
        <v>Medium</v>
      </c>
      <c r="V1366">
        <v>1</v>
      </c>
      <c r="W1366" t="s">
        <v>31</v>
      </c>
      <c r="X1366" s="2">
        <v>12</v>
      </c>
      <c r="Y1366" t="s">
        <v>60</v>
      </c>
      <c r="Z1366" t="s">
        <v>60</v>
      </c>
      <c r="AA1366">
        <v>1</v>
      </c>
      <c r="AB1366">
        <v>7</v>
      </c>
      <c r="AC1366">
        <v>2</v>
      </c>
      <c r="AD1366">
        <v>3</v>
      </c>
      <c r="AE1366">
        <v>7</v>
      </c>
      <c r="AF1366">
        <v>7</v>
      </c>
      <c r="AG1366">
        <v>0</v>
      </c>
      <c r="AH1366">
        <v>7</v>
      </c>
      <c r="AI1366" t="str">
        <f t="shared" si="84"/>
        <v>6-10 Years</v>
      </c>
      <c r="AJ1366" t="str">
        <f t="shared" si="85"/>
        <v>0-2</v>
      </c>
    </row>
    <row r="1367" spans="1:36" x14ac:dyDescent="0.35">
      <c r="A1367">
        <v>1366</v>
      </c>
      <c r="B1367">
        <v>29</v>
      </c>
      <c r="C1367" t="str">
        <f t="shared" si="86"/>
        <v>26-35</v>
      </c>
      <c r="D1367" t="s">
        <v>31</v>
      </c>
      <c r="E1367" t="s">
        <v>39</v>
      </c>
      <c r="F1367" s="3">
        <v>1389</v>
      </c>
      <c r="G1367" t="s">
        <v>33</v>
      </c>
      <c r="H1367" s="1">
        <v>24</v>
      </c>
      <c r="I1367" t="s">
        <v>61</v>
      </c>
      <c r="J1367" t="s">
        <v>55</v>
      </c>
      <c r="K1367" t="s">
        <v>60</v>
      </c>
      <c r="L1367" t="s">
        <v>41</v>
      </c>
      <c r="M1367" s="3">
        <v>45</v>
      </c>
      <c r="N1367" t="s">
        <v>62</v>
      </c>
      <c r="O1367" t="s">
        <v>59</v>
      </c>
      <c r="P1367" t="s">
        <v>52</v>
      </c>
      <c r="Q1367" t="s">
        <v>59</v>
      </c>
      <c r="R1367" t="s">
        <v>37</v>
      </c>
      <c r="S1367" s="3">
        <v>1091</v>
      </c>
      <c r="T1367" s="3">
        <v>10642</v>
      </c>
      <c r="U1367" s="3" t="str">
        <f t="shared" si="87"/>
        <v>Low</v>
      </c>
      <c r="V1367">
        <v>1</v>
      </c>
      <c r="W1367" t="s">
        <v>38</v>
      </c>
      <c r="X1367" s="2">
        <v>17</v>
      </c>
      <c r="Y1367" t="s">
        <v>60</v>
      </c>
      <c r="Z1367" t="s">
        <v>62</v>
      </c>
      <c r="AA1367">
        <v>0</v>
      </c>
      <c r="AB1367">
        <v>1</v>
      </c>
      <c r="AC1367">
        <v>3</v>
      </c>
      <c r="AD1367">
        <v>3</v>
      </c>
      <c r="AE1367">
        <v>1</v>
      </c>
      <c r="AF1367">
        <v>0</v>
      </c>
      <c r="AG1367">
        <v>0</v>
      </c>
      <c r="AH1367">
        <v>0</v>
      </c>
      <c r="AI1367" t="str">
        <f t="shared" si="84"/>
        <v>0-2 Years</v>
      </c>
      <c r="AJ1367" t="str">
        <f t="shared" si="85"/>
        <v>0-2</v>
      </c>
    </row>
    <row r="1368" spans="1:36" x14ac:dyDescent="0.35">
      <c r="A1368">
        <v>1367</v>
      </c>
      <c r="B1368">
        <v>39</v>
      </c>
      <c r="C1368" t="str">
        <f t="shared" si="86"/>
        <v>36-45</v>
      </c>
      <c r="D1368" t="s">
        <v>38</v>
      </c>
      <c r="E1368" t="s">
        <v>50</v>
      </c>
      <c r="F1368" s="3">
        <v>1389</v>
      </c>
      <c r="G1368" t="s">
        <v>33</v>
      </c>
      <c r="H1368" s="1">
        <v>21</v>
      </c>
      <c r="I1368" t="s">
        <v>60</v>
      </c>
      <c r="J1368" t="s">
        <v>34</v>
      </c>
      <c r="K1368" t="s">
        <v>59</v>
      </c>
      <c r="L1368" t="s">
        <v>35</v>
      </c>
      <c r="M1368" s="3">
        <v>32</v>
      </c>
      <c r="N1368" t="s">
        <v>59</v>
      </c>
      <c r="O1368" t="s">
        <v>61</v>
      </c>
      <c r="P1368" t="s">
        <v>36</v>
      </c>
      <c r="Q1368" t="s">
        <v>60</v>
      </c>
      <c r="R1368" t="s">
        <v>43</v>
      </c>
      <c r="S1368" s="3">
        <v>5736</v>
      </c>
      <c r="T1368" s="3">
        <v>3987</v>
      </c>
      <c r="U1368" s="3" t="str">
        <f t="shared" si="87"/>
        <v>Medium</v>
      </c>
      <c r="V1368">
        <v>6</v>
      </c>
      <c r="W1368" t="s">
        <v>38</v>
      </c>
      <c r="X1368" s="2">
        <v>19</v>
      </c>
      <c r="Y1368" t="s">
        <v>60</v>
      </c>
      <c r="Z1368" t="s">
        <v>60</v>
      </c>
      <c r="AA1368">
        <v>1</v>
      </c>
      <c r="AB1368">
        <v>10</v>
      </c>
      <c r="AC1368">
        <v>1</v>
      </c>
      <c r="AD1368">
        <v>3</v>
      </c>
      <c r="AE1368">
        <v>3</v>
      </c>
      <c r="AF1368">
        <v>2</v>
      </c>
      <c r="AG1368">
        <v>1</v>
      </c>
      <c r="AH1368">
        <v>2</v>
      </c>
      <c r="AI1368" t="str">
        <f t="shared" si="84"/>
        <v>3-5 Years</v>
      </c>
      <c r="AJ1368" t="str">
        <f t="shared" si="85"/>
        <v>0-2</v>
      </c>
    </row>
    <row r="1369" spans="1:36" x14ac:dyDescent="0.35">
      <c r="A1369">
        <v>1368</v>
      </c>
      <c r="B1369">
        <v>27</v>
      </c>
      <c r="C1369" t="str">
        <f t="shared" si="86"/>
        <v>26-35</v>
      </c>
      <c r="D1369" t="s">
        <v>38</v>
      </c>
      <c r="E1369" t="s">
        <v>32</v>
      </c>
      <c r="F1369" s="3">
        <v>1389</v>
      </c>
      <c r="G1369" t="s">
        <v>40</v>
      </c>
      <c r="H1369" s="1">
        <v>2</v>
      </c>
      <c r="I1369" t="s">
        <v>60</v>
      </c>
      <c r="J1369" t="s">
        <v>55</v>
      </c>
      <c r="K1369" t="s">
        <v>61</v>
      </c>
      <c r="L1369" t="s">
        <v>41</v>
      </c>
      <c r="M1369" s="3">
        <v>41</v>
      </c>
      <c r="N1369" t="s">
        <v>60</v>
      </c>
      <c r="O1369" t="s">
        <v>59</v>
      </c>
      <c r="P1369" t="s">
        <v>42</v>
      </c>
      <c r="Q1369" t="s">
        <v>61</v>
      </c>
      <c r="R1369" t="s">
        <v>43</v>
      </c>
      <c r="S1369" s="3">
        <v>2226</v>
      </c>
      <c r="T1369" s="3">
        <v>6073</v>
      </c>
      <c r="U1369" s="3" t="str">
        <f t="shared" si="87"/>
        <v>Low</v>
      </c>
      <c r="V1369">
        <v>1</v>
      </c>
      <c r="W1369" t="s">
        <v>38</v>
      </c>
      <c r="X1369" s="2">
        <v>11</v>
      </c>
      <c r="Y1369" t="s">
        <v>60</v>
      </c>
      <c r="Z1369" t="s">
        <v>60</v>
      </c>
      <c r="AA1369">
        <v>1</v>
      </c>
      <c r="AB1369">
        <v>6</v>
      </c>
      <c r="AC1369">
        <v>3</v>
      </c>
      <c r="AD1369">
        <v>2</v>
      </c>
      <c r="AE1369">
        <v>5</v>
      </c>
      <c r="AF1369">
        <v>3</v>
      </c>
      <c r="AG1369">
        <v>1</v>
      </c>
      <c r="AH1369">
        <v>2</v>
      </c>
      <c r="AI1369" t="str">
        <f t="shared" si="84"/>
        <v>3-5 Years</v>
      </c>
      <c r="AJ1369" t="str">
        <f t="shared" si="85"/>
        <v>0-2</v>
      </c>
    </row>
    <row r="1370" spans="1:36" x14ac:dyDescent="0.35">
      <c r="A1370">
        <v>1369</v>
      </c>
      <c r="B1370">
        <v>34</v>
      </c>
      <c r="C1370" t="str">
        <f t="shared" si="86"/>
        <v>26-35</v>
      </c>
      <c r="D1370" t="s">
        <v>38</v>
      </c>
      <c r="E1370" t="s">
        <v>39</v>
      </c>
      <c r="F1370" s="3">
        <v>1389</v>
      </c>
      <c r="G1370" t="s">
        <v>40</v>
      </c>
      <c r="H1370" s="1">
        <v>22</v>
      </c>
      <c r="I1370" t="s">
        <v>60</v>
      </c>
      <c r="J1370" t="s">
        <v>44</v>
      </c>
      <c r="K1370" t="s">
        <v>60</v>
      </c>
      <c r="L1370" t="s">
        <v>41</v>
      </c>
      <c r="M1370" s="3">
        <v>86</v>
      </c>
      <c r="N1370" t="s">
        <v>61</v>
      </c>
      <c r="O1370" t="s">
        <v>61</v>
      </c>
      <c r="P1370" t="s">
        <v>42</v>
      </c>
      <c r="Q1370" t="s">
        <v>62</v>
      </c>
      <c r="R1370" t="s">
        <v>43</v>
      </c>
      <c r="S1370" s="3">
        <v>5747</v>
      </c>
      <c r="T1370" s="3">
        <v>26496</v>
      </c>
      <c r="U1370" s="3" t="str">
        <f t="shared" si="87"/>
        <v>Medium</v>
      </c>
      <c r="V1370">
        <v>1</v>
      </c>
      <c r="W1370" t="s">
        <v>31</v>
      </c>
      <c r="X1370" s="2">
        <v>15</v>
      </c>
      <c r="Y1370" t="s">
        <v>60</v>
      </c>
      <c r="Z1370" t="s">
        <v>61</v>
      </c>
      <c r="AA1370">
        <v>0</v>
      </c>
      <c r="AB1370">
        <v>16</v>
      </c>
      <c r="AC1370">
        <v>3</v>
      </c>
      <c r="AD1370">
        <v>3</v>
      </c>
      <c r="AE1370">
        <v>15</v>
      </c>
      <c r="AF1370">
        <v>10</v>
      </c>
      <c r="AG1370">
        <v>6</v>
      </c>
      <c r="AH1370">
        <v>11</v>
      </c>
      <c r="AI1370" t="str">
        <f t="shared" si="84"/>
        <v>10+ Years</v>
      </c>
      <c r="AJ1370" t="str">
        <f t="shared" si="85"/>
        <v>6+</v>
      </c>
    </row>
    <row r="1371" spans="1:36" x14ac:dyDescent="0.35">
      <c r="A1371">
        <v>1370</v>
      </c>
      <c r="B1371">
        <v>28</v>
      </c>
      <c r="C1371" t="str">
        <f t="shared" si="86"/>
        <v>26-35</v>
      </c>
      <c r="D1371" t="s">
        <v>31</v>
      </c>
      <c r="E1371" t="s">
        <v>32</v>
      </c>
      <c r="F1371" s="3">
        <v>1389</v>
      </c>
      <c r="G1371" t="s">
        <v>33</v>
      </c>
      <c r="H1371" s="1">
        <v>13</v>
      </c>
      <c r="I1371" t="s">
        <v>58</v>
      </c>
      <c r="J1371" t="s">
        <v>54</v>
      </c>
      <c r="K1371" t="s">
        <v>62</v>
      </c>
      <c r="L1371" t="s">
        <v>35</v>
      </c>
      <c r="M1371" s="3">
        <v>84</v>
      </c>
      <c r="N1371" t="s">
        <v>60</v>
      </c>
      <c r="O1371" t="s">
        <v>61</v>
      </c>
      <c r="P1371" t="s">
        <v>36</v>
      </c>
      <c r="Q1371" t="s">
        <v>60</v>
      </c>
      <c r="R1371" t="s">
        <v>37</v>
      </c>
      <c r="S1371" s="3">
        <v>9854</v>
      </c>
      <c r="T1371" s="3">
        <v>23352</v>
      </c>
      <c r="U1371" s="3" t="str">
        <f t="shared" si="87"/>
        <v>Medium</v>
      </c>
      <c r="V1371">
        <v>3</v>
      </c>
      <c r="W1371" t="s">
        <v>31</v>
      </c>
      <c r="X1371" s="2">
        <v>11</v>
      </c>
      <c r="Y1371" t="s">
        <v>60</v>
      </c>
      <c r="Z1371" t="s">
        <v>62</v>
      </c>
      <c r="AA1371">
        <v>0</v>
      </c>
      <c r="AB1371">
        <v>6</v>
      </c>
      <c r="AC1371">
        <v>0</v>
      </c>
      <c r="AD1371">
        <v>3</v>
      </c>
      <c r="AE1371">
        <v>2</v>
      </c>
      <c r="AF1371">
        <v>0</v>
      </c>
      <c r="AG1371">
        <v>2</v>
      </c>
      <c r="AH1371">
        <v>2</v>
      </c>
      <c r="AI1371" t="str">
        <f t="shared" si="84"/>
        <v>0-2 Years</v>
      </c>
      <c r="AJ1371" t="str">
        <f t="shared" si="85"/>
        <v>0-2</v>
      </c>
    </row>
    <row r="1372" spans="1:36" x14ac:dyDescent="0.35">
      <c r="A1372">
        <v>1371</v>
      </c>
      <c r="B1372">
        <v>47</v>
      </c>
      <c r="C1372" t="str">
        <f t="shared" si="86"/>
        <v>46-55</v>
      </c>
      <c r="D1372" t="s">
        <v>38</v>
      </c>
      <c r="E1372" t="s">
        <v>50</v>
      </c>
      <c r="F1372" s="3">
        <v>1389</v>
      </c>
      <c r="G1372" t="s">
        <v>40</v>
      </c>
      <c r="H1372" s="1">
        <v>14</v>
      </c>
      <c r="I1372" t="s">
        <v>60</v>
      </c>
      <c r="J1372" t="s">
        <v>55</v>
      </c>
      <c r="K1372" t="s">
        <v>60</v>
      </c>
      <c r="L1372" t="s">
        <v>41</v>
      </c>
      <c r="M1372" s="3">
        <v>64</v>
      </c>
      <c r="N1372" t="s">
        <v>60</v>
      </c>
      <c r="O1372" t="s">
        <v>61</v>
      </c>
      <c r="P1372" t="s">
        <v>42</v>
      </c>
      <c r="Q1372" t="s">
        <v>61</v>
      </c>
      <c r="R1372" t="s">
        <v>43</v>
      </c>
      <c r="S1372" s="3">
        <v>5467</v>
      </c>
      <c r="T1372" s="3">
        <v>2125</v>
      </c>
      <c r="U1372" s="3" t="str">
        <f t="shared" si="87"/>
        <v>Medium</v>
      </c>
      <c r="V1372">
        <v>8</v>
      </c>
      <c r="W1372" t="s">
        <v>38</v>
      </c>
      <c r="X1372" s="2">
        <v>18</v>
      </c>
      <c r="Y1372" t="s">
        <v>60</v>
      </c>
      <c r="Z1372" t="s">
        <v>60</v>
      </c>
      <c r="AA1372">
        <v>1</v>
      </c>
      <c r="AB1372">
        <v>16</v>
      </c>
      <c r="AC1372">
        <v>4</v>
      </c>
      <c r="AD1372">
        <v>4</v>
      </c>
      <c r="AE1372">
        <v>8</v>
      </c>
      <c r="AF1372">
        <v>7</v>
      </c>
      <c r="AG1372">
        <v>1</v>
      </c>
      <c r="AH1372">
        <v>7</v>
      </c>
      <c r="AI1372" t="str">
        <f t="shared" si="84"/>
        <v>6-10 Years</v>
      </c>
      <c r="AJ1372" t="str">
        <f t="shared" si="85"/>
        <v>0-2</v>
      </c>
    </row>
    <row r="1373" spans="1:36" x14ac:dyDescent="0.35">
      <c r="A1373">
        <v>1372</v>
      </c>
      <c r="B1373">
        <v>56</v>
      </c>
      <c r="C1373" t="str">
        <f t="shared" si="86"/>
        <v>55+</v>
      </c>
      <c r="D1373" t="s">
        <v>38</v>
      </c>
      <c r="E1373" t="s">
        <v>32</v>
      </c>
      <c r="F1373" s="3">
        <v>1389</v>
      </c>
      <c r="G1373" t="s">
        <v>33</v>
      </c>
      <c r="H1373" s="1">
        <v>11</v>
      </c>
      <c r="I1373" t="s">
        <v>62</v>
      </c>
      <c r="J1373" t="s">
        <v>54</v>
      </c>
      <c r="K1373" t="s">
        <v>62</v>
      </c>
      <c r="L1373" t="s">
        <v>35</v>
      </c>
      <c r="M1373" s="3">
        <v>89</v>
      </c>
      <c r="N1373" t="s">
        <v>61</v>
      </c>
      <c r="O1373" t="s">
        <v>61</v>
      </c>
      <c r="P1373" t="s">
        <v>36</v>
      </c>
      <c r="Q1373" t="s">
        <v>59</v>
      </c>
      <c r="R1373" t="s">
        <v>43</v>
      </c>
      <c r="S1373" s="3">
        <v>5380</v>
      </c>
      <c r="T1373" s="3">
        <v>20328</v>
      </c>
      <c r="U1373" s="3" t="str">
        <f t="shared" si="87"/>
        <v>Medium</v>
      </c>
      <c r="V1373">
        <v>4</v>
      </c>
      <c r="W1373" t="s">
        <v>38</v>
      </c>
      <c r="X1373" s="2">
        <v>16</v>
      </c>
      <c r="Y1373" t="s">
        <v>60</v>
      </c>
      <c r="Z1373" t="s">
        <v>60</v>
      </c>
      <c r="AA1373">
        <v>1</v>
      </c>
      <c r="AB1373">
        <v>6</v>
      </c>
      <c r="AC1373">
        <v>3</v>
      </c>
      <c r="AD1373">
        <v>3</v>
      </c>
      <c r="AE1373">
        <v>0</v>
      </c>
      <c r="AF1373">
        <v>0</v>
      </c>
      <c r="AG1373">
        <v>0</v>
      </c>
      <c r="AH1373">
        <v>0</v>
      </c>
      <c r="AI1373" t="str">
        <f t="shared" si="84"/>
        <v>0-2 Years</v>
      </c>
      <c r="AJ1373" t="str">
        <f t="shared" si="85"/>
        <v>0-2</v>
      </c>
    </row>
    <row r="1374" spans="1:36" x14ac:dyDescent="0.35">
      <c r="A1374">
        <v>1373</v>
      </c>
      <c r="B1374">
        <v>39</v>
      </c>
      <c r="C1374" t="str">
        <f t="shared" si="86"/>
        <v>36-45</v>
      </c>
      <c r="D1374" t="s">
        <v>38</v>
      </c>
      <c r="E1374" t="s">
        <v>32</v>
      </c>
      <c r="F1374" s="3">
        <v>1389</v>
      </c>
      <c r="G1374" t="s">
        <v>40</v>
      </c>
      <c r="H1374" s="1">
        <v>9</v>
      </c>
      <c r="I1374" t="s">
        <v>58</v>
      </c>
      <c r="J1374" t="s">
        <v>46</v>
      </c>
      <c r="K1374" t="s">
        <v>59</v>
      </c>
      <c r="L1374" t="s">
        <v>41</v>
      </c>
      <c r="M1374" s="3">
        <v>87</v>
      </c>
      <c r="N1374" t="s">
        <v>60</v>
      </c>
      <c r="O1374" t="s">
        <v>61</v>
      </c>
      <c r="P1374" t="s">
        <v>48</v>
      </c>
      <c r="Q1374" t="s">
        <v>59</v>
      </c>
      <c r="R1374" t="s">
        <v>43</v>
      </c>
      <c r="S1374" s="3">
        <v>5151</v>
      </c>
      <c r="T1374" s="3">
        <v>12315</v>
      </c>
      <c r="U1374" s="3" t="str">
        <f t="shared" si="87"/>
        <v>Medium</v>
      </c>
      <c r="V1374">
        <v>1</v>
      </c>
      <c r="W1374" t="s">
        <v>38</v>
      </c>
      <c r="X1374" s="2">
        <v>25</v>
      </c>
      <c r="Y1374" t="s">
        <v>62</v>
      </c>
      <c r="Z1374" t="s">
        <v>62</v>
      </c>
      <c r="AA1374">
        <v>1</v>
      </c>
      <c r="AB1374">
        <v>10</v>
      </c>
      <c r="AC1374">
        <v>3</v>
      </c>
      <c r="AD1374">
        <v>3</v>
      </c>
      <c r="AE1374">
        <v>10</v>
      </c>
      <c r="AF1374">
        <v>0</v>
      </c>
      <c r="AG1374">
        <v>7</v>
      </c>
      <c r="AH1374">
        <v>9</v>
      </c>
      <c r="AI1374" t="str">
        <f t="shared" si="84"/>
        <v>6-10 Years</v>
      </c>
      <c r="AJ1374" t="str">
        <f t="shared" si="85"/>
        <v>6+</v>
      </c>
    </row>
    <row r="1375" spans="1:36" x14ac:dyDescent="0.35">
      <c r="A1375">
        <v>1374</v>
      </c>
      <c r="B1375">
        <v>38</v>
      </c>
      <c r="C1375" t="str">
        <f t="shared" si="86"/>
        <v>36-45</v>
      </c>
      <c r="D1375" t="s">
        <v>38</v>
      </c>
      <c r="E1375" t="s">
        <v>39</v>
      </c>
      <c r="F1375" s="3">
        <v>1389</v>
      </c>
      <c r="G1375" t="s">
        <v>40</v>
      </c>
      <c r="H1375" s="1">
        <v>8</v>
      </c>
      <c r="I1375" t="s">
        <v>61</v>
      </c>
      <c r="J1375" t="s">
        <v>46</v>
      </c>
      <c r="K1375" t="s">
        <v>62</v>
      </c>
      <c r="L1375" t="s">
        <v>35</v>
      </c>
      <c r="M1375" s="3">
        <v>58</v>
      </c>
      <c r="N1375" t="s">
        <v>61</v>
      </c>
      <c r="O1375" t="s">
        <v>61</v>
      </c>
      <c r="P1375" t="s">
        <v>42</v>
      </c>
      <c r="Q1375" t="s">
        <v>61</v>
      </c>
      <c r="R1375" t="s">
        <v>47</v>
      </c>
      <c r="S1375" s="3">
        <v>2133</v>
      </c>
      <c r="T1375" s="3">
        <v>18115</v>
      </c>
      <c r="U1375" s="3" t="str">
        <f t="shared" si="87"/>
        <v>Low</v>
      </c>
      <c r="V1375">
        <v>1</v>
      </c>
      <c r="W1375" t="s">
        <v>31</v>
      </c>
      <c r="X1375" s="2">
        <v>16</v>
      </c>
      <c r="Y1375" t="s">
        <v>60</v>
      </c>
      <c r="Z1375" t="s">
        <v>60</v>
      </c>
      <c r="AA1375">
        <v>1</v>
      </c>
      <c r="AB1375">
        <v>20</v>
      </c>
      <c r="AC1375">
        <v>3</v>
      </c>
      <c r="AD1375">
        <v>3</v>
      </c>
      <c r="AE1375">
        <v>20</v>
      </c>
      <c r="AF1375">
        <v>11</v>
      </c>
      <c r="AG1375">
        <v>0</v>
      </c>
      <c r="AH1375">
        <v>7</v>
      </c>
      <c r="AI1375" t="str">
        <f t="shared" si="84"/>
        <v>10+ Years</v>
      </c>
      <c r="AJ1375" t="str">
        <f t="shared" si="85"/>
        <v>0-2</v>
      </c>
    </row>
    <row r="1376" spans="1:36" x14ac:dyDescent="0.35">
      <c r="A1376">
        <v>1375</v>
      </c>
      <c r="B1376">
        <v>58</v>
      </c>
      <c r="C1376" t="str">
        <f t="shared" si="86"/>
        <v>55+</v>
      </c>
      <c r="D1376" t="s">
        <v>38</v>
      </c>
      <c r="E1376" t="s">
        <v>32</v>
      </c>
      <c r="F1376" s="3">
        <v>1389</v>
      </c>
      <c r="G1376" t="s">
        <v>33</v>
      </c>
      <c r="H1376" s="1">
        <v>21</v>
      </c>
      <c r="I1376" t="s">
        <v>61</v>
      </c>
      <c r="J1376" t="s">
        <v>34</v>
      </c>
      <c r="K1376" t="s">
        <v>62</v>
      </c>
      <c r="L1376" t="s">
        <v>35</v>
      </c>
      <c r="M1376" s="3">
        <v>72</v>
      </c>
      <c r="N1376" t="s">
        <v>60</v>
      </c>
      <c r="O1376" t="s">
        <v>62</v>
      </c>
      <c r="P1376" t="s">
        <v>51</v>
      </c>
      <c r="Q1376" t="s">
        <v>62</v>
      </c>
      <c r="R1376" t="s">
        <v>43</v>
      </c>
      <c r="S1376" s="3">
        <v>17875</v>
      </c>
      <c r="T1376" s="3">
        <v>11761</v>
      </c>
      <c r="U1376" s="3" t="str">
        <f t="shared" si="87"/>
        <v>High</v>
      </c>
      <c r="V1376">
        <v>4</v>
      </c>
      <c r="W1376" t="s">
        <v>31</v>
      </c>
      <c r="X1376" s="2">
        <v>13</v>
      </c>
      <c r="Y1376" t="s">
        <v>60</v>
      </c>
      <c r="Z1376" t="s">
        <v>60</v>
      </c>
      <c r="AA1376">
        <v>1</v>
      </c>
      <c r="AB1376">
        <v>29</v>
      </c>
      <c r="AC1376">
        <v>2</v>
      </c>
      <c r="AD1376">
        <v>2</v>
      </c>
      <c r="AE1376">
        <v>1</v>
      </c>
      <c r="AF1376">
        <v>0</v>
      </c>
      <c r="AG1376">
        <v>0</v>
      </c>
      <c r="AH1376">
        <v>0</v>
      </c>
      <c r="AI1376" t="str">
        <f t="shared" si="84"/>
        <v>0-2 Years</v>
      </c>
      <c r="AJ1376" t="str">
        <f t="shared" si="85"/>
        <v>0-2</v>
      </c>
    </row>
    <row r="1377" spans="1:36" x14ac:dyDescent="0.35">
      <c r="A1377">
        <v>1376</v>
      </c>
      <c r="B1377">
        <v>32</v>
      </c>
      <c r="C1377" t="str">
        <f t="shared" si="86"/>
        <v>26-35</v>
      </c>
      <c r="D1377" t="s">
        <v>31</v>
      </c>
      <c r="E1377" t="s">
        <v>39</v>
      </c>
      <c r="F1377" s="3">
        <v>1389</v>
      </c>
      <c r="G1377" t="s">
        <v>40</v>
      </c>
      <c r="H1377" s="1">
        <v>5</v>
      </c>
      <c r="I1377" t="s">
        <v>58</v>
      </c>
      <c r="J1377" t="s">
        <v>34</v>
      </c>
      <c r="K1377" t="s">
        <v>59</v>
      </c>
      <c r="L1377" t="s">
        <v>35</v>
      </c>
      <c r="M1377" s="3">
        <v>47</v>
      </c>
      <c r="N1377" t="s">
        <v>62</v>
      </c>
      <c r="O1377" t="s">
        <v>59</v>
      </c>
      <c r="P1377" t="s">
        <v>42</v>
      </c>
      <c r="Q1377" t="s">
        <v>60</v>
      </c>
      <c r="R1377" t="s">
        <v>37</v>
      </c>
      <c r="S1377" s="3">
        <v>2432</v>
      </c>
      <c r="T1377" s="3">
        <v>15318</v>
      </c>
      <c r="U1377" s="3" t="str">
        <f t="shared" si="87"/>
        <v>Low</v>
      </c>
      <c r="V1377">
        <v>3</v>
      </c>
      <c r="W1377" t="s">
        <v>31</v>
      </c>
      <c r="X1377" s="2">
        <v>14</v>
      </c>
      <c r="Y1377" t="s">
        <v>60</v>
      </c>
      <c r="Z1377" t="s">
        <v>59</v>
      </c>
      <c r="AA1377">
        <v>0</v>
      </c>
      <c r="AB1377">
        <v>8</v>
      </c>
      <c r="AC1377">
        <v>2</v>
      </c>
      <c r="AD1377">
        <v>3</v>
      </c>
      <c r="AE1377">
        <v>4</v>
      </c>
      <c r="AF1377">
        <v>1</v>
      </c>
      <c r="AG1377">
        <v>0</v>
      </c>
      <c r="AH1377">
        <v>3</v>
      </c>
      <c r="AI1377" t="str">
        <f t="shared" si="84"/>
        <v>3-5 Years</v>
      </c>
      <c r="AJ1377" t="str">
        <f t="shared" si="85"/>
        <v>0-2</v>
      </c>
    </row>
    <row r="1378" spans="1:36" x14ac:dyDescent="0.35">
      <c r="A1378">
        <v>1377</v>
      </c>
      <c r="B1378">
        <v>38</v>
      </c>
      <c r="C1378" t="str">
        <f t="shared" si="86"/>
        <v>36-45</v>
      </c>
      <c r="D1378" t="s">
        <v>38</v>
      </c>
      <c r="E1378" t="s">
        <v>32</v>
      </c>
      <c r="F1378" s="3">
        <v>1389</v>
      </c>
      <c r="G1378" t="s">
        <v>40</v>
      </c>
      <c r="H1378" s="1">
        <v>9</v>
      </c>
      <c r="I1378" t="s">
        <v>58</v>
      </c>
      <c r="J1378" t="s">
        <v>34</v>
      </c>
      <c r="K1378" t="s">
        <v>61</v>
      </c>
      <c r="L1378" t="s">
        <v>41</v>
      </c>
      <c r="M1378" s="3">
        <v>71</v>
      </c>
      <c r="N1378" t="s">
        <v>60</v>
      </c>
      <c r="O1378" t="s">
        <v>59</v>
      </c>
      <c r="P1378" t="s">
        <v>42</v>
      </c>
      <c r="Q1378" t="s">
        <v>62</v>
      </c>
      <c r="R1378" t="s">
        <v>47</v>
      </c>
      <c r="S1378" s="3">
        <v>4771</v>
      </c>
      <c r="T1378" s="3">
        <v>14293</v>
      </c>
      <c r="U1378" s="3" t="str">
        <f t="shared" si="87"/>
        <v>Low</v>
      </c>
      <c r="V1378">
        <v>2</v>
      </c>
      <c r="W1378" t="s">
        <v>38</v>
      </c>
      <c r="X1378" s="2">
        <v>19</v>
      </c>
      <c r="Y1378" t="s">
        <v>60</v>
      </c>
      <c r="Z1378" t="s">
        <v>62</v>
      </c>
      <c r="AA1378">
        <v>2</v>
      </c>
      <c r="AB1378">
        <v>10</v>
      </c>
      <c r="AC1378">
        <v>0</v>
      </c>
      <c r="AD1378">
        <v>4</v>
      </c>
      <c r="AE1378">
        <v>5</v>
      </c>
      <c r="AF1378">
        <v>2</v>
      </c>
      <c r="AG1378">
        <v>0</v>
      </c>
      <c r="AH1378">
        <v>3</v>
      </c>
      <c r="AI1378" t="str">
        <f t="shared" si="84"/>
        <v>3-5 Years</v>
      </c>
      <c r="AJ1378" t="str">
        <f t="shared" si="85"/>
        <v>0-2</v>
      </c>
    </row>
    <row r="1379" spans="1:36" x14ac:dyDescent="0.35">
      <c r="A1379">
        <v>1378</v>
      </c>
      <c r="B1379">
        <v>49</v>
      </c>
      <c r="C1379" t="str">
        <f t="shared" si="86"/>
        <v>46-55</v>
      </c>
      <c r="D1379" t="s">
        <v>38</v>
      </c>
      <c r="E1379" t="s">
        <v>39</v>
      </c>
      <c r="F1379" s="3">
        <v>1389</v>
      </c>
      <c r="G1379" t="s">
        <v>40</v>
      </c>
      <c r="H1379" s="1">
        <v>2</v>
      </c>
      <c r="I1379" t="s">
        <v>59</v>
      </c>
      <c r="J1379" t="s">
        <v>34</v>
      </c>
      <c r="K1379" t="s">
        <v>61</v>
      </c>
      <c r="L1379" t="s">
        <v>41</v>
      </c>
      <c r="M1379" s="3">
        <v>42</v>
      </c>
      <c r="N1379" t="s">
        <v>60</v>
      </c>
      <c r="O1379" t="e">
        <v>#N/A</v>
      </c>
      <c r="P1379" t="s">
        <v>53</v>
      </c>
      <c r="Q1379" t="s">
        <v>62</v>
      </c>
      <c r="R1379" t="s">
        <v>43</v>
      </c>
      <c r="S1379" s="3">
        <v>19161</v>
      </c>
      <c r="T1379" s="3">
        <v>13738</v>
      </c>
      <c r="U1379" s="3" t="str">
        <f t="shared" si="87"/>
        <v>High</v>
      </c>
      <c r="V1379">
        <v>3</v>
      </c>
      <c r="W1379" t="s">
        <v>38</v>
      </c>
      <c r="X1379" s="2">
        <v>15</v>
      </c>
      <c r="Y1379" t="s">
        <v>60</v>
      </c>
      <c r="Z1379" t="s">
        <v>62</v>
      </c>
      <c r="AA1379">
        <v>0</v>
      </c>
      <c r="AB1379">
        <v>28</v>
      </c>
      <c r="AC1379">
        <v>3</v>
      </c>
      <c r="AD1379">
        <v>3</v>
      </c>
      <c r="AE1379">
        <v>5</v>
      </c>
      <c r="AF1379">
        <v>4</v>
      </c>
      <c r="AG1379">
        <v>4</v>
      </c>
      <c r="AH1379">
        <v>3</v>
      </c>
      <c r="AI1379" t="str">
        <f t="shared" si="84"/>
        <v>3-5 Years</v>
      </c>
      <c r="AJ1379" t="str">
        <f t="shared" si="85"/>
        <v>3-5</v>
      </c>
    </row>
    <row r="1380" spans="1:36" x14ac:dyDescent="0.35">
      <c r="A1380">
        <v>1379</v>
      </c>
      <c r="B1380">
        <v>42</v>
      </c>
      <c r="C1380" t="str">
        <f t="shared" si="86"/>
        <v>36-45</v>
      </c>
      <c r="D1380" t="s">
        <v>38</v>
      </c>
      <c r="E1380" t="s">
        <v>32</v>
      </c>
      <c r="F1380" s="3">
        <v>1389</v>
      </c>
      <c r="G1380" t="s">
        <v>33</v>
      </c>
      <c r="H1380" s="1">
        <v>12</v>
      </c>
      <c r="I1380" t="s">
        <v>60</v>
      </c>
      <c r="J1380" t="s">
        <v>54</v>
      </c>
      <c r="K1380" t="s">
        <v>61</v>
      </c>
      <c r="L1380" t="s">
        <v>41</v>
      </c>
      <c r="M1380" s="3">
        <v>77</v>
      </c>
      <c r="N1380" t="s">
        <v>60</v>
      </c>
      <c r="O1380" t="s">
        <v>61</v>
      </c>
      <c r="P1380" t="s">
        <v>36</v>
      </c>
      <c r="Q1380" t="s">
        <v>62</v>
      </c>
      <c r="R1380" t="s">
        <v>47</v>
      </c>
      <c r="S1380" s="3">
        <v>5087</v>
      </c>
      <c r="T1380" s="3">
        <v>2900</v>
      </c>
      <c r="U1380" s="3" t="str">
        <f t="shared" si="87"/>
        <v>Medium</v>
      </c>
      <c r="V1380">
        <v>3</v>
      </c>
      <c r="W1380" t="s">
        <v>31</v>
      </c>
      <c r="X1380" s="2">
        <v>12</v>
      </c>
      <c r="Y1380" t="s">
        <v>60</v>
      </c>
      <c r="Z1380" t="s">
        <v>60</v>
      </c>
      <c r="AA1380">
        <v>2</v>
      </c>
      <c r="AB1380">
        <v>14</v>
      </c>
      <c r="AC1380">
        <v>4</v>
      </c>
      <c r="AD1380">
        <v>3</v>
      </c>
      <c r="AE1380">
        <v>0</v>
      </c>
      <c r="AF1380">
        <v>0</v>
      </c>
      <c r="AG1380">
        <v>0</v>
      </c>
      <c r="AH1380">
        <v>0</v>
      </c>
      <c r="AI1380" t="str">
        <f t="shared" si="84"/>
        <v>0-2 Years</v>
      </c>
      <c r="AJ1380" t="str">
        <f t="shared" si="85"/>
        <v>0-2</v>
      </c>
    </row>
    <row r="1381" spans="1:36" x14ac:dyDescent="0.35">
      <c r="A1381">
        <v>1380</v>
      </c>
      <c r="B1381">
        <v>27</v>
      </c>
      <c r="C1381" t="str">
        <f t="shared" si="86"/>
        <v>26-35</v>
      </c>
      <c r="D1381" t="s">
        <v>31</v>
      </c>
      <c r="E1381" t="s">
        <v>39</v>
      </c>
      <c r="F1381" s="3">
        <v>1389</v>
      </c>
      <c r="G1381" t="s">
        <v>56</v>
      </c>
      <c r="H1381" s="1">
        <v>22</v>
      </c>
      <c r="I1381" t="s">
        <v>61</v>
      </c>
      <c r="J1381" t="s">
        <v>56</v>
      </c>
      <c r="K1381" t="s">
        <v>59</v>
      </c>
      <c r="L1381" t="s">
        <v>35</v>
      </c>
      <c r="M1381" s="3">
        <v>58</v>
      </c>
      <c r="N1381" t="s">
        <v>61</v>
      </c>
      <c r="O1381" t="s">
        <v>59</v>
      </c>
      <c r="P1381" t="s">
        <v>56</v>
      </c>
      <c r="Q1381" t="s">
        <v>61</v>
      </c>
      <c r="R1381" t="s">
        <v>43</v>
      </c>
      <c r="S1381" s="3">
        <v>2863</v>
      </c>
      <c r="T1381" s="3">
        <v>19555</v>
      </c>
      <c r="U1381" s="3" t="str">
        <f t="shared" si="87"/>
        <v>Low</v>
      </c>
      <c r="V1381">
        <v>1</v>
      </c>
      <c r="W1381" t="s">
        <v>38</v>
      </c>
      <c r="X1381" s="2">
        <v>12</v>
      </c>
      <c r="Y1381" t="s">
        <v>60</v>
      </c>
      <c r="Z1381" t="s">
        <v>59</v>
      </c>
      <c r="AA1381">
        <v>0</v>
      </c>
      <c r="AB1381">
        <v>1</v>
      </c>
      <c r="AC1381">
        <v>2</v>
      </c>
      <c r="AD1381">
        <v>3</v>
      </c>
      <c r="AE1381">
        <v>1</v>
      </c>
      <c r="AF1381">
        <v>0</v>
      </c>
      <c r="AG1381">
        <v>0</v>
      </c>
      <c r="AH1381">
        <v>0</v>
      </c>
      <c r="AI1381" t="str">
        <f t="shared" si="84"/>
        <v>0-2 Years</v>
      </c>
      <c r="AJ1381" t="str">
        <f t="shared" si="85"/>
        <v>0-2</v>
      </c>
    </row>
    <row r="1382" spans="1:36" x14ac:dyDescent="0.35">
      <c r="A1382">
        <v>1381</v>
      </c>
      <c r="B1382">
        <v>35</v>
      </c>
      <c r="C1382" t="str">
        <f t="shared" si="86"/>
        <v>26-35</v>
      </c>
      <c r="D1382" t="s">
        <v>38</v>
      </c>
      <c r="E1382" t="s">
        <v>32</v>
      </c>
      <c r="F1382" s="3">
        <v>1389</v>
      </c>
      <c r="G1382" t="s">
        <v>33</v>
      </c>
      <c r="H1382" s="1">
        <v>18</v>
      </c>
      <c r="I1382" t="s">
        <v>60</v>
      </c>
      <c r="J1382" t="s">
        <v>46</v>
      </c>
      <c r="K1382" t="s">
        <v>61</v>
      </c>
      <c r="L1382" t="s">
        <v>41</v>
      </c>
      <c r="M1382" s="3">
        <v>71</v>
      </c>
      <c r="N1382" t="s">
        <v>60</v>
      </c>
      <c r="O1382" t="s">
        <v>61</v>
      </c>
      <c r="P1382" t="s">
        <v>36</v>
      </c>
      <c r="Q1382" t="s">
        <v>59</v>
      </c>
      <c r="R1382" t="s">
        <v>43</v>
      </c>
      <c r="S1382" s="3">
        <v>5561</v>
      </c>
      <c r="T1382" s="3">
        <v>15975</v>
      </c>
      <c r="U1382" s="3" t="str">
        <f t="shared" si="87"/>
        <v>Medium</v>
      </c>
      <c r="V1382">
        <v>0</v>
      </c>
      <c r="W1382" t="s">
        <v>38</v>
      </c>
      <c r="X1382" s="2">
        <v>16</v>
      </c>
      <c r="Y1382" t="s">
        <v>60</v>
      </c>
      <c r="Z1382" t="s">
        <v>62</v>
      </c>
      <c r="AA1382">
        <v>1</v>
      </c>
      <c r="AB1382">
        <v>6</v>
      </c>
      <c r="AC1382">
        <v>2</v>
      </c>
      <c r="AD1382">
        <v>1</v>
      </c>
      <c r="AE1382">
        <v>5</v>
      </c>
      <c r="AF1382">
        <v>3</v>
      </c>
      <c r="AG1382">
        <v>0</v>
      </c>
      <c r="AH1382">
        <v>4</v>
      </c>
      <c r="AI1382" t="str">
        <f t="shared" si="84"/>
        <v>3-5 Years</v>
      </c>
      <c r="AJ1382" t="str">
        <f t="shared" si="85"/>
        <v>0-2</v>
      </c>
    </row>
    <row r="1383" spans="1:36" x14ac:dyDescent="0.35">
      <c r="A1383">
        <v>1382</v>
      </c>
      <c r="B1383">
        <v>28</v>
      </c>
      <c r="C1383" t="str">
        <f t="shared" si="86"/>
        <v>26-35</v>
      </c>
      <c r="D1383" t="s">
        <v>38</v>
      </c>
      <c r="E1383" t="s">
        <v>50</v>
      </c>
      <c r="F1383" s="3">
        <v>1389</v>
      </c>
      <c r="G1383" t="s">
        <v>40</v>
      </c>
      <c r="H1383" s="1">
        <v>16</v>
      </c>
      <c r="I1383" t="s">
        <v>61</v>
      </c>
      <c r="J1383" t="s">
        <v>46</v>
      </c>
      <c r="K1383" t="s">
        <v>60</v>
      </c>
      <c r="L1383" t="s">
        <v>41</v>
      </c>
      <c r="M1383" s="3">
        <v>49</v>
      </c>
      <c r="N1383" t="s">
        <v>60</v>
      </c>
      <c r="O1383" t="s">
        <v>59</v>
      </c>
      <c r="P1383" t="s">
        <v>42</v>
      </c>
      <c r="Q1383" t="s">
        <v>60</v>
      </c>
      <c r="R1383" t="s">
        <v>37</v>
      </c>
      <c r="S1383" s="3">
        <v>2144</v>
      </c>
      <c r="T1383" s="3">
        <v>2122</v>
      </c>
      <c r="U1383" s="3" t="str">
        <f t="shared" si="87"/>
        <v>Low</v>
      </c>
      <c r="V1383">
        <v>1</v>
      </c>
      <c r="W1383" t="s">
        <v>38</v>
      </c>
      <c r="X1383" s="2">
        <v>14</v>
      </c>
      <c r="Y1383" t="s">
        <v>60</v>
      </c>
      <c r="Z1383" t="s">
        <v>60</v>
      </c>
      <c r="AA1383">
        <v>0</v>
      </c>
      <c r="AB1383">
        <v>5</v>
      </c>
      <c r="AC1383">
        <v>3</v>
      </c>
      <c r="AD1383">
        <v>2</v>
      </c>
      <c r="AE1383">
        <v>5</v>
      </c>
      <c r="AF1383">
        <v>3</v>
      </c>
      <c r="AG1383">
        <v>1</v>
      </c>
      <c r="AH1383">
        <v>4</v>
      </c>
      <c r="AI1383" t="str">
        <f t="shared" si="84"/>
        <v>3-5 Years</v>
      </c>
      <c r="AJ1383" t="str">
        <f t="shared" si="85"/>
        <v>0-2</v>
      </c>
    </row>
    <row r="1384" spans="1:36" x14ac:dyDescent="0.35">
      <c r="A1384">
        <v>1383</v>
      </c>
      <c r="B1384">
        <v>31</v>
      </c>
      <c r="C1384" t="str">
        <f t="shared" si="86"/>
        <v>26-35</v>
      </c>
      <c r="D1384" t="s">
        <v>38</v>
      </c>
      <c r="E1384" t="s">
        <v>50</v>
      </c>
      <c r="F1384" s="3">
        <v>1389</v>
      </c>
      <c r="G1384" t="s">
        <v>40</v>
      </c>
      <c r="H1384" s="1">
        <v>3</v>
      </c>
      <c r="I1384" t="s">
        <v>58</v>
      </c>
      <c r="J1384" t="s">
        <v>46</v>
      </c>
      <c r="K1384" t="s">
        <v>60</v>
      </c>
      <c r="L1384" t="s">
        <v>41</v>
      </c>
      <c r="M1384" s="3">
        <v>48</v>
      </c>
      <c r="N1384" t="s">
        <v>60</v>
      </c>
      <c r="O1384" t="s">
        <v>59</v>
      </c>
      <c r="P1384" t="s">
        <v>42</v>
      </c>
      <c r="Q1384" t="s">
        <v>59</v>
      </c>
      <c r="R1384" t="s">
        <v>47</v>
      </c>
      <c r="S1384" s="3">
        <v>3065</v>
      </c>
      <c r="T1384" s="3">
        <v>3995</v>
      </c>
      <c r="U1384" s="3" t="str">
        <f t="shared" si="87"/>
        <v>Low</v>
      </c>
      <c r="V1384">
        <v>1</v>
      </c>
      <c r="W1384" t="s">
        <v>31</v>
      </c>
      <c r="X1384" s="2">
        <v>13</v>
      </c>
      <c r="Y1384" t="s">
        <v>60</v>
      </c>
      <c r="Z1384" t="s">
        <v>62</v>
      </c>
      <c r="AA1384">
        <v>1</v>
      </c>
      <c r="AB1384">
        <v>4</v>
      </c>
      <c r="AC1384">
        <v>3</v>
      </c>
      <c r="AD1384">
        <v>4</v>
      </c>
      <c r="AE1384">
        <v>4</v>
      </c>
      <c r="AF1384">
        <v>2</v>
      </c>
      <c r="AG1384">
        <v>2</v>
      </c>
      <c r="AH1384">
        <v>3</v>
      </c>
      <c r="AI1384" t="str">
        <f t="shared" si="84"/>
        <v>3-5 Years</v>
      </c>
      <c r="AJ1384" t="str">
        <f t="shared" si="85"/>
        <v>0-2</v>
      </c>
    </row>
    <row r="1385" spans="1:36" x14ac:dyDescent="0.35">
      <c r="A1385">
        <v>1384</v>
      </c>
      <c r="B1385">
        <v>36</v>
      </c>
      <c r="C1385" t="str">
        <f t="shared" si="86"/>
        <v>36-45</v>
      </c>
      <c r="D1385" t="s">
        <v>38</v>
      </c>
      <c r="E1385" t="s">
        <v>50</v>
      </c>
      <c r="F1385" s="3">
        <v>1389</v>
      </c>
      <c r="G1385" t="s">
        <v>40</v>
      </c>
      <c r="H1385" s="1">
        <v>9</v>
      </c>
      <c r="I1385" t="s">
        <v>60</v>
      </c>
      <c r="J1385" t="s">
        <v>34</v>
      </c>
      <c r="K1385" t="s">
        <v>59</v>
      </c>
      <c r="L1385" t="s">
        <v>41</v>
      </c>
      <c r="M1385" s="3">
        <v>66</v>
      </c>
      <c r="N1385" t="s">
        <v>62</v>
      </c>
      <c r="O1385" t="s">
        <v>59</v>
      </c>
      <c r="P1385" t="s">
        <v>45</v>
      </c>
      <c r="Q1385" t="s">
        <v>61</v>
      </c>
      <c r="R1385" t="s">
        <v>43</v>
      </c>
      <c r="S1385" s="3">
        <v>2810</v>
      </c>
      <c r="T1385" s="3">
        <v>9238</v>
      </c>
      <c r="U1385" s="3" t="str">
        <f t="shared" si="87"/>
        <v>Low</v>
      </c>
      <c r="V1385">
        <v>1</v>
      </c>
      <c r="W1385" t="s">
        <v>38</v>
      </c>
      <c r="X1385" s="2">
        <v>22</v>
      </c>
      <c r="Y1385" t="s">
        <v>62</v>
      </c>
      <c r="Z1385" t="s">
        <v>61</v>
      </c>
      <c r="AA1385">
        <v>0</v>
      </c>
      <c r="AB1385">
        <v>5</v>
      </c>
      <c r="AC1385">
        <v>3</v>
      </c>
      <c r="AD1385">
        <v>3</v>
      </c>
      <c r="AE1385">
        <v>5</v>
      </c>
      <c r="AF1385">
        <v>4</v>
      </c>
      <c r="AG1385">
        <v>0</v>
      </c>
      <c r="AH1385">
        <v>2</v>
      </c>
      <c r="AI1385" t="str">
        <f t="shared" si="84"/>
        <v>3-5 Years</v>
      </c>
      <c r="AJ1385" t="str">
        <f t="shared" si="85"/>
        <v>0-2</v>
      </c>
    </row>
    <row r="1386" spans="1:36" x14ac:dyDescent="0.35">
      <c r="A1386">
        <v>1385</v>
      </c>
      <c r="B1386">
        <v>34</v>
      </c>
      <c r="C1386" t="str">
        <f t="shared" si="86"/>
        <v>26-35</v>
      </c>
      <c r="D1386" t="s">
        <v>38</v>
      </c>
      <c r="E1386" t="s">
        <v>32</v>
      </c>
      <c r="F1386" s="3">
        <v>1389</v>
      </c>
      <c r="G1386" t="s">
        <v>33</v>
      </c>
      <c r="H1386" s="1">
        <v>1</v>
      </c>
      <c r="I1386" t="s">
        <v>61</v>
      </c>
      <c r="J1386" t="s">
        <v>54</v>
      </c>
      <c r="K1386" t="s">
        <v>59</v>
      </c>
      <c r="L1386" t="s">
        <v>41</v>
      </c>
      <c r="M1386" s="3">
        <v>32</v>
      </c>
      <c r="N1386" t="s">
        <v>60</v>
      </c>
      <c r="O1386" t="s">
        <v>60</v>
      </c>
      <c r="P1386" t="s">
        <v>36</v>
      </c>
      <c r="Q1386" t="s">
        <v>62</v>
      </c>
      <c r="R1386" t="s">
        <v>37</v>
      </c>
      <c r="S1386" s="3">
        <v>9888</v>
      </c>
      <c r="T1386" s="3">
        <v>6770</v>
      </c>
      <c r="U1386" s="3" t="str">
        <f t="shared" si="87"/>
        <v>Medium</v>
      </c>
      <c r="V1386">
        <v>1</v>
      </c>
      <c r="W1386" t="s">
        <v>38</v>
      </c>
      <c r="X1386" s="2">
        <v>21</v>
      </c>
      <c r="Y1386" t="s">
        <v>62</v>
      </c>
      <c r="Z1386" t="s">
        <v>59</v>
      </c>
      <c r="AA1386">
        <v>0</v>
      </c>
      <c r="AB1386">
        <v>14</v>
      </c>
      <c r="AC1386">
        <v>3</v>
      </c>
      <c r="AD1386">
        <v>2</v>
      </c>
      <c r="AE1386">
        <v>14</v>
      </c>
      <c r="AF1386">
        <v>8</v>
      </c>
      <c r="AG1386">
        <v>2</v>
      </c>
      <c r="AH1386">
        <v>1</v>
      </c>
      <c r="AI1386" t="str">
        <f t="shared" si="84"/>
        <v>10+ Years</v>
      </c>
      <c r="AJ1386" t="str">
        <f t="shared" si="85"/>
        <v>0-2</v>
      </c>
    </row>
    <row r="1387" spans="1:36" x14ac:dyDescent="0.35">
      <c r="A1387">
        <v>1386</v>
      </c>
      <c r="B1387">
        <v>34</v>
      </c>
      <c r="C1387" t="str">
        <f t="shared" si="86"/>
        <v>26-35</v>
      </c>
      <c r="D1387" t="s">
        <v>38</v>
      </c>
      <c r="E1387" t="s">
        <v>32</v>
      </c>
      <c r="F1387" s="3">
        <v>1389</v>
      </c>
      <c r="G1387" t="s">
        <v>33</v>
      </c>
      <c r="H1387" s="1">
        <v>13</v>
      </c>
      <c r="I1387" t="s">
        <v>60</v>
      </c>
      <c r="J1387" t="s">
        <v>46</v>
      </c>
      <c r="K1387" t="s">
        <v>62</v>
      </c>
      <c r="L1387" t="s">
        <v>41</v>
      </c>
      <c r="M1387" s="3">
        <v>39</v>
      </c>
      <c r="N1387" t="s">
        <v>60</v>
      </c>
      <c r="O1387" t="s">
        <v>60</v>
      </c>
      <c r="P1387" t="s">
        <v>36</v>
      </c>
      <c r="Q1387" t="s">
        <v>60</v>
      </c>
      <c r="R1387" t="s">
        <v>47</v>
      </c>
      <c r="S1387" s="3">
        <v>8628</v>
      </c>
      <c r="T1387" s="3">
        <v>22914</v>
      </c>
      <c r="U1387" s="3" t="str">
        <f t="shared" si="87"/>
        <v>Medium</v>
      </c>
      <c r="V1387">
        <v>1</v>
      </c>
      <c r="W1387" t="s">
        <v>38</v>
      </c>
      <c r="X1387" s="2">
        <v>18</v>
      </c>
      <c r="Y1387" t="s">
        <v>60</v>
      </c>
      <c r="Z1387" t="s">
        <v>60</v>
      </c>
      <c r="AA1387">
        <v>1</v>
      </c>
      <c r="AB1387">
        <v>9</v>
      </c>
      <c r="AC1387">
        <v>2</v>
      </c>
      <c r="AD1387">
        <v>2</v>
      </c>
      <c r="AE1387">
        <v>8</v>
      </c>
      <c r="AF1387">
        <v>7</v>
      </c>
      <c r="AG1387">
        <v>1</v>
      </c>
      <c r="AH1387">
        <v>1</v>
      </c>
      <c r="AI1387" t="str">
        <f t="shared" si="84"/>
        <v>6-10 Years</v>
      </c>
      <c r="AJ1387" t="str">
        <f t="shared" si="85"/>
        <v>0-2</v>
      </c>
    </row>
    <row r="1388" spans="1:36" x14ac:dyDescent="0.35">
      <c r="A1388">
        <v>1387</v>
      </c>
      <c r="B1388">
        <v>26</v>
      </c>
      <c r="C1388" t="str">
        <f t="shared" si="86"/>
        <v>26-35</v>
      </c>
      <c r="D1388" t="s">
        <v>38</v>
      </c>
      <c r="E1388" t="s">
        <v>32</v>
      </c>
      <c r="F1388" s="3">
        <v>1389</v>
      </c>
      <c r="G1388" t="s">
        <v>40</v>
      </c>
      <c r="H1388" s="1">
        <v>1</v>
      </c>
      <c r="I1388" t="s">
        <v>61</v>
      </c>
      <c r="J1388" t="s">
        <v>46</v>
      </c>
      <c r="K1388" t="s">
        <v>60</v>
      </c>
      <c r="L1388" t="s">
        <v>41</v>
      </c>
      <c r="M1388" s="3">
        <v>95</v>
      </c>
      <c r="N1388" t="s">
        <v>60</v>
      </c>
      <c r="O1388" t="s">
        <v>59</v>
      </c>
      <c r="P1388" t="s">
        <v>45</v>
      </c>
      <c r="Q1388" t="s">
        <v>59</v>
      </c>
      <c r="R1388" t="s">
        <v>37</v>
      </c>
      <c r="S1388" s="3">
        <v>2867</v>
      </c>
      <c r="T1388" s="3">
        <v>20006</v>
      </c>
      <c r="U1388" s="3" t="str">
        <f t="shared" si="87"/>
        <v>Low</v>
      </c>
      <c r="V1388">
        <v>0</v>
      </c>
      <c r="W1388" t="s">
        <v>38</v>
      </c>
      <c r="X1388" s="2">
        <v>13</v>
      </c>
      <c r="Y1388" t="s">
        <v>60</v>
      </c>
      <c r="Z1388" t="s">
        <v>62</v>
      </c>
      <c r="AA1388">
        <v>0</v>
      </c>
      <c r="AB1388">
        <v>8</v>
      </c>
      <c r="AC1388">
        <v>6</v>
      </c>
      <c r="AD1388">
        <v>2</v>
      </c>
      <c r="AE1388">
        <v>7</v>
      </c>
      <c r="AF1388">
        <v>7</v>
      </c>
      <c r="AG1388">
        <v>7</v>
      </c>
      <c r="AH1388">
        <v>6</v>
      </c>
      <c r="AI1388" t="str">
        <f t="shared" si="84"/>
        <v>6-10 Years</v>
      </c>
      <c r="AJ1388" t="str">
        <f t="shared" si="85"/>
        <v>6+</v>
      </c>
    </row>
    <row r="1389" spans="1:36" x14ac:dyDescent="0.35">
      <c r="A1389">
        <v>1388</v>
      </c>
      <c r="B1389">
        <v>29</v>
      </c>
      <c r="C1389" t="str">
        <f t="shared" si="86"/>
        <v>26-35</v>
      </c>
      <c r="D1389" t="s">
        <v>38</v>
      </c>
      <c r="E1389" t="s">
        <v>32</v>
      </c>
      <c r="F1389" s="3">
        <v>1389</v>
      </c>
      <c r="G1389" t="s">
        <v>40</v>
      </c>
      <c r="H1389" s="1">
        <v>1</v>
      </c>
      <c r="I1389" t="s">
        <v>61</v>
      </c>
      <c r="J1389" t="s">
        <v>34</v>
      </c>
      <c r="K1389" t="s">
        <v>59</v>
      </c>
      <c r="L1389" t="s">
        <v>41</v>
      </c>
      <c r="M1389" s="3">
        <v>89</v>
      </c>
      <c r="N1389" t="s">
        <v>60</v>
      </c>
      <c r="O1389" t="s">
        <v>61</v>
      </c>
      <c r="P1389" t="s">
        <v>49</v>
      </c>
      <c r="Q1389" t="s">
        <v>59</v>
      </c>
      <c r="R1389" t="s">
        <v>43</v>
      </c>
      <c r="S1389" s="3">
        <v>5373</v>
      </c>
      <c r="T1389" s="3">
        <v>6225</v>
      </c>
      <c r="U1389" s="3" t="str">
        <f t="shared" si="87"/>
        <v>Medium</v>
      </c>
      <c r="V1389">
        <v>0</v>
      </c>
      <c r="W1389" t="s">
        <v>38</v>
      </c>
      <c r="X1389" s="2">
        <v>12</v>
      </c>
      <c r="Y1389" t="s">
        <v>60</v>
      </c>
      <c r="Z1389" t="s">
        <v>59</v>
      </c>
      <c r="AA1389">
        <v>1</v>
      </c>
      <c r="AB1389">
        <v>6</v>
      </c>
      <c r="AC1389">
        <v>5</v>
      </c>
      <c r="AD1389">
        <v>2</v>
      </c>
      <c r="AE1389">
        <v>5</v>
      </c>
      <c r="AF1389">
        <v>3</v>
      </c>
      <c r="AG1389">
        <v>0</v>
      </c>
      <c r="AH1389">
        <v>2</v>
      </c>
      <c r="AI1389" t="str">
        <f t="shared" si="84"/>
        <v>3-5 Years</v>
      </c>
      <c r="AJ1389" t="str">
        <f t="shared" si="85"/>
        <v>0-2</v>
      </c>
    </row>
    <row r="1390" spans="1:36" x14ac:dyDescent="0.35">
      <c r="A1390">
        <v>1389</v>
      </c>
      <c r="B1390">
        <v>32</v>
      </c>
      <c r="C1390" t="str">
        <f t="shared" si="86"/>
        <v>26-35</v>
      </c>
      <c r="D1390" t="s">
        <v>38</v>
      </c>
      <c r="E1390" t="s">
        <v>50</v>
      </c>
      <c r="F1390" s="3">
        <v>1389</v>
      </c>
      <c r="G1390" t="s">
        <v>40</v>
      </c>
      <c r="H1390" s="1">
        <v>15</v>
      </c>
      <c r="I1390" t="s">
        <v>60</v>
      </c>
      <c r="J1390" t="s">
        <v>46</v>
      </c>
      <c r="K1390" t="s">
        <v>60</v>
      </c>
      <c r="L1390" t="s">
        <v>35</v>
      </c>
      <c r="M1390" s="3">
        <v>34</v>
      </c>
      <c r="N1390" t="s">
        <v>60</v>
      </c>
      <c r="O1390" t="s">
        <v>61</v>
      </c>
      <c r="P1390" t="s">
        <v>49</v>
      </c>
      <c r="Q1390" t="s">
        <v>62</v>
      </c>
      <c r="R1390" t="s">
        <v>47</v>
      </c>
      <c r="S1390" s="3">
        <v>6667</v>
      </c>
      <c r="T1390" s="3">
        <v>16542</v>
      </c>
      <c r="U1390" s="3" t="str">
        <f t="shared" si="87"/>
        <v>Medium</v>
      </c>
      <c r="V1390">
        <v>5</v>
      </c>
      <c r="W1390" t="s">
        <v>38</v>
      </c>
      <c r="X1390" s="2">
        <v>18</v>
      </c>
      <c r="Y1390" t="s">
        <v>60</v>
      </c>
      <c r="Z1390" t="s">
        <v>61</v>
      </c>
      <c r="AA1390">
        <v>1</v>
      </c>
      <c r="AB1390">
        <v>9</v>
      </c>
      <c r="AC1390">
        <v>6</v>
      </c>
      <c r="AD1390">
        <v>3</v>
      </c>
      <c r="AE1390">
        <v>5</v>
      </c>
      <c r="AF1390">
        <v>1</v>
      </c>
      <c r="AG1390">
        <v>1</v>
      </c>
      <c r="AH1390">
        <v>2</v>
      </c>
      <c r="AI1390" t="str">
        <f t="shared" si="84"/>
        <v>3-5 Years</v>
      </c>
      <c r="AJ1390" t="str">
        <f t="shared" si="85"/>
        <v>0-2</v>
      </c>
    </row>
    <row r="1391" spans="1:36" x14ac:dyDescent="0.35">
      <c r="A1391">
        <v>1390</v>
      </c>
      <c r="B1391">
        <v>31</v>
      </c>
      <c r="C1391" t="str">
        <f t="shared" si="86"/>
        <v>26-35</v>
      </c>
      <c r="D1391" t="s">
        <v>38</v>
      </c>
      <c r="E1391" t="s">
        <v>39</v>
      </c>
      <c r="F1391" s="3">
        <v>1389</v>
      </c>
      <c r="G1391" t="s">
        <v>40</v>
      </c>
      <c r="H1391" s="1">
        <v>1</v>
      </c>
      <c r="I1391" t="s">
        <v>61</v>
      </c>
      <c r="J1391" t="s">
        <v>34</v>
      </c>
      <c r="K1391" t="s">
        <v>62</v>
      </c>
      <c r="L1391" t="s">
        <v>41</v>
      </c>
      <c r="M1391" s="3">
        <v>48</v>
      </c>
      <c r="N1391" t="s">
        <v>59</v>
      </c>
      <c r="O1391" t="s">
        <v>61</v>
      </c>
      <c r="P1391" t="s">
        <v>42</v>
      </c>
      <c r="Q1391" t="s">
        <v>59</v>
      </c>
      <c r="R1391" t="s">
        <v>43</v>
      </c>
      <c r="S1391" s="3">
        <v>5003</v>
      </c>
      <c r="T1391" s="3">
        <v>5771</v>
      </c>
      <c r="U1391" s="3" t="str">
        <f t="shared" si="87"/>
        <v>Medium</v>
      </c>
      <c r="V1391">
        <v>1</v>
      </c>
      <c r="W1391" t="s">
        <v>38</v>
      </c>
      <c r="X1391" s="2">
        <v>21</v>
      </c>
      <c r="Y1391" t="s">
        <v>62</v>
      </c>
      <c r="Z1391" t="s">
        <v>61</v>
      </c>
      <c r="AA1391">
        <v>0</v>
      </c>
      <c r="AB1391">
        <v>10</v>
      </c>
      <c r="AC1391">
        <v>6</v>
      </c>
      <c r="AD1391">
        <v>3</v>
      </c>
      <c r="AE1391">
        <v>10</v>
      </c>
      <c r="AF1391">
        <v>8</v>
      </c>
      <c r="AG1391">
        <v>8</v>
      </c>
      <c r="AH1391">
        <v>7</v>
      </c>
      <c r="AI1391" t="str">
        <f t="shared" si="84"/>
        <v>6-10 Years</v>
      </c>
      <c r="AJ1391" t="str">
        <f t="shared" si="85"/>
        <v>6+</v>
      </c>
    </row>
    <row r="1392" spans="1:36" x14ac:dyDescent="0.35">
      <c r="A1392">
        <v>1391</v>
      </c>
      <c r="B1392">
        <v>28</v>
      </c>
      <c r="C1392" t="str">
        <f t="shared" si="86"/>
        <v>26-35</v>
      </c>
      <c r="D1392" t="s">
        <v>31</v>
      </c>
      <c r="E1392" t="s">
        <v>32</v>
      </c>
      <c r="F1392" s="3">
        <v>1389</v>
      </c>
      <c r="G1392" t="s">
        <v>40</v>
      </c>
      <c r="H1392" s="1">
        <v>17</v>
      </c>
      <c r="I1392" t="s">
        <v>61</v>
      </c>
      <c r="J1392" t="s">
        <v>55</v>
      </c>
      <c r="K1392" t="s">
        <v>60</v>
      </c>
      <c r="L1392" t="s">
        <v>41</v>
      </c>
      <c r="M1392" s="3">
        <v>32</v>
      </c>
      <c r="N1392" t="s">
        <v>61</v>
      </c>
      <c r="O1392" t="s">
        <v>59</v>
      </c>
      <c r="P1392" t="s">
        <v>45</v>
      </c>
      <c r="Q1392" t="s">
        <v>62</v>
      </c>
      <c r="R1392" t="s">
        <v>47</v>
      </c>
      <c r="S1392" s="3">
        <v>2367</v>
      </c>
      <c r="T1392" s="3">
        <v>18779</v>
      </c>
      <c r="U1392" s="3" t="str">
        <f t="shared" si="87"/>
        <v>Low</v>
      </c>
      <c r="V1392">
        <v>5</v>
      </c>
      <c r="W1392" t="s">
        <v>38</v>
      </c>
      <c r="X1392" s="2">
        <v>12</v>
      </c>
      <c r="Y1392" t="s">
        <v>60</v>
      </c>
      <c r="Z1392" t="s">
        <v>59</v>
      </c>
      <c r="AA1392">
        <v>1</v>
      </c>
      <c r="AB1392">
        <v>6</v>
      </c>
      <c r="AC1392">
        <v>2</v>
      </c>
      <c r="AD1392">
        <v>2</v>
      </c>
      <c r="AE1392">
        <v>4</v>
      </c>
      <c r="AF1392">
        <v>1</v>
      </c>
      <c r="AG1392">
        <v>0</v>
      </c>
      <c r="AH1392">
        <v>3</v>
      </c>
      <c r="AI1392" t="str">
        <f t="shared" si="84"/>
        <v>3-5 Years</v>
      </c>
      <c r="AJ1392" t="str">
        <f t="shared" si="85"/>
        <v>0-2</v>
      </c>
    </row>
    <row r="1393" spans="1:36" x14ac:dyDescent="0.35">
      <c r="A1393">
        <v>1392</v>
      </c>
      <c r="B1393">
        <v>38</v>
      </c>
      <c r="C1393" t="str">
        <f t="shared" si="86"/>
        <v>36-45</v>
      </c>
      <c r="D1393" t="s">
        <v>38</v>
      </c>
      <c r="E1393" t="s">
        <v>32</v>
      </c>
      <c r="F1393" s="3">
        <v>1389</v>
      </c>
      <c r="G1393" t="s">
        <v>33</v>
      </c>
      <c r="H1393" s="1">
        <v>1</v>
      </c>
      <c r="I1393" t="s">
        <v>61</v>
      </c>
      <c r="J1393" t="s">
        <v>34</v>
      </c>
      <c r="K1393" t="s">
        <v>59</v>
      </c>
      <c r="L1393" t="s">
        <v>41</v>
      </c>
      <c r="M1393" s="3">
        <v>59</v>
      </c>
      <c r="N1393" t="s">
        <v>61</v>
      </c>
      <c r="O1393" t="s">
        <v>59</v>
      </c>
      <c r="P1393" t="s">
        <v>52</v>
      </c>
      <c r="Q1393" t="s">
        <v>59</v>
      </c>
      <c r="R1393" t="s">
        <v>37</v>
      </c>
      <c r="S1393" s="3">
        <v>2858</v>
      </c>
      <c r="T1393" s="3">
        <v>11473</v>
      </c>
      <c r="U1393" s="3" t="str">
        <f t="shared" si="87"/>
        <v>Low</v>
      </c>
      <c r="V1393">
        <v>4</v>
      </c>
      <c r="W1393" t="s">
        <v>38</v>
      </c>
      <c r="X1393" s="2">
        <v>14</v>
      </c>
      <c r="Y1393" t="s">
        <v>60</v>
      </c>
      <c r="Z1393" t="s">
        <v>59</v>
      </c>
      <c r="AA1393">
        <v>0</v>
      </c>
      <c r="AB1393">
        <v>20</v>
      </c>
      <c r="AC1393">
        <v>3</v>
      </c>
      <c r="AD1393">
        <v>2</v>
      </c>
      <c r="AE1393">
        <v>1</v>
      </c>
      <c r="AF1393">
        <v>0</v>
      </c>
      <c r="AG1393">
        <v>0</v>
      </c>
      <c r="AH1393">
        <v>0</v>
      </c>
      <c r="AI1393" t="str">
        <f t="shared" si="84"/>
        <v>0-2 Years</v>
      </c>
      <c r="AJ1393" t="str">
        <f t="shared" si="85"/>
        <v>0-2</v>
      </c>
    </row>
    <row r="1394" spans="1:36" x14ac:dyDescent="0.35">
      <c r="A1394">
        <v>1393</v>
      </c>
      <c r="B1394">
        <v>35</v>
      </c>
      <c r="C1394" t="str">
        <f t="shared" si="86"/>
        <v>26-35</v>
      </c>
      <c r="D1394" t="s">
        <v>38</v>
      </c>
      <c r="E1394" t="s">
        <v>32</v>
      </c>
      <c r="F1394" s="3">
        <v>1389</v>
      </c>
      <c r="G1394" t="s">
        <v>33</v>
      </c>
      <c r="H1394" s="1">
        <v>7</v>
      </c>
      <c r="I1394" t="s">
        <v>60</v>
      </c>
      <c r="J1394" t="s">
        <v>34</v>
      </c>
      <c r="K1394" t="s">
        <v>60</v>
      </c>
      <c r="L1394" t="s">
        <v>35</v>
      </c>
      <c r="M1394" s="3">
        <v>55</v>
      </c>
      <c r="N1394" t="s">
        <v>60</v>
      </c>
      <c r="O1394" t="s">
        <v>61</v>
      </c>
      <c r="P1394" t="s">
        <v>36</v>
      </c>
      <c r="Q1394" t="s">
        <v>62</v>
      </c>
      <c r="R1394" t="s">
        <v>43</v>
      </c>
      <c r="S1394" s="3">
        <v>5204</v>
      </c>
      <c r="T1394" s="3">
        <v>13586</v>
      </c>
      <c r="U1394" s="3" t="str">
        <f t="shared" si="87"/>
        <v>Medium</v>
      </c>
      <c r="V1394">
        <v>1</v>
      </c>
      <c r="W1394" t="s">
        <v>31</v>
      </c>
      <c r="X1394" s="2">
        <v>11</v>
      </c>
      <c r="Y1394" t="s">
        <v>60</v>
      </c>
      <c r="Z1394" t="s">
        <v>62</v>
      </c>
      <c r="AA1394">
        <v>0</v>
      </c>
      <c r="AB1394">
        <v>10</v>
      </c>
      <c r="AC1394">
        <v>2</v>
      </c>
      <c r="AD1394">
        <v>3</v>
      </c>
      <c r="AE1394">
        <v>10</v>
      </c>
      <c r="AF1394">
        <v>8</v>
      </c>
      <c r="AG1394">
        <v>0</v>
      </c>
      <c r="AH1394">
        <v>9</v>
      </c>
      <c r="AI1394" t="str">
        <f t="shared" si="84"/>
        <v>6-10 Years</v>
      </c>
      <c r="AJ1394" t="str">
        <f t="shared" si="85"/>
        <v>0-2</v>
      </c>
    </row>
    <row r="1395" spans="1:36" x14ac:dyDescent="0.35">
      <c r="A1395">
        <v>1394</v>
      </c>
      <c r="B1395">
        <v>27</v>
      </c>
      <c r="C1395" t="str">
        <f t="shared" si="86"/>
        <v>26-35</v>
      </c>
      <c r="D1395" t="s">
        <v>38</v>
      </c>
      <c r="E1395" t="s">
        <v>32</v>
      </c>
      <c r="F1395" s="3">
        <v>1389</v>
      </c>
      <c r="G1395" t="s">
        <v>33</v>
      </c>
      <c r="H1395" s="1">
        <v>9</v>
      </c>
      <c r="I1395" t="s">
        <v>61</v>
      </c>
      <c r="J1395" t="s">
        <v>54</v>
      </c>
      <c r="K1395" t="s">
        <v>62</v>
      </c>
      <c r="L1395" t="s">
        <v>41</v>
      </c>
      <c r="M1395" s="3">
        <v>44</v>
      </c>
      <c r="N1395" t="s">
        <v>60</v>
      </c>
      <c r="O1395" t="s">
        <v>61</v>
      </c>
      <c r="P1395" t="s">
        <v>36</v>
      </c>
      <c r="Q1395" t="s">
        <v>62</v>
      </c>
      <c r="R1395" t="s">
        <v>37</v>
      </c>
      <c r="S1395" s="3">
        <v>4105</v>
      </c>
      <c r="T1395" s="3">
        <v>5099</v>
      </c>
      <c r="U1395" s="3" t="str">
        <f t="shared" si="87"/>
        <v>Low</v>
      </c>
      <c r="V1395">
        <v>1</v>
      </c>
      <c r="W1395" t="s">
        <v>38</v>
      </c>
      <c r="X1395" s="2">
        <v>14</v>
      </c>
      <c r="Y1395" t="s">
        <v>60</v>
      </c>
      <c r="Z1395" t="s">
        <v>59</v>
      </c>
      <c r="AA1395">
        <v>0</v>
      </c>
      <c r="AB1395">
        <v>7</v>
      </c>
      <c r="AC1395">
        <v>5</v>
      </c>
      <c r="AD1395">
        <v>3</v>
      </c>
      <c r="AE1395">
        <v>7</v>
      </c>
      <c r="AF1395">
        <v>7</v>
      </c>
      <c r="AG1395">
        <v>0</v>
      </c>
      <c r="AH1395">
        <v>7</v>
      </c>
      <c r="AI1395" t="str">
        <f t="shared" si="84"/>
        <v>6-10 Years</v>
      </c>
      <c r="AJ1395" t="str">
        <f t="shared" si="85"/>
        <v>0-2</v>
      </c>
    </row>
    <row r="1396" spans="1:36" x14ac:dyDescent="0.35">
      <c r="A1396">
        <v>1395</v>
      </c>
      <c r="B1396">
        <v>32</v>
      </c>
      <c r="C1396" t="str">
        <f t="shared" si="86"/>
        <v>26-35</v>
      </c>
      <c r="D1396" t="s">
        <v>38</v>
      </c>
      <c r="E1396" t="s">
        <v>32</v>
      </c>
      <c r="F1396" s="3">
        <v>1389</v>
      </c>
      <c r="G1396" t="s">
        <v>40</v>
      </c>
      <c r="H1396" s="1">
        <v>5</v>
      </c>
      <c r="I1396" t="s">
        <v>60</v>
      </c>
      <c r="J1396" t="s">
        <v>34</v>
      </c>
      <c r="K1396" t="s">
        <v>62</v>
      </c>
      <c r="L1396" t="s">
        <v>41</v>
      </c>
      <c r="M1396" s="3">
        <v>56</v>
      </c>
      <c r="N1396" t="s">
        <v>61</v>
      </c>
      <c r="O1396" t="s">
        <v>61</v>
      </c>
      <c r="P1396" t="s">
        <v>48</v>
      </c>
      <c r="Q1396" t="s">
        <v>62</v>
      </c>
      <c r="R1396" t="s">
        <v>37</v>
      </c>
      <c r="S1396" s="3">
        <v>9679</v>
      </c>
      <c r="T1396" s="3">
        <v>10138</v>
      </c>
      <c r="U1396" s="3" t="str">
        <f t="shared" si="87"/>
        <v>Medium</v>
      </c>
      <c r="V1396">
        <v>8</v>
      </c>
      <c r="W1396" t="s">
        <v>38</v>
      </c>
      <c r="X1396" s="2">
        <v>24</v>
      </c>
      <c r="Y1396" t="s">
        <v>62</v>
      </c>
      <c r="Z1396" t="s">
        <v>61</v>
      </c>
      <c r="AA1396">
        <v>0</v>
      </c>
      <c r="AB1396">
        <v>8</v>
      </c>
      <c r="AC1396">
        <v>1</v>
      </c>
      <c r="AD1396">
        <v>3</v>
      </c>
      <c r="AE1396">
        <v>1</v>
      </c>
      <c r="AF1396">
        <v>0</v>
      </c>
      <c r="AG1396">
        <v>0</v>
      </c>
      <c r="AH1396">
        <v>0</v>
      </c>
      <c r="AI1396" t="str">
        <f t="shared" si="84"/>
        <v>0-2 Years</v>
      </c>
      <c r="AJ1396" t="str">
        <f t="shared" si="85"/>
        <v>0-2</v>
      </c>
    </row>
    <row r="1397" spans="1:36" x14ac:dyDescent="0.35">
      <c r="A1397">
        <v>1396</v>
      </c>
      <c r="B1397">
        <v>31</v>
      </c>
      <c r="C1397" t="str">
        <f t="shared" si="86"/>
        <v>26-35</v>
      </c>
      <c r="D1397" t="s">
        <v>31</v>
      </c>
      <c r="E1397" t="s">
        <v>39</v>
      </c>
      <c r="F1397" s="3">
        <v>1389</v>
      </c>
      <c r="G1397" t="s">
        <v>33</v>
      </c>
      <c r="H1397" s="1">
        <v>26</v>
      </c>
      <c r="I1397" t="s">
        <v>60</v>
      </c>
      <c r="J1397" t="s">
        <v>54</v>
      </c>
      <c r="K1397" t="s">
        <v>59</v>
      </c>
      <c r="L1397" t="s">
        <v>41</v>
      </c>
      <c r="M1397" s="3">
        <v>63</v>
      </c>
      <c r="N1397" t="s">
        <v>60</v>
      </c>
      <c r="O1397" t="s">
        <v>61</v>
      </c>
      <c r="P1397" t="s">
        <v>36</v>
      </c>
      <c r="Q1397" t="s">
        <v>62</v>
      </c>
      <c r="R1397" t="s">
        <v>43</v>
      </c>
      <c r="S1397" s="3">
        <v>5617</v>
      </c>
      <c r="T1397" s="3">
        <v>21075</v>
      </c>
      <c r="U1397" s="3" t="str">
        <f t="shared" si="87"/>
        <v>Medium</v>
      </c>
      <c r="V1397">
        <v>1</v>
      </c>
      <c r="W1397" t="s">
        <v>31</v>
      </c>
      <c r="X1397" s="2">
        <v>11</v>
      </c>
      <c r="Y1397" t="s">
        <v>60</v>
      </c>
      <c r="Z1397" t="s">
        <v>60</v>
      </c>
      <c r="AA1397">
        <v>0</v>
      </c>
      <c r="AB1397">
        <v>10</v>
      </c>
      <c r="AC1397">
        <v>4</v>
      </c>
      <c r="AD1397">
        <v>3</v>
      </c>
      <c r="AE1397">
        <v>10</v>
      </c>
      <c r="AF1397">
        <v>7</v>
      </c>
      <c r="AG1397">
        <v>0</v>
      </c>
      <c r="AH1397">
        <v>8</v>
      </c>
      <c r="AI1397" t="str">
        <f t="shared" si="84"/>
        <v>6-10 Years</v>
      </c>
      <c r="AJ1397" t="str">
        <f t="shared" si="85"/>
        <v>0-2</v>
      </c>
    </row>
    <row r="1398" spans="1:36" x14ac:dyDescent="0.35">
      <c r="A1398">
        <v>1397</v>
      </c>
      <c r="B1398">
        <v>53</v>
      </c>
      <c r="C1398" t="str">
        <f t="shared" si="86"/>
        <v>46-55</v>
      </c>
      <c r="D1398" t="s">
        <v>31</v>
      </c>
      <c r="E1398" t="s">
        <v>32</v>
      </c>
      <c r="F1398" s="3">
        <v>1389</v>
      </c>
      <c r="G1398" t="s">
        <v>33</v>
      </c>
      <c r="H1398" s="1">
        <v>24</v>
      </c>
      <c r="I1398" t="s">
        <v>60</v>
      </c>
      <c r="J1398" t="s">
        <v>34</v>
      </c>
      <c r="K1398" t="s">
        <v>59</v>
      </c>
      <c r="L1398" t="s">
        <v>41</v>
      </c>
      <c r="M1398" s="3">
        <v>66</v>
      </c>
      <c r="N1398" t="s">
        <v>60</v>
      </c>
      <c r="O1398" t="s">
        <v>60</v>
      </c>
      <c r="P1398" t="s">
        <v>36</v>
      </c>
      <c r="Q1398" t="s">
        <v>59</v>
      </c>
      <c r="R1398" t="s">
        <v>37</v>
      </c>
      <c r="S1398" s="3">
        <v>10448</v>
      </c>
      <c r="T1398" s="3">
        <v>5843</v>
      </c>
      <c r="U1398" s="3" t="str">
        <f t="shared" si="87"/>
        <v>High</v>
      </c>
      <c r="V1398">
        <v>6</v>
      </c>
      <c r="W1398" t="s">
        <v>31</v>
      </c>
      <c r="X1398" s="2">
        <v>13</v>
      </c>
      <c r="Y1398" t="s">
        <v>60</v>
      </c>
      <c r="Z1398" t="s">
        <v>61</v>
      </c>
      <c r="AA1398">
        <v>0</v>
      </c>
      <c r="AB1398">
        <v>15</v>
      </c>
      <c r="AC1398">
        <v>2</v>
      </c>
      <c r="AD1398">
        <v>2</v>
      </c>
      <c r="AE1398">
        <v>2</v>
      </c>
      <c r="AF1398">
        <v>2</v>
      </c>
      <c r="AG1398">
        <v>2</v>
      </c>
      <c r="AH1398">
        <v>2</v>
      </c>
      <c r="AI1398" t="str">
        <f t="shared" si="84"/>
        <v>0-2 Years</v>
      </c>
      <c r="AJ1398" t="str">
        <f t="shared" si="85"/>
        <v>0-2</v>
      </c>
    </row>
    <row r="1399" spans="1:36" x14ac:dyDescent="0.35">
      <c r="A1399">
        <v>1398</v>
      </c>
      <c r="B1399">
        <v>54</v>
      </c>
      <c r="C1399" t="str">
        <f t="shared" si="86"/>
        <v>46-55</v>
      </c>
      <c r="D1399" t="s">
        <v>38</v>
      </c>
      <c r="E1399" t="s">
        <v>32</v>
      </c>
      <c r="F1399" s="3">
        <v>1389</v>
      </c>
      <c r="G1399" t="s">
        <v>40</v>
      </c>
      <c r="H1399" s="1">
        <v>9</v>
      </c>
      <c r="I1399" t="s">
        <v>58</v>
      </c>
      <c r="J1399" t="s">
        <v>34</v>
      </c>
      <c r="K1399" t="s">
        <v>59</v>
      </c>
      <c r="L1399" t="s">
        <v>35</v>
      </c>
      <c r="M1399" s="3">
        <v>67</v>
      </c>
      <c r="N1399" t="s">
        <v>60</v>
      </c>
      <c r="O1399" t="s">
        <v>61</v>
      </c>
      <c r="P1399" t="s">
        <v>42</v>
      </c>
      <c r="Q1399" t="s">
        <v>60</v>
      </c>
      <c r="R1399" t="s">
        <v>43</v>
      </c>
      <c r="S1399" s="3">
        <v>2897</v>
      </c>
      <c r="T1399" s="3">
        <v>22474</v>
      </c>
      <c r="U1399" s="3" t="str">
        <f t="shared" si="87"/>
        <v>Low</v>
      </c>
      <c r="V1399">
        <v>3</v>
      </c>
      <c r="W1399" t="s">
        <v>38</v>
      </c>
      <c r="X1399" s="2">
        <v>11</v>
      </c>
      <c r="Y1399" t="s">
        <v>60</v>
      </c>
      <c r="Z1399" t="s">
        <v>60</v>
      </c>
      <c r="AA1399">
        <v>2</v>
      </c>
      <c r="AB1399">
        <v>9</v>
      </c>
      <c r="AC1399">
        <v>6</v>
      </c>
      <c r="AD1399">
        <v>2</v>
      </c>
      <c r="AE1399">
        <v>4</v>
      </c>
      <c r="AF1399">
        <v>3</v>
      </c>
      <c r="AG1399">
        <v>2</v>
      </c>
      <c r="AH1399">
        <v>3</v>
      </c>
      <c r="AI1399" t="str">
        <f t="shared" si="84"/>
        <v>3-5 Years</v>
      </c>
      <c r="AJ1399" t="str">
        <f t="shared" si="85"/>
        <v>0-2</v>
      </c>
    </row>
    <row r="1400" spans="1:36" x14ac:dyDescent="0.35">
      <c r="A1400">
        <v>1399</v>
      </c>
      <c r="B1400">
        <v>33</v>
      </c>
      <c r="C1400" t="str">
        <f t="shared" si="86"/>
        <v>26-35</v>
      </c>
      <c r="D1400" t="s">
        <v>38</v>
      </c>
      <c r="E1400" t="s">
        <v>39</v>
      </c>
      <c r="F1400" s="3">
        <v>1389</v>
      </c>
      <c r="G1400" t="s">
        <v>40</v>
      </c>
      <c r="H1400" s="1">
        <v>7</v>
      </c>
      <c r="I1400" t="s">
        <v>58</v>
      </c>
      <c r="J1400" t="s">
        <v>34</v>
      </c>
      <c r="K1400" t="s">
        <v>62</v>
      </c>
      <c r="L1400" t="s">
        <v>41</v>
      </c>
      <c r="M1400" s="3">
        <v>36</v>
      </c>
      <c r="N1400" t="s">
        <v>60</v>
      </c>
      <c r="O1400" t="s">
        <v>61</v>
      </c>
      <c r="P1400" t="s">
        <v>49</v>
      </c>
      <c r="Q1400" t="s">
        <v>60</v>
      </c>
      <c r="R1400" t="s">
        <v>47</v>
      </c>
      <c r="S1400" s="3">
        <v>5968</v>
      </c>
      <c r="T1400" s="3">
        <v>18079</v>
      </c>
      <c r="U1400" s="3" t="str">
        <f t="shared" si="87"/>
        <v>Medium</v>
      </c>
      <c r="V1400">
        <v>1</v>
      </c>
      <c r="W1400" t="s">
        <v>38</v>
      </c>
      <c r="X1400" s="2">
        <v>20</v>
      </c>
      <c r="Y1400" t="s">
        <v>62</v>
      </c>
      <c r="Z1400" t="s">
        <v>60</v>
      </c>
      <c r="AA1400">
        <v>3</v>
      </c>
      <c r="AB1400">
        <v>9</v>
      </c>
      <c r="AC1400">
        <v>2</v>
      </c>
      <c r="AD1400">
        <v>3</v>
      </c>
      <c r="AE1400">
        <v>9</v>
      </c>
      <c r="AF1400">
        <v>7</v>
      </c>
      <c r="AG1400">
        <v>2</v>
      </c>
      <c r="AH1400">
        <v>8</v>
      </c>
      <c r="AI1400" t="str">
        <f t="shared" si="84"/>
        <v>6-10 Years</v>
      </c>
      <c r="AJ1400" t="str">
        <f t="shared" si="85"/>
        <v>0-2</v>
      </c>
    </row>
    <row r="1401" spans="1:36" x14ac:dyDescent="0.35">
      <c r="A1401">
        <v>1400</v>
      </c>
      <c r="B1401">
        <v>43</v>
      </c>
      <c r="C1401" t="str">
        <f t="shared" si="86"/>
        <v>36-45</v>
      </c>
      <c r="D1401" t="s">
        <v>38</v>
      </c>
      <c r="E1401" t="s">
        <v>32</v>
      </c>
      <c r="F1401" s="3">
        <v>1389</v>
      </c>
      <c r="G1401" t="s">
        <v>40</v>
      </c>
      <c r="H1401" s="1">
        <v>11</v>
      </c>
      <c r="I1401" t="s">
        <v>61</v>
      </c>
      <c r="J1401" t="s">
        <v>34</v>
      </c>
      <c r="K1401" t="s">
        <v>59</v>
      </c>
      <c r="L1401" t="s">
        <v>41</v>
      </c>
      <c r="M1401" s="3">
        <v>30</v>
      </c>
      <c r="N1401" t="s">
        <v>60</v>
      </c>
      <c r="O1401" t="s">
        <v>60</v>
      </c>
      <c r="P1401" t="s">
        <v>49</v>
      </c>
      <c r="Q1401" t="s">
        <v>60</v>
      </c>
      <c r="R1401" t="s">
        <v>43</v>
      </c>
      <c r="S1401" s="3">
        <v>7510</v>
      </c>
      <c r="T1401" s="3">
        <v>16873</v>
      </c>
      <c r="U1401" s="3" t="str">
        <f t="shared" si="87"/>
        <v>Medium</v>
      </c>
      <c r="V1401">
        <v>1</v>
      </c>
      <c r="W1401" t="s">
        <v>38</v>
      </c>
      <c r="X1401" s="2">
        <v>17</v>
      </c>
      <c r="Y1401" t="s">
        <v>60</v>
      </c>
      <c r="Z1401" t="s">
        <v>61</v>
      </c>
      <c r="AA1401">
        <v>1</v>
      </c>
      <c r="AB1401">
        <v>10</v>
      </c>
      <c r="AC1401">
        <v>1</v>
      </c>
      <c r="AD1401">
        <v>3</v>
      </c>
      <c r="AE1401">
        <v>10</v>
      </c>
      <c r="AF1401">
        <v>9</v>
      </c>
      <c r="AG1401">
        <v>0</v>
      </c>
      <c r="AH1401">
        <v>9</v>
      </c>
      <c r="AI1401" t="str">
        <f t="shared" si="84"/>
        <v>6-10 Years</v>
      </c>
      <c r="AJ1401" t="str">
        <f t="shared" si="85"/>
        <v>0-2</v>
      </c>
    </row>
    <row r="1402" spans="1:36" x14ac:dyDescent="0.35">
      <c r="A1402">
        <v>1401</v>
      </c>
      <c r="B1402">
        <v>38</v>
      </c>
      <c r="C1402" t="str">
        <f t="shared" si="86"/>
        <v>36-45</v>
      </c>
      <c r="D1402" t="s">
        <v>38</v>
      </c>
      <c r="E1402" t="s">
        <v>39</v>
      </c>
      <c r="F1402" s="3">
        <v>1389</v>
      </c>
      <c r="G1402" t="s">
        <v>56</v>
      </c>
      <c r="H1402" s="1">
        <v>1</v>
      </c>
      <c r="I1402" t="s">
        <v>60</v>
      </c>
      <c r="J1402" t="s">
        <v>44</v>
      </c>
      <c r="K1402" t="s">
        <v>62</v>
      </c>
      <c r="L1402" t="s">
        <v>41</v>
      </c>
      <c r="M1402" s="3">
        <v>88</v>
      </c>
      <c r="N1402" t="s">
        <v>60</v>
      </c>
      <c r="O1402" t="s">
        <v>59</v>
      </c>
      <c r="P1402" t="s">
        <v>56</v>
      </c>
      <c r="Q1402" t="s">
        <v>61</v>
      </c>
      <c r="R1402" t="s">
        <v>43</v>
      </c>
      <c r="S1402" s="3">
        <v>2991</v>
      </c>
      <c r="T1402" s="3">
        <v>5224</v>
      </c>
      <c r="U1402" s="3" t="str">
        <f t="shared" si="87"/>
        <v>Low</v>
      </c>
      <c r="V1402">
        <v>0</v>
      </c>
      <c r="W1402" t="s">
        <v>31</v>
      </c>
      <c r="X1402" s="2">
        <v>11</v>
      </c>
      <c r="Y1402" t="s">
        <v>60</v>
      </c>
      <c r="Z1402" t="s">
        <v>61</v>
      </c>
      <c r="AA1402">
        <v>1</v>
      </c>
      <c r="AB1402">
        <v>7</v>
      </c>
      <c r="AC1402">
        <v>2</v>
      </c>
      <c r="AD1402">
        <v>3</v>
      </c>
      <c r="AE1402">
        <v>6</v>
      </c>
      <c r="AF1402">
        <v>2</v>
      </c>
      <c r="AG1402">
        <v>1</v>
      </c>
      <c r="AH1402">
        <v>2</v>
      </c>
      <c r="AI1402" t="str">
        <f t="shared" si="84"/>
        <v>6-10 Years</v>
      </c>
      <c r="AJ1402" t="str">
        <f t="shared" si="85"/>
        <v>0-2</v>
      </c>
    </row>
    <row r="1403" spans="1:36" x14ac:dyDescent="0.35">
      <c r="A1403">
        <v>1402</v>
      </c>
      <c r="B1403">
        <v>55</v>
      </c>
      <c r="C1403" t="str">
        <f t="shared" si="86"/>
        <v>46-55</v>
      </c>
      <c r="D1403" t="s">
        <v>38</v>
      </c>
      <c r="E1403" t="s">
        <v>32</v>
      </c>
      <c r="F1403" s="3">
        <v>1389</v>
      </c>
      <c r="G1403" t="s">
        <v>56</v>
      </c>
      <c r="H1403" s="1">
        <v>26</v>
      </c>
      <c r="I1403" t="s">
        <v>60</v>
      </c>
      <c r="J1403" t="s">
        <v>56</v>
      </c>
      <c r="K1403" t="s">
        <v>60</v>
      </c>
      <c r="L1403" t="s">
        <v>41</v>
      </c>
      <c r="M1403" s="3">
        <v>71</v>
      </c>
      <c r="N1403" t="s">
        <v>62</v>
      </c>
      <c r="O1403" t="e">
        <v>#N/A</v>
      </c>
      <c r="P1403" t="s">
        <v>51</v>
      </c>
      <c r="Q1403" t="s">
        <v>61</v>
      </c>
      <c r="R1403" t="s">
        <v>43</v>
      </c>
      <c r="S1403" s="3">
        <v>19636</v>
      </c>
      <c r="T1403" s="3">
        <v>25811</v>
      </c>
      <c r="U1403" s="3" t="str">
        <f t="shared" si="87"/>
        <v>High</v>
      </c>
      <c r="V1403">
        <v>4</v>
      </c>
      <c r="W1403" t="s">
        <v>31</v>
      </c>
      <c r="X1403" s="2">
        <v>18</v>
      </c>
      <c r="Y1403" t="s">
        <v>60</v>
      </c>
      <c r="Z1403" t="s">
        <v>59</v>
      </c>
      <c r="AA1403">
        <v>1</v>
      </c>
      <c r="AB1403">
        <v>35</v>
      </c>
      <c r="AC1403">
        <v>0</v>
      </c>
      <c r="AD1403">
        <v>3</v>
      </c>
      <c r="AE1403">
        <v>10</v>
      </c>
      <c r="AF1403">
        <v>9</v>
      </c>
      <c r="AG1403">
        <v>1</v>
      </c>
      <c r="AH1403">
        <v>4</v>
      </c>
      <c r="AI1403" t="str">
        <f t="shared" si="84"/>
        <v>6-10 Years</v>
      </c>
      <c r="AJ1403" t="str">
        <f t="shared" si="85"/>
        <v>0-2</v>
      </c>
    </row>
    <row r="1404" spans="1:36" x14ac:dyDescent="0.35">
      <c r="A1404">
        <v>1403</v>
      </c>
      <c r="B1404">
        <v>31</v>
      </c>
      <c r="C1404" t="str">
        <f t="shared" si="86"/>
        <v>26-35</v>
      </c>
      <c r="D1404" t="s">
        <v>38</v>
      </c>
      <c r="E1404" t="s">
        <v>32</v>
      </c>
      <c r="F1404" s="3">
        <v>1389</v>
      </c>
      <c r="G1404" t="s">
        <v>40</v>
      </c>
      <c r="H1404" s="1">
        <v>2</v>
      </c>
      <c r="I1404" t="s">
        <v>59</v>
      </c>
      <c r="J1404" t="s">
        <v>46</v>
      </c>
      <c r="K1404" t="s">
        <v>62</v>
      </c>
      <c r="L1404" t="s">
        <v>35</v>
      </c>
      <c r="M1404" s="3">
        <v>59</v>
      </c>
      <c r="N1404" t="s">
        <v>59</v>
      </c>
      <c r="O1404" t="s">
        <v>59</v>
      </c>
      <c r="P1404" t="s">
        <v>45</v>
      </c>
      <c r="Q1404" t="s">
        <v>62</v>
      </c>
      <c r="R1404" t="s">
        <v>47</v>
      </c>
      <c r="S1404" s="3">
        <v>1129</v>
      </c>
      <c r="T1404" s="3">
        <v>17536</v>
      </c>
      <c r="U1404" s="3" t="str">
        <f t="shared" si="87"/>
        <v>Low</v>
      </c>
      <c r="V1404">
        <v>1</v>
      </c>
      <c r="W1404" t="s">
        <v>31</v>
      </c>
      <c r="X1404" s="2">
        <v>11</v>
      </c>
      <c r="Y1404" t="s">
        <v>60</v>
      </c>
      <c r="Z1404" t="s">
        <v>60</v>
      </c>
      <c r="AA1404">
        <v>3</v>
      </c>
      <c r="AB1404">
        <v>1</v>
      </c>
      <c r="AC1404">
        <v>4</v>
      </c>
      <c r="AD1404">
        <v>3</v>
      </c>
      <c r="AE1404">
        <v>1</v>
      </c>
      <c r="AF1404">
        <v>0</v>
      </c>
      <c r="AG1404">
        <v>0</v>
      </c>
      <c r="AH1404">
        <v>0</v>
      </c>
      <c r="AI1404" t="str">
        <f t="shared" si="84"/>
        <v>0-2 Years</v>
      </c>
      <c r="AJ1404" t="str">
        <f t="shared" si="85"/>
        <v>0-2</v>
      </c>
    </row>
    <row r="1405" spans="1:36" x14ac:dyDescent="0.35">
      <c r="A1405">
        <v>1404</v>
      </c>
      <c r="B1405">
        <v>39</v>
      </c>
      <c r="C1405" t="str">
        <f t="shared" si="86"/>
        <v>36-45</v>
      </c>
      <c r="D1405" t="s">
        <v>38</v>
      </c>
      <c r="E1405" t="s">
        <v>32</v>
      </c>
      <c r="F1405" s="3">
        <v>1389</v>
      </c>
      <c r="G1405" t="s">
        <v>33</v>
      </c>
      <c r="H1405" s="1">
        <v>15</v>
      </c>
      <c r="I1405" t="s">
        <v>60</v>
      </c>
      <c r="J1405" t="s">
        <v>54</v>
      </c>
      <c r="K1405" t="s">
        <v>61</v>
      </c>
      <c r="L1405" t="s">
        <v>41</v>
      </c>
      <c r="M1405" s="3">
        <v>77</v>
      </c>
      <c r="N1405" t="s">
        <v>60</v>
      </c>
      <c r="O1405" t="s">
        <v>62</v>
      </c>
      <c r="P1405" t="s">
        <v>36</v>
      </c>
      <c r="Q1405" t="s">
        <v>59</v>
      </c>
      <c r="R1405" t="s">
        <v>37</v>
      </c>
      <c r="S1405" s="3">
        <v>13341</v>
      </c>
      <c r="T1405" s="3">
        <v>25098</v>
      </c>
      <c r="U1405" s="3" t="str">
        <f t="shared" si="87"/>
        <v>High</v>
      </c>
      <c r="V1405">
        <v>0</v>
      </c>
      <c r="W1405" t="s">
        <v>38</v>
      </c>
      <c r="X1405" s="2">
        <v>12</v>
      </c>
      <c r="Y1405" t="s">
        <v>60</v>
      </c>
      <c r="Z1405" t="s">
        <v>59</v>
      </c>
      <c r="AA1405">
        <v>0</v>
      </c>
      <c r="AB1405">
        <v>21</v>
      </c>
      <c r="AC1405">
        <v>3</v>
      </c>
      <c r="AD1405">
        <v>3</v>
      </c>
      <c r="AE1405">
        <v>20</v>
      </c>
      <c r="AF1405">
        <v>8</v>
      </c>
      <c r="AG1405">
        <v>11</v>
      </c>
      <c r="AH1405">
        <v>10</v>
      </c>
      <c r="AI1405" t="str">
        <f t="shared" si="84"/>
        <v>10+ Years</v>
      </c>
      <c r="AJ1405" t="str">
        <f t="shared" si="85"/>
        <v>6+</v>
      </c>
    </row>
    <row r="1406" spans="1:36" x14ac:dyDescent="0.35">
      <c r="A1406">
        <v>1405</v>
      </c>
      <c r="B1406">
        <v>42</v>
      </c>
      <c r="C1406" t="str">
        <f t="shared" si="86"/>
        <v>36-45</v>
      </c>
      <c r="D1406" t="s">
        <v>38</v>
      </c>
      <c r="E1406" t="s">
        <v>50</v>
      </c>
      <c r="F1406" s="3">
        <v>1389</v>
      </c>
      <c r="G1406" t="s">
        <v>40</v>
      </c>
      <c r="H1406" s="1">
        <v>23</v>
      </c>
      <c r="I1406" t="s">
        <v>58</v>
      </c>
      <c r="J1406" t="s">
        <v>34</v>
      </c>
      <c r="K1406" t="s">
        <v>62</v>
      </c>
      <c r="L1406" t="s">
        <v>41</v>
      </c>
      <c r="M1406" s="3">
        <v>37</v>
      </c>
      <c r="N1406" t="s">
        <v>61</v>
      </c>
      <c r="O1406" t="s">
        <v>61</v>
      </c>
      <c r="P1406" t="s">
        <v>42</v>
      </c>
      <c r="Q1406" t="s">
        <v>60</v>
      </c>
      <c r="R1406" t="s">
        <v>37</v>
      </c>
      <c r="S1406" s="3">
        <v>4332</v>
      </c>
      <c r="T1406" s="3">
        <v>14811</v>
      </c>
      <c r="U1406" s="3" t="str">
        <f t="shared" si="87"/>
        <v>Low</v>
      </c>
      <c r="V1406">
        <v>1</v>
      </c>
      <c r="W1406" t="s">
        <v>38</v>
      </c>
      <c r="X1406" s="2">
        <v>12</v>
      </c>
      <c r="Y1406" t="s">
        <v>60</v>
      </c>
      <c r="Z1406" t="s">
        <v>62</v>
      </c>
      <c r="AA1406">
        <v>0</v>
      </c>
      <c r="AB1406">
        <v>20</v>
      </c>
      <c r="AC1406">
        <v>2</v>
      </c>
      <c r="AD1406">
        <v>3</v>
      </c>
      <c r="AE1406">
        <v>20</v>
      </c>
      <c r="AF1406">
        <v>9</v>
      </c>
      <c r="AG1406">
        <v>3</v>
      </c>
      <c r="AH1406">
        <v>7</v>
      </c>
      <c r="AI1406" t="str">
        <f t="shared" si="84"/>
        <v>10+ Years</v>
      </c>
      <c r="AJ1406" t="str">
        <f t="shared" si="85"/>
        <v>3-5</v>
      </c>
    </row>
    <row r="1407" spans="1:36" x14ac:dyDescent="0.35">
      <c r="A1407">
        <v>1406</v>
      </c>
      <c r="B1407">
        <v>31</v>
      </c>
      <c r="C1407" t="str">
        <f t="shared" si="86"/>
        <v>26-35</v>
      </c>
      <c r="D1407" t="s">
        <v>38</v>
      </c>
      <c r="E1407" t="s">
        <v>50</v>
      </c>
      <c r="F1407" s="3">
        <v>1389</v>
      </c>
      <c r="G1407" t="s">
        <v>40</v>
      </c>
      <c r="H1407" s="1">
        <v>10</v>
      </c>
      <c r="I1407" t="s">
        <v>61</v>
      </c>
      <c r="J1407" t="s">
        <v>46</v>
      </c>
      <c r="K1407" t="s">
        <v>60</v>
      </c>
      <c r="L1407" t="s">
        <v>35</v>
      </c>
      <c r="M1407" s="3">
        <v>40</v>
      </c>
      <c r="N1407" t="s">
        <v>60</v>
      </c>
      <c r="O1407" t="s">
        <v>60</v>
      </c>
      <c r="P1407" t="s">
        <v>53</v>
      </c>
      <c r="Q1407" t="s">
        <v>60</v>
      </c>
      <c r="R1407" t="s">
        <v>43</v>
      </c>
      <c r="S1407" s="3">
        <v>11031</v>
      </c>
      <c r="T1407" s="3">
        <v>26862</v>
      </c>
      <c r="U1407" s="3" t="str">
        <f t="shared" si="87"/>
        <v>High</v>
      </c>
      <c r="V1407">
        <v>4</v>
      </c>
      <c r="W1407" t="s">
        <v>38</v>
      </c>
      <c r="X1407" s="2">
        <v>20</v>
      </c>
      <c r="Y1407" t="s">
        <v>62</v>
      </c>
      <c r="Z1407" t="s">
        <v>60</v>
      </c>
      <c r="AA1407">
        <v>1</v>
      </c>
      <c r="AB1407">
        <v>13</v>
      </c>
      <c r="AC1407">
        <v>2</v>
      </c>
      <c r="AD1407">
        <v>4</v>
      </c>
      <c r="AE1407">
        <v>11</v>
      </c>
      <c r="AF1407">
        <v>7</v>
      </c>
      <c r="AG1407">
        <v>4</v>
      </c>
      <c r="AH1407">
        <v>8</v>
      </c>
      <c r="AI1407" t="str">
        <f t="shared" si="84"/>
        <v>10+ Years</v>
      </c>
      <c r="AJ1407" t="str">
        <f t="shared" si="85"/>
        <v>3-5</v>
      </c>
    </row>
    <row r="1408" spans="1:36" x14ac:dyDescent="0.35">
      <c r="A1408">
        <v>1407</v>
      </c>
      <c r="B1408">
        <v>54</v>
      </c>
      <c r="C1408" t="str">
        <f t="shared" si="86"/>
        <v>46-55</v>
      </c>
      <c r="D1408" t="s">
        <v>38</v>
      </c>
      <c r="E1408" t="s">
        <v>32</v>
      </c>
      <c r="F1408" s="3">
        <v>1389</v>
      </c>
      <c r="G1408" t="s">
        <v>40</v>
      </c>
      <c r="H1408" s="1">
        <v>10</v>
      </c>
      <c r="I1408" t="s">
        <v>61</v>
      </c>
      <c r="J1408" t="s">
        <v>46</v>
      </c>
      <c r="K1408" t="s">
        <v>60</v>
      </c>
      <c r="L1408" t="s">
        <v>35</v>
      </c>
      <c r="M1408" s="3">
        <v>77</v>
      </c>
      <c r="N1408" t="s">
        <v>60</v>
      </c>
      <c r="O1408" t="s">
        <v>61</v>
      </c>
      <c r="P1408" t="s">
        <v>48</v>
      </c>
      <c r="Q1408" t="s">
        <v>59</v>
      </c>
      <c r="R1408" t="s">
        <v>37</v>
      </c>
      <c r="S1408" s="3">
        <v>4440</v>
      </c>
      <c r="T1408" s="3">
        <v>25198</v>
      </c>
      <c r="U1408" s="3" t="str">
        <f t="shared" si="87"/>
        <v>Low</v>
      </c>
      <c r="V1408">
        <v>6</v>
      </c>
      <c r="W1408" t="s">
        <v>31</v>
      </c>
      <c r="X1408" s="2">
        <v>19</v>
      </c>
      <c r="Y1408" t="s">
        <v>60</v>
      </c>
      <c r="Z1408" t="s">
        <v>62</v>
      </c>
      <c r="AA1408">
        <v>0</v>
      </c>
      <c r="AB1408">
        <v>9</v>
      </c>
      <c r="AC1408">
        <v>3</v>
      </c>
      <c r="AD1408">
        <v>3</v>
      </c>
      <c r="AE1408">
        <v>5</v>
      </c>
      <c r="AF1408">
        <v>2</v>
      </c>
      <c r="AG1408">
        <v>1</v>
      </c>
      <c r="AH1408">
        <v>4</v>
      </c>
      <c r="AI1408" t="str">
        <f t="shared" si="84"/>
        <v>3-5 Years</v>
      </c>
      <c r="AJ1408" t="str">
        <f t="shared" si="85"/>
        <v>0-2</v>
      </c>
    </row>
    <row r="1409" spans="1:36" x14ac:dyDescent="0.35">
      <c r="A1409">
        <v>1408</v>
      </c>
      <c r="B1409">
        <v>24</v>
      </c>
      <c r="C1409" t="str">
        <f t="shared" si="86"/>
        <v>18-25</v>
      </c>
      <c r="D1409" t="s">
        <v>38</v>
      </c>
      <c r="E1409" t="s">
        <v>32</v>
      </c>
      <c r="F1409" s="3">
        <v>1389</v>
      </c>
      <c r="G1409" t="s">
        <v>40</v>
      </c>
      <c r="H1409" s="1">
        <v>1</v>
      </c>
      <c r="I1409" t="s">
        <v>58</v>
      </c>
      <c r="J1409" t="s">
        <v>34</v>
      </c>
      <c r="K1409" t="s">
        <v>61</v>
      </c>
      <c r="L1409" t="s">
        <v>41</v>
      </c>
      <c r="M1409" s="3">
        <v>45</v>
      </c>
      <c r="N1409" t="s">
        <v>61</v>
      </c>
      <c r="O1409" t="s">
        <v>61</v>
      </c>
      <c r="P1409" t="s">
        <v>49</v>
      </c>
      <c r="Q1409" t="s">
        <v>60</v>
      </c>
      <c r="R1409" t="s">
        <v>37</v>
      </c>
      <c r="S1409" s="3">
        <v>4617</v>
      </c>
      <c r="T1409" s="3">
        <v>14120</v>
      </c>
      <c r="U1409" s="3" t="str">
        <f t="shared" si="87"/>
        <v>Low</v>
      </c>
      <c r="V1409">
        <v>1</v>
      </c>
      <c r="W1409" t="s">
        <v>38</v>
      </c>
      <c r="X1409" s="2">
        <v>12</v>
      </c>
      <c r="Y1409" t="s">
        <v>60</v>
      </c>
      <c r="Z1409" t="s">
        <v>61</v>
      </c>
      <c r="AA1409">
        <v>0</v>
      </c>
      <c r="AB1409">
        <v>4</v>
      </c>
      <c r="AC1409">
        <v>2</v>
      </c>
      <c r="AD1409">
        <v>2</v>
      </c>
      <c r="AE1409">
        <v>4</v>
      </c>
      <c r="AF1409">
        <v>3</v>
      </c>
      <c r="AG1409">
        <v>1</v>
      </c>
      <c r="AH1409">
        <v>2</v>
      </c>
      <c r="AI1409" t="str">
        <f t="shared" si="84"/>
        <v>3-5 Years</v>
      </c>
      <c r="AJ1409" t="str">
        <f t="shared" si="85"/>
        <v>0-2</v>
      </c>
    </row>
    <row r="1410" spans="1:36" x14ac:dyDescent="0.35">
      <c r="A1410">
        <v>1409</v>
      </c>
      <c r="B1410">
        <v>23</v>
      </c>
      <c r="C1410" t="str">
        <f t="shared" si="86"/>
        <v>18-25</v>
      </c>
      <c r="D1410" t="s">
        <v>38</v>
      </c>
      <c r="E1410" t="s">
        <v>32</v>
      </c>
      <c r="F1410" s="3">
        <v>1389</v>
      </c>
      <c r="G1410" t="s">
        <v>40</v>
      </c>
      <c r="H1410" s="1">
        <v>12</v>
      </c>
      <c r="I1410" t="s">
        <v>58</v>
      </c>
      <c r="J1410" t="s">
        <v>44</v>
      </c>
      <c r="K1410" t="s">
        <v>62</v>
      </c>
      <c r="L1410" t="s">
        <v>41</v>
      </c>
      <c r="M1410" s="3">
        <v>78</v>
      </c>
      <c r="N1410" t="s">
        <v>60</v>
      </c>
      <c r="O1410" t="s">
        <v>59</v>
      </c>
      <c r="P1410" t="s">
        <v>45</v>
      </c>
      <c r="Q1410" t="s">
        <v>62</v>
      </c>
      <c r="R1410" t="s">
        <v>37</v>
      </c>
      <c r="S1410" s="3">
        <v>2647</v>
      </c>
      <c r="T1410" s="3">
        <v>13672</v>
      </c>
      <c r="U1410" s="3" t="str">
        <f t="shared" si="87"/>
        <v>Low</v>
      </c>
      <c r="V1410">
        <v>1</v>
      </c>
      <c r="W1410" t="s">
        <v>38</v>
      </c>
      <c r="X1410" s="2">
        <v>13</v>
      </c>
      <c r="Y1410" t="s">
        <v>60</v>
      </c>
      <c r="Z1410" t="s">
        <v>60</v>
      </c>
      <c r="AA1410">
        <v>0</v>
      </c>
      <c r="AB1410">
        <v>5</v>
      </c>
      <c r="AC1410">
        <v>6</v>
      </c>
      <c r="AD1410">
        <v>4</v>
      </c>
      <c r="AE1410">
        <v>5</v>
      </c>
      <c r="AF1410">
        <v>2</v>
      </c>
      <c r="AG1410">
        <v>1</v>
      </c>
      <c r="AH1410">
        <v>4</v>
      </c>
      <c r="AI1410" t="str">
        <f t="shared" ref="AI1410:AI1471" si="88">IF(AE1410&lt;=2,"0-2 Years",
IF(AE1410&lt;=5,"3-5 Years",
IF(AE1410&lt;=10,"6-10 Years","10+ Years")))</f>
        <v>3-5 Years</v>
      </c>
      <c r="AJ1410" t="str">
        <f t="shared" ref="AJ1410:AJ1471" si="89">IF(AG1410&lt;=2,"0-2",
IF(AG1410&lt;=5,"3-5","6+"))</f>
        <v>0-2</v>
      </c>
    </row>
    <row r="1411" spans="1:36" x14ac:dyDescent="0.35">
      <c r="A1411">
        <v>1410</v>
      </c>
      <c r="B1411">
        <v>40</v>
      </c>
      <c r="C1411" t="str">
        <f t="shared" ref="C1411:C1471" si="90">IF(B1411&lt;=25,"18-25",
IF(B1411&lt;=35,"26-35",
IF(B1411&lt;=45,"36-45",
IF(B1411&lt;=55,"46-55","55+"))))</f>
        <v>36-45</v>
      </c>
      <c r="D1411" t="s">
        <v>38</v>
      </c>
      <c r="E1411" t="s">
        <v>39</v>
      </c>
      <c r="F1411" s="3">
        <v>1389</v>
      </c>
      <c r="G1411" t="s">
        <v>40</v>
      </c>
      <c r="H1411" s="1">
        <v>11</v>
      </c>
      <c r="I1411" t="s">
        <v>61</v>
      </c>
      <c r="J1411" t="s">
        <v>55</v>
      </c>
      <c r="K1411" t="s">
        <v>62</v>
      </c>
      <c r="L1411" t="s">
        <v>35</v>
      </c>
      <c r="M1411" s="3">
        <v>73</v>
      </c>
      <c r="N1411" t="s">
        <v>60</v>
      </c>
      <c r="O1411" t="s">
        <v>61</v>
      </c>
      <c r="P1411" t="s">
        <v>45</v>
      </c>
      <c r="Q1411" t="s">
        <v>60</v>
      </c>
      <c r="R1411" t="s">
        <v>43</v>
      </c>
      <c r="S1411" s="3">
        <v>6323</v>
      </c>
      <c r="T1411" s="3">
        <v>26849</v>
      </c>
      <c r="U1411" s="3" t="str">
        <f t="shared" ref="U1411:U1471" si="91">_xlfn.IFS(S1411&lt;5000,"Low",S1411&lt;10000,"Medium",S1411&gt;10000,"High")</f>
        <v>Medium</v>
      </c>
      <c r="V1411">
        <v>1</v>
      </c>
      <c r="W1411" t="s">
        <v>38</v>
      </c>
      <c r="X1411" s="2">
        <v>11</v>
      </c>
      <c r="Y1411" t="s">
        <v>60</v>
      </c>
      <c r="Z1411" t="s">
        <v>59</v>
      </c>
      <c r="AA1411">
        <v>1</v>
      </c>
      <c r="AB1411">
        <v>10</v>
      </c>
      <c r="AC1411">
        <v>2</v>
      </c>
      <c r="AD1411">
        <v>4</v>
      </c>
      <c r="AE1411">
        <v>10</v>
      </c>
      <c r="AF1411">
        <v>9</v>
      </c>
      <c r="AG1411">
        <v>9</v>
      </c>
      <c r="AH1411">
        <v>4</v>
      </c>
      <c r="AI1411" t="str">
        <f t="shared" si="88"/>
        <v>6-10 Years</v>
      </c>
      <c r="AJ1411" t="str">
        <f t="shared" si="89"/>
        <v>6+</v>
      </c>
    </row>
    <row r="1412" spans="1:36" x14ac:dyDescent="0.35">
      <c r="A1412">
        <v>1411</v>
      </c>
      <c r="B1412">
        <v>40</v>
      </c>
      <c r="C1412" t="str">
        <f t="shared" si="90"/>
        <v>36-45</v>
      </c>
      <c r="D1412" t="s">
        <v>38</v>
      </c>
      <c r="E1412" t="s">
        <v>32</v>
      </c>
      <c r="F1412" s="3">
        <v>1389</v>
      </c>
      <c r="G1412" t="s">
        <v>33</v>
      </c>
      <c r="H1412" s="1">
        <v>2</v>
      </c>
      <c r="I1412" t="s">
        <v>58</v>
      </c>
      <c r="J1412" t="s">
        <v>54</v>
      </c>
      <c r="K1412" t="s">
        <v>61</v>
      </c>
      <c r="L1412" t="s">
        <v>35</v>
      </c>
      <c r="M1412" s="3">
        <v>92</v>
      </c>
      <c r="N1412" t="s">
        <v>60</v>
      </c>
      <c r="O1412" t="s">
        <v>61</v>
      </c>
      <c r="P1412" t="s">
        <v>36</v>
      </c>
      <c r="Q1412" t="s">
        <v>61</v>
      </c>
      <c r="R1412" t="s">
        <v>43</v>
      </c>
      <c r="S1412" s="3">
        <v>5677</v>
      </c>
      <c r="T1412" s="3">
        <v>4258</v>
      </c>
      <c r="U1412" s="3" t="str">
        <f t="shared" si="91"/>
        <v>Medium</v>
      </c>
      <c r="V1412">
        <v>3</v>
      </c>
      <c r="W1412" t="s">
        <v>38</v>
      </c>
      <c r="X1412" s="2">
        <v>14</v>
      </c>
      <c r="Y1412" t="s">
        <v>60</v>
      </c>
      <c r="Z1412" t="s">
        <v>60</v>
      </c>
      <c r="AA1412">
        <v>1</v>
      </c>
      <c r="AB1412">
        <v>15</v>
      </c>
      <c r="AC1412">
        <v>4</v>
      </c>
      <c r="AD1412">
        <v>3</v>
      </c>
      <c r="AE1412">
        <v>11</v>
      </c>
      <c r="AF1412">
        <v>8</v>
      </c>
      <c r="AG1412">
        <v>5</v>
      </c>
      <c r="AH1412">
        <v>10</v>
      </c>
      <c r="AI1412" t="str">
        <f t="shared" si="88"/>
        <v>10+ Years</v>
      </c>
      <c r="AJ1412" t="str">
        <f t="shared" si="89"/>
        <v>3-5</v>
      </c>
    </row>
    <row r="1413" spans="1:36" x14ac:dyDescent="0.35">
      <c r="A1413">
        <v>1412</v>
      </c>
      <c r="B1413">
        <v>25</v>
      </c>
      <c r="C1413" t="str">
        <f t="shared" si="90"/>
        <v>18-25</v>
      </c>
      <c r="D1413" t="s">
        <v>38</v>
      </c>
      <c r="E1413" t="s">
        <v>32</v>
      </c>
      <c r="F1413" s="3">
        <v>1389</v>
      </c>
      <c r="G1413" t="s">
        <v>56</v>
      </c>
      <c r="H1413" s="1">
        <v>2</v>
      </c>
      <c r="I1413" t="s">
        <v>61</v>
      </c>
      <c r="J1413" t="s">
        <v>56</v>
      </c>
      <c r="K1413" t="s">
        <v>60</v>
      </c>
      <c r="L1413" t="s">
        <v>35</v>
      </c>
      <c r="M1413" s="3">
        <v>82</v>
      </c>
      <c r="N1413" t="s">
        <v>60</v>
      </c>
      <c r="O1413" t="s">
        <v>59</v>
      </c>
      <c r="P1413" t="s">
        <v>56</v>
      </c>
      <c r="Q1413" t="s">
        <v>61</v>
      </c>
      <c r="R1413" t="s">
        <v>43</v>
      </c>
      <c r="S1413" s="3">
        <v>2187</v>
      </c>
      <c r="T1413" s="3">
        <v>19655</v>
      </c>
      <c r="U1413" s="3" t="str">
        <f t="shared" si="91"/>
        <v>Low</v>
      </c>
      <c r="V1413">
        <v>4</v>
      </c>
      <c r="W1413" t="s">
        <v>38</v>
      </c>
      <c r="X1413" s="2">
        <v>14</v>
      </c>
      <c r="Y1413" t="s">
        <v>60</v>
      </c>
      <c r="Z1413" t="s">
        <v>60</v>
      </c>
      <c r="AA1413">
        <v>0</v>
      </c>
      <c r="AB1413">
        <v>6</v>
      </c>
      <c r="AC1413">
        <v>3</v>
      </c>
      <c r="AD1413">
        <v>3</v>
      </c>
      <c r="AE1413">
        <v>2</v>
      </c>
      <c r="AF1413">
        <v>0</v>
      </c>
      <c r="AG1413">
        <v>1</v>
      </c>
      <c r="AH1413">
        <v>2</v>
      </c>
      <c r="AI1413" t="str">
        <f t="shared" si="88"/>
        <v>0-2 Years</v>
      </c>
      <c r="AJ1413" t="str">
        <f t="shared" si="89"/>
        <v>0-2</v>
      </c>
    </row>
    <row r="1414" spans="1:36" x14ac:dyDescent="0.35">
      <c r="A1414">
        <v>1413</v>
      </c>
      <c r="B1414">
        <v>30</v>
      </c>
      <c r="C1414" t="str">
        <f t="shared" si="90"/>
        <v>26-35</v>
      </c>
      <c r="D1414" t="s">
        <v>38</v>
      </c>
      <c r="E1414" t="s">
        <v>32</v>
      </c>
      <c r="F1414" s="3">
        <v>1389</v>
      </c>
      <c r="G1414" t="s">
        <v>40</v>
      </c>
      <c r="H1414" s="1">
        <v>1</v>
      </c>
      <c r="I1414" t="s">
        <v>58</v>
      </c>
      <c r="J1414" t="s">
        <v>46</v>
      </c>
      <c r="K1414" t="s">
        <v>62</v>
      </c>
      <c r="L1414" t="s">
        <v>41</v>
      </c>
      <c r="M1414" s="3">
        <v>76</v>
      </c>
      <c r="N1414" t="s">
        <v>60</v>
      </c>
      <c r="O1414" t="s">
        <v>59</v>
      </c>
      <c r="P1414" t="s">
        <v>45</v>
      </c>
      <c r="Q1414" t="s">
        <v>61</v>
      </c>
      <c r="R1414" t="s">
        <v>43</v>
      </c>
      <c r="S1414" s="3">
        <v>3748</v>
      </c>
      <c r="T1414" s="3">
        <v>4077</v>
      </c>
      <c r="U1414" s="3" t="str">
        <f t="shared" si="91"/>
        <v>Low</v>
      </c>
      <c r="V1414">
        <v>1</v>
      </c>
      <c r="W1414" t="s">
        <v>38</v>
      </c>
      <c r="X1414" s="2">
        <v>13</v>
      </c>
      <c r="Y1414" t="s">
        <v>60</v>
      </c>
      <c r="Z1414" t="s">
        <v>60</v>
      </c>
      <c r="AA1414">
        <v>0</v>
      </c>
      <c r="AB1414">
        <v>12</v>
      </c>
      <c r="AC1414">
        <v>6</v>
      </c>
      <c r="AD1414">
        <v>2</v>
      </c>
      <c r="AE1414">
        <v>12</v>
      </c>
      <c r="AF1414">
        <v>8</v>
      </c>
      <c r="AG1414">
        <v>1</v>
      </c>
      <c r="AH1414">
        <v>7</v>
      </c>
      <c r="AI1414" t="str">
        <f t="shared" si="88"/>
        <v>10+ Years</v>
      </c>
      <c r="AJ1414" t="str">
        <f t="shared" si="89"/>
        <v>0-2</v>
      </c>
    </row>
    <row r="1415" spans="1:36" x14ac:dyDescent="0.35">
      <c r="A1415">
        <v>1414</v>
      </c>
      <c r="B1415">
        <v>25</v>
      </c>
      <c r="C1415" t="str">
        <f t="shared" si="90"/>
        <v>18-25</v>
      </c>
      <c r="D1415" t="s">
        <v>38</v>
      </c>
      <c r="E1415" t="s">
        <v>32</v>
      </c>
      <c r="F1415" s="3">
        <v>1389</v>
      </c>
      <c r="G1415" t="s">
        <v>40</v>
      </c>
      <c r="H1415" s="1">
        <v>2</v>
      </c>
      <c r="I1415" t="s">
        <v>59</v>
      </c>
      <c r="J1415" t="s">
        <v>44</v>
      </c>
      <c r="K1415" t="s">
        <v>62</v>
      </c>
      <c r="L1415" t="s">
        <v>41</v>
      </c>
      <c r="M1415" s="3">
        <v>57</v>
      </c>
      <c r="N1415" t="s">
        <v>60</v>
      </c>
      <c r="O1415" t="s">
        <v>59</v>
      </c>
      <c r="P1415" t="s">
        <v>45</v>
      </c>
      <c r="Q1415" t="s">
        <v>60</v>
      </c>
      <c r="R1415" t="s">
        <v>47</v>
      </c>
      <c r="S1415" s="3">
        <v>3977</v>
      </c>
      <c r="T1415" s="3">
        <v>7298</v>
      </c>
      <c r="U1415" s="3" t="str">
        <f t="shared" si="91"/>
        <v>Low</v>
      </c>
      <c r="V1415">
        <v>6</v>
      </c>
      <c r="W1415" t="s">
        <v>31</v>
      </c>
      <c r="X1415" s="2">
        <v>19</v>
      </c>
      <c r="Y1415" t="s">
        <v>60</v>
      </c>
      <c r="Z1415" t="s">
        <v>60</v>
      </c>
      <c r="AA1415">
        <v>1</v>
      </c>
      <c r="AB1415">
        <v>7</v>
      </c>
      <c r="AC1415">
        <v>2</v>
      </c>
      <c r="AD1415">
        <v>2</v>
      </c>
      <c r="AE1415">
        <v>2</v>
      </c>
      <c r="AF1415">
        <v>2</v>
      </c>
      <c r="AG1415">
        <v>0</v>
      </c>
      <c r="AH1415">
        <v>2</v>
      </c>
      <c r="AI1415" t="str">
        <f t="shared" si="88"/>
        <v>0-2 Years</v>
      </c>
      <c r="AJ1415" t="str">
        <f t="shared" si="89"/>
        <v>0-2</v>
      </c>
    </row>
    <row r="1416" spans="1:36" x14ac:dyDescent="0.35">
      <c r="A1416">
        <v>1415</v>
      </c>
      <c r="B1416">
        <v>47</v>
      </c>
      <c r="C1416" t="str">
        <f t="shared" si="90"/>
        <v>46-55</v>
      </c>
      <c r="D1416" t="s">
        <v>38</v>
      </c>
      <c r="E1416" t="s">
        <v>32</v>
      </c>
      <c r="F1416" s="3">
        <v>1389</v>
      </c>
      <c r="G1416" t="s">
        <v>40</v>
      </c>
      <c r="H1416" s="1">
        <v>25</v>
      </c>
      <c r="I1416" t="s">
        <v>61</v>
      </c>
      <c r="J1416" t="s">
        <v>46</v>
      </c>
      <c r="K1416" t="s">
        <v>59</v>
      </c>
      <c r="L1416" t="s">
        <v>41</v>
      </c>
      <c r="M1416" s="3">
        <v>84</v>
      </c>
      <c r="N1416" t="s">
        <v>60</v>
      </c>
      <c r="O1416" t="s">
        <v>60</v>
      </c>
      <c r="P1416" t="s">
        <v>49</v>
      </c>
      <c r="Q1416" t="s">
        <v>60</v>
      </c>
      <c r="R1416" t="s">
        <v>37</v>
      </c>
      <c r="S1416" s="3">
        <v>8633</v>
      </c>
      <c r="T1416" s="3">
        <v>13084</v>
      </c>
      <c r="U1416" s="3" t="str">
        <f t="shared" si="91"/>
        <v>Medium</v>
      </c>
      <c r="V1416">
        <v>2</v>
      </c>
      <c r="W1416" t="s">
        <v>38</v>
      </c>
      <c r="X1416" s="2">
        <v>23</v>
      </c>
      <c r="Y1416" t="s">
        <v>62</v>
      </c>
      <c r="Z1416" t="s">
        <v>61</v>
      </c>
      <c r="AA1416">
        <v>0</v>
      </c>
      <c r="AB1416">
        <v>25</v>
      </c>
      <c r="AC1416">
        <v>3</v>
      </c>
      <c r="AD1416">
        <v>3</v>
      </c>
      <c r="AE1416">
        <v>17</v>
      </c>
      <c r="AF1416">
        <v>14</v>
      </c>
      <c r="AG1416">
        <v>12</v>
      </c>
      <c r="AH1416">
        <v>11</v>
      </c>
      <c r="AI1416" t="str">
        <f t="shared" si="88"/>
        <v>10+ Years</v>
      </c>
      <c r="AJ1416" t="str">
        <f t="shared" si="89"/>
        <v>6+</v>
      </c>
    </row>
    <row r="1417" spans="1:36" x14ac:dyDescent="0.35">
      <c r="A1417">
        <v>1416</v>
      </c>
      <c r="B1417">
        <v>33</v>
      </c>
      <c r="C1417" t="str">
        <f t="shared" si="90"/>
        <v>26-35</v>
      </c>
      <c r="D1417" t="s">
        <v>38</v>
      </c>
      <c r="E1417" t="s">
        <v>50</v>
      </c>
      <c r="F1417" s="3">
        <v>1389</v>
      </c>
      <c r="G1417" t="s">
        <v>40</v>
      </c>
      <c r="H1417" s="1">
        <v>1</v>
      </c>
      <c r="I1417" t="s">
        <v>58</v>
      </c>
      <c r="J1417" t="s">
        <v>46</v>
      </c>
      <c r="K1417" t="s">
        <v>61</v>
      </c>
      <c r="L1417" t="s">
        <v>41</v>
      </c>
      <c r="M1417" s="3">
        <v>59</v>
      </c>
      <c r="N1417" t="s">
        <v>61</v>
      </c>
      <c r="O1417" t="s">
        <v>59</v>
      </c>
      <c r="P1417" t="s">
        <v>45</v>
      </c>
      <c r="Q1417" t="s">
        <v>60</v>
      </c>
      <c r="R1417" t="s">
        <v>47</v>
      </c>
      <c r="S1417" s="3">
        <v>2008</v>
      </c>
      <c r="T1417" s="3">
        <v>20439</v>
      </c>
      <c r="U1417" s="3" t="str">
        <f t="shared" si="91"/>
        <v>Low</v>
      </c>
      <c r="V1417">
        <v>1</v>
      </c>
      <c r="W1417" t="s">
        <v>38</v>
      </c>
      <c r="X1417" s="2">
        <v>12</v>
      </c>
      <c r="Y1417" t="s">
        <v>60</v>
      </c>
      <c r="Z1417" t="s">
        <v>60</v>
      </c>
      <c r="AA1417">
        <v>3</v>
      </c>
      <c r="AB1417">
        <v>1</v>
      </c>
      <c r="AC1417">
        <v>2</v>
      </c>
      <c r="AD1417">
        <v>2</v>
      </c>
      <c r="AE1417">
        <v>1</v>
      </c>
      <c r="AF1417">
        <v>1</v>
      </c>
      <c r="AG1417">
        <v>0</v>
      </c>
      <c r="AH1417">
        <v>0</v>
      </c>
      <c r="AI1417" t="str">
        <f t="shared" si="88"/>
        <v>0-2 Years</v>
      </c>
      <c r="AJ1417" t="str">
        <f t="shared" si="89"/>
        <v>0-2</v>
      </c>
    </row>
    <row r="1418" spans="1:36" x14ac:dyDescent="0.35">
      <c r="A1418">
        <v>1417</v>
      </c>
      <c r="B1418">
        <v>38</v>
      </c>
      <c r="C1418" t="str">
        <f t="shared" si="90"/>
        <v>36-45</v>
      </c>
      <c r="D1418" t="s">
        <v>38</v>
      </c>
      <c r="E1418" t="s">
        <v>32</v>
      </c>
      <c r="F1418" s="3">
        <v>1389</v>
      </c>
      <c r="G1418" t="s">
        <v>33</v>
      </c>
      <c r="H1418" s="1">
        <v>1</v>
      </c>
      <c r="I1418" t="s">
        <v>60</v>
      </c>
      <c r="J1418" t="s">
        <v>34</v>
      </c>
      <c r="K1418" t="s">
        <v>62</v>
      </c>
      <c r="L1418" t="s">
        <v>41</v>
      </c>
      <c r="M1418" s="3">
        <v>86</v>
      </c>
      <c r="N1418" t="s">
        <v>60</v>
      </c>
      <c r="O1418" t="s">
        <v>61</v>
      </c>
      <c r="P1418" t="s">
        <v>36</v>
      </c>
      <c r="Q1418" t="s">
        <v>61</v>
      </c>
      <c r="R1418" t="s">
        <v>43</v>
      </c>
      <c r="S1418" s="3">
        <v>4440</v>
      </c>
      <c r="T1418" s="3">
        <v>7636</v>
      </c>
      <c r="U1418" s="3" t="str">
        <f t="shared" si="91"/>
        <v>Low</v>
      </c>
      <c r="V1418">
        <v>0</v>
      </c>
      <c r="W1418" t="s">
        <v>38</v>
      </c>
      <c r="X1418" s="2">
        <v>15</v>
      </c>
      <c r="Y1418" t="s">
        <v>60</v>
      </c>
      <c r="Z1418" t="s">
        <v>59</v>
      </c>
      <c r="AA1418">
        <v>2</v>
      </c>
      <c r="AB1418">
        <v>16</v>
      </c>
      <c r="AC1418">
        <v>3</v>
      </c>
      <c r="AD1418">
        <v>3</v>
      </c>
      <c r="AE1418">
        <v>15</v>
      </c>
      <c r="AF1418">
        <v>13</v>
      </c>
      <c r="AG1418">
        <v>5</v>
      </c>
      <c r="AH1418">
        <v>8</v>
      </c>
      <c r="AI1418" t="str">
        <f t="shared" si="88"/>
        <v>10+ Years</v>
      </c>
      <c r="AJ1418" t="str">
        <f t="shared" si="89"/>
        <v>3-5</v>
      </c>
    </row>
    <row r="1419" spans="1:36" x14ac:dyDescent="0.35">
      <c r="A1419">
        <v>1418</v>
      </c>
      <c r="B1419">
        <v>31</v>
      </c>
      <c r="C1419" t="str">
        <f t="shared" si="90"/>
        <v>26-35</v>
      </c>
      <c r="D1419" t="s">
        <v>38</v>
      </c>
      <c r="E1419" t="s">
        <v>32</v>
      </c>
      <c r="F1419" s="3">
        <v>1389</v>
      </c>
      <c r="G1419" t="s">
        <v>33</v>
      </c>
      <c r="H1419" s="1">
        <v>2</v>
      </c>
      <c r="I1419" t="s">
        <v>58</v>
      </c>
      <c r="J1419" t="s">
        <v>34</v>
      </c>
      <c r="K1419" t="s">
        <v>59</v>
      </c>
      <c r="L1419" t="s">
        <v>41</v>
      </c>
      <c r="M1419" s="3">
        <v>54</v>
      </c>
      <c r="N1419" t="s">
        <v>60</v>
      </c>
      <c r="O1419" t="s">
        <v>59</v>
      </c>
      <c r="P1419" t="s">
        <v>52</v>
      </c>
      <c r="Q1419" t="s">
        <v>60</v>
      </c>
      <c r="R1419" t="s">
        <v>43</v>
      </c>
      <c r="S1419" s="3">
        <v>3067</v>
      </c>
      <c r="T1419" s="3">
        <v>6393</v>
      </c>
      <c r="U1419" s="3" t="str">
        <f t="shared" si="91"/>
        <v>Low</v>
      </c>
      <c r="V1419">
        <v>0</v>
      </c>
      <c r="W1419" t="s">
        <v>38</v>
      </c>
      <c r="X1419" s="2">
        <v>19</v>
      </c>
      <c r="Y1419" t="s">
        <v>60</v>
      </c>
      <c r="Z1419" t="s">
        <v>60</v>
      </c>
      <c r="AA1419">
        <v>1</v>
      </c>
      <c r="AB1419">
        <v>3</v>
      </c>
      <c r="AC1419">
        <v>1</v>
      </c>
      <c r="AD1419">
        <v>3</v>
      </c>
      <c r="AE1419">
        <v>2</v>
      </c>
      <c r="AF1419">
        <v>2</v>
      </c>
      <c r="AG1419">
        <v>1</v>
      </c>
      <c r="AH1419">
        <v>2</v>
      </c>
      <c r="AI1419" t="str">
        <f t="shared" si="88"/>
        <v>0-2 Years</v>
      </c>
      <c r="AJ1419" t="str">
        <f t="shared" si="89"/>
        <v>0-2</v>
      </c>
    </row>
    <row r="1420" spans="1:36" x14ac:dyDescent="0.35">
      <c r="A1420">
        <v>1419</v>
      </c>
      <c r="B1420">
        <v>38</v>
      </c>
      <c r="C1420" t="str">
        <f t="shared" si="90"/>
        <v>36-45</v>
      </c>
      <c r="D1420" t="s">
        <v>38</v>
      </c>
      <c r="E1420" t="s">
        <v>39</v>
      </c>
      <c r="F1420" s="3">
        <v>1389</v>
      </c>
      <c r="G1420" t="s">
        <v>40</v>
      </c>
      <c r="H1420" s="1">
        <v>6</v>
      </c>
      <c r="I1420" t="s">
        <v>60</v>
      </c>
      <c r="J1420" t="s">
        <v>34</v>
      </c>
      <c r="K1420" t="s">
        <v>59</v>
      </c>
      <c r="L1420" t="s">
        <v>41</v>
      </c>
      <c r="M1420" s="3">
        <v>72</v>
      </c>
      <c r="N1420" t="s">
        <v>61</v>
      </c>
      <c r="O1420" t="s">
        <v>61</v>
      </c>
      <c r="P1420" t="s">
        <v>48</v>
      </c>
      <c r="Q1420" t="s">
        <v>60</v>
      </c>
      <c r="R1420" t="s">
        <v>43</v>
      </c>
      <c r="S1420" s="3">
        <v>5321</v>
      </c>
      <c r="T1420" s="3">
        <v>14284</v>
      </c>
      <c r="U1420" s="3" t="str">
        <f t="shared" si="91"/>
        <v>Medium</v>
      </c>
      <c r="V1420">
        <v>2</v>
      </c>
      <c r="W1420" t="s">
        <v>38</v>
      </c>
      <c r="X1420" s="2">
        <v>11</v>
      </c>
      <c r="Y1420" t="s">
        <v>60</v>
      </c>
      <c r="Z1420" t="s">
        <v>62</v>
      </c>
      <c r="AA1420">
        <v>1</v>
      </c>
      <c r="AB1420">
        <v>10</v>
      </c>
      <c r="AC1420">
        <v>1</v>
      </c>
      <c r="AD1420">
        <v>3</v>
      </c>
      <c r="AE1420">
        <v>8</v>
      </c>
      <c r="AF1420">
        <v>3</v>
      </c>
      <c r="AG1420">
        <v>7</v>
      </c>
      <c r="AH1420">
        <v>7</v>
      </c>
      <c r="AI1420" t="str">
        <f t="shared" si="88"/>
        <v>6-10 Years</v>
      </c>
      <c r="AJ1420" t="str">
        <f t="shared" si="89"/>
        <v>6+</v>
      </c>
    </row>
    <row r="1421" spans="1:36" x14ac:dyDescent="0.35">
      <c r="A1421">
        <v>1420</v>
      </c>
      <c r="B1421">
        <v>42</v>
      </c>
      <c r="C1421" t="str">
        <f t="shared" si="90"/>
        <v>36-45</v>
      </c>
      <c r="D1421" t="s">
        <v>38</v>
      </c>
      <c r="E1421" t="s">
        <v>32</v>
      </c>
      <c r="F1421" s="3">
        <v>1389</v>
      </c>
      <c r="G1421" t="s">
        <v>40</v>
      </c>
      <c r="H1421" s="1">
        <v>18</v>
      </c>
      <c r="I1421" t="s">
        <v>60</v>
      </c>
      <c r="J1421" t="s">
        <v>34</v>
      </c>
      <c r="K1421" t="s">
        <v>62</v>
      </c>
      <c r="L1421" t="s">
        <v>41</v>
      </c>
      <c r="M1421" s="3">
        <v>35</v>
      </c>
      <c r="N1421" t="s">
        <v>60</v>
      </c>
      <c r="O1421" t="s">
        <v>61</v>
      </c>
      <c r="P1421" t="s">
        <v>42</v>
      </c>
      <c r="Q1421" t="s">
        <v>59</v>
      </c>
      <c r="R1421" t="s">
        <v>47</v>
      </c>
      <c r="S1421" s="3">
        <v>5410</v>
      </c>
      <c r="T1421" s="3">
        <v>11189</v>
      </c>
      <c r="U1421" s="3" t="str">
        <f t="shared" si="91"/>
        <v>Medium</v>
      </c>
      <c r="V1421">
        <v>6</v>
      </c>
      <c r="W1421" t="s">
        <v>31</v>
      </c>
      <c r="X1421" s="2">
        <v>17</v>
      </c>
      <c r="Y1421" t="s">
        <v>60</v>
      </c>
      <c r="Z1421" t="s">
        <v>60</v>
      </c>
      <c r="AA1421">
        <v>1</v>
      </c>
      <c r="AB1421">
        <v>9</v>
      </c>
      <c r="AC1421">
        <v>3</v>
      </c>
      <c r="AD1421">
        <v>2</v>
      </c>
      <c r="AE1421">
        <v>4</v>
      </c>
      <c r="AF1421">
        <v>3</v>
      </c>
      <c r="AG1421">
        <v>1</v>
      </c>
      <c r="AH1421">
        <v>2</v>
      </c>
      <c r="AI1421" t="str">
        <f t="shared" si="88"/>
        <v>3-5 Years</v>
      </c>
      <c r="AJ1421" t="str">
        <f t="shared" si="89"/>
        <v>0-2</v>
      </c>
    </row>
    <row r="1422" spans="1:36" x14ac:dyDescent="0.35">
      <c r="A1422">
        <v>1421</v>
      </c>
      <c r="B1422">
        <v>41</v>
      </c>
      <c r="C1422" t="str">
        <f t="shared" si="90"/>
        <v>36-45</v>
      </c>
      <c r="D1422" t="s">
        <v>38</v>
      </c>
      <c r="E1422" t="s">
        <v>32</v>
      </c>
      <c r="F1422" s="3">
        <v>1389</v>
      </c>
      <c r="G1422" t="s">
        <v>40</v>
      </c>
      <c r="H1422" s="1">
        <v>1</v>
      </c>
      <c r="I1422" t="s">
        <v>61</v>
      </c>
      <c r="J1422" t="s">
        <v>34</v>
      </c>
      <c r="K1422" t="s">
        <v>62</v>
      </c>
      <c r="L1422" t="s">
        <v>41</v>
      </c>
      <c r="M1422" s="3">
        <v>76</v>
      </c>
      <c r="N1422" t="s">
        <v>60</v>
      </c>
      <c r="O1422" t="s">
        <v>59</v>
      </c>
      <c r="P1422" t="s">
        <v>42</v>
      </c>
      <c r="Q1422" t="s">
        <v>62</v>
      </c>
      <c r="R1422" t="s">
        <v>43</v>
      </c>
      <c r="S1422" s="3">
        <v>2782</v>
      </c>
      <c r="T1422" s="3">
        <v>21412</v>
      </c>
      <c r="U1422" s="3" t="str">
        <f t="shared" si="91"/>
        <v>Low</v>
      </c>
      <c r="V1422">
        <v>3</v>
      </c>
      <c r="W1422" t="s">
        <v>38</v>
      </c>
      <c r="X1422" s="2">
        <v>22</v>
      </c>
      <c r="Y1422" t="s">
        <v>62</v>
      </c>
      <c r="Z1422" t="s">
        <v>59</v>
      </c>
      <c r="AA1422">
        <v>1</v>
      </c>
      <c r="AB1422">
        <v>12</v>
      </c>
      <c r="AC1422">
        <v>3</v>
      </c>
      <c r="AD1422">
        <v>3</v>
      </c>
      <c r="AE1422">
        <v>5</v>
      </c>
      <c r="AF1422">
        <v>3</v>
      </c>
      <c r="AG1422">
        <v>1</v>
      </c>
      <c r="AH1422">
        <v>0</v>
      </c>
      <c r="AI1422" t="str">
        <f t="shared" si="88"/>
        <v>3-5 Years</v>
      </c>
      <c r="AJ1422" t="str">
        <f t="shared" si="89"/>
        <v>0-2</v>
      </c>
    </row>
    <row r="1423" spans="1:36" x14ac:dyDescent="0.35">
      <c r="A1423">
        <v>1422</v>
      </c>
      <c r="B1423">
        <v>47</v>
      </c>
      <c r="C1423" t="str">
        <f t="shared" si="90"/>
        <v>46-55</v>
      </c>
      <c r="D1423" t="s">
        <v>38</v>
      </c>
      <c r="E1423" t="s">
        <v>50</v>
      </c>
      <c r="F1423" s="3">
        <v>1389</v>
      </c>
      <c r="G1423" t="s">
        <v>40</v>
      </c>
      <c r="H1423" s="1">
        <v>1</v>
      </c>
      <c r="I1423" t="s">
        <v>59</v>
      </c>
      <c r="J1423" t="s">
        <v>46</v>
      </c>
      <c r="K1423" t="s">
        <v>60</v>
      </c>
      <c r="L1423" t="s">
        <v>35</v>
      </c>
      <c r="M1423" s="3">
        <v>98</v>
      </c>
      <c r="N1423" t="s">
        <v>60</v>
      </c>
      <c r="O1423" t="s">
        <v>60</v>
      </c>
      <c r="P1423" t="s">
        <v>53</v>
      </c>
      <c r="Q1423" t="s">
        <v>61</v>
      </c>
      <c r="R1423" t="s">
        <v>43</v>
      </c>
      <c r="S1423" s="3">
        <v>11957</v>
      </c>
      <c r="T1423" s="3">
        <v>17231</v>
      </c>
      <c r="U1423" s="3" t="str">
        <f t="shared" si="91"/>
        <v>High</v>
      </c>
      <c r="V1423">
        <v>0</v>
      </c>
      <c r="W1423" t="s">
        <v>38</v>
      </c>
      <c r="X1423" s="2">
        <v>18</v>
      </c>
      <c r="Y1423" t="s">
        <v>60</v>
      </c>
      <c r="Z1423" t="s">
        <v>59</v>
      </c>
      <c r="AA1423">
        <v>2</v>
      </c>
      <c r="AB1423">
        <v>14</v>
      </c>
      <c r="AC1423">
        <v>3</v>
      </c>
      <c r="AD1423">
        <v>1</v>
      </c>
      <c r="AE1423">
        <v>13</v>
      </c>
      <c r="AF1423">
        <v>8</v>
      </c>
      <c r="AG1423">
        <v>5</v>
      </c>
      <c r="AH1423">
        <v>12</v>
      </c>
      <c r="AI1423" t="str">
        <f t="shared" si="88"/>
        <v>10+ Years</v>
      </c>
      <c r="AJ1423" t="str">
        <f t="shared" si="89"/>
        <v>3-5</v>
      </c>
    </row>
    <row r="1424" spans="1:36" x14ac:dyDescent="0.35">
      <c r="A1424">
        <v>1423</v>
      </c>
      <c r="B1424">
        <v>35</v>
      </c>
      <c r="C1424" t="str">
        <f t="shared" si="90"/>
        <v>26-35</v>
      </c>
      <c r="D1424" t="s">
        <v>38</v>
      </c>
      <c r="E1424" t="s">
        <v>32</v>
      </c>
      <c r="F1424" s="3">
        <v>1389</v>
      </c>
      <c r="G1424" t="s">
        <v>40</v>
      </c>
      <c r="H1424" s="1">
        <v>11</v>
      </c>
      <c r="I1424" t="s">
        <v>60</v>
      </c>
      <c r="J1424" t="s">
        <v>46</v>
      </c>
      <c r="K1424" t="s">
        <v>62</v>
      </c>
      <c r="L1424" t="s">
        <v>41</v>
      </c>
      <c r="M1424" s="3">
        <v>43</v>
      </c>
      <c r="N1424" t="s">
        <v>60</v>
      </c>
      <c r="O1424" t="s">
        <v>59</v>
      </c>
      <c r="P1424" t="s">
        <v>45</v>
      </c>
      <c r="Q1424" t="s">
        <v>60</v>
      </c>
      <c r="R1424" t="s">
        <v>43</v>
      </c>
      <c r="S1424" s="3">
        <v>2660</v>
      </c>
      <c r="T1424" s="3">
        <v>20232</v>
      </c>
      <c r="U1424" s="3" t="str">
        <f t="shared" si="91"/>
        <v>Low</v>
      </c>
      <c r="V1424">
        <v>7</v>
      </c>
      <c r="W1424" t="s">
        <v>31</v>
      </c>
      <c r="X1424" s="2">
        <v>11</v>
      </c>
      <c r="Y1424" t="s">
        <v>60</v>
      </c>
      <c r="Z1424" t="s">
        <v>60</v>
      </c>
      <c r="AA1424">
        <v>1</v>
      </c>
      <c r="AB1424">
        <v>5</v>
      </c>
      <c r="AC1424">
        <v>3</v>
      </c>
      <c r="AD1424">
        <v>3</v>
      </c>
      <c r="AE1424">
        <v>2</v>
      </c>
      <c r="AF1424">
        <v>2</v>
      </c>
      <c r="AG1424">
        <v>2</v>
      </c>
      <c r="AH1424">
        <v>2</v>
      </c>
      <c r="AI1424" t="str">
        <f t="shared" si="88"/>
        <v>0-2 Years</v>
      </c>
      <c r="AJ1424" t="str">
        <f t="shared" si="89"/>
        <v>0-2</v>
      </c>
    </row>
    <row r="1425" spans="1:36" x14ac:dyDescent="0.35">
      <c r="A1425">
        <v>1424</v>
      </c>
      <c r="B1425">
        <v>22</v>
      </c>
      <c r="C1425" t="str">
        <f t="shared" si="90"/>
        <v>18-25</v>
      </c>
      <c r="D1425" t="s">
        <v>38</v>
      </c>
      <c r="E1425" t="s">
        <v>32</v>
      </c>
      <c r="F1425" s="3">
        <v>1389</v>
      </c>
      <c r="G1425" t="s">
        <v>40</v>
      </c>
      <c r="H1425" s="1">
        <v>1</v>
      </c>
      <c r="I1425" t="s">
        <v>58</v>
      </c>
      <c r="J1425" t="s">
        <v>34</v>
      </c>
      <c r="K1425" t="s">
        <v>62</v>
      </c>
      <c r="L1425" t="s">
        <v>41</v>
      </c>
      <c r="M1425" s="3">
        <v>63</v>
      </c>
      <c r="N1425" t="s">
        <v>60</v>
      </c>
      <c r="O1425" t="s">
        <v>59</v>
      </c>
      <c r="P1425" t="s">
        <v>42</v>
      </c>
      <c r="Q1425" t="s">
        <v>60</v>
      </c>
      <c r="R1425" t="s">
        <v>37</v>
      </c>
      <c r="S1425" s="3">
        <v>3375</v>
      </c>
      <c r="T1425" s="3">
        <v>17624</v>
      </c>
      <c r="U1425" s="3" t="str">
        <f t="shared" si="91"/>
        <v>Low</v>
      </c>
      <c r="V1425">
        <v>0</v>
      </c>
      <c r="W1425" t="s">
        <v>38</v>
      </c>
      <c r="X1425" s="2">
        <v>12</v>
      </c>
      <c r="Y1425" t="s">
        <v>60</v>
      </c>
      <c r="Z1425" t="s">
        <v>62</v>
      </c>
      <c r="AA1425">
        <v>0</v>
      </c>
      <c r="AB1425">
        <v>4</v>
      </c>
      <c r="AC1425">
        <v>2</v>
      </c>
      <c r="AD1425">
        <v>4</v>
      </c>
      <c r="AE1425">
        <v>3</v>
      </c>
      <c r="AF1425">
        <v>2</v>
      </c>
      <c r="AG1425">
        <v>1</v>
      </c>
      <c r="AH1425">
        <v>2</v>
      </c>
      <c r="AI1425" t="str">
        <f t="shared" si="88"/>
        <v>3-5 Years</v>
      </c>
      <c r="AJ1425" t="str">
        <f t="shared" si="89"/>
        <v>0-2</v>
      </c>
    </row>
    <row r="1426" spans="1:36" x14ac:dyDescent="0.35">
      <c r="A1426">
        <v>1425</v>
      </c>
      <c r="B1426">
        <v>35</v>
      </c>
      <c r="C1426" t="str">
        <f t="shared" si="90"/>
        <v>26-35</v>
      </c>
      <c r="D1426" t="s">
        <v>38</v>
      </c>
      <c r="E1426" t="s">
        <v>32</v>
      </c>
      <c r="F1426" s="3">
        <v>1389</v>
      </c>
      <c r="G1426" t="s">
        <v>40</v>
      </c>
      <c r="H1426" s="1">
        <v>9</v>
      </c>
      <c r="I1426" t="s">
        <v>60</v>
      </c>
      <c r="J1426" t="s">
        <v>46</v>
      </c>
      <c r="K1426" t="s">
        <v>61</v>
      </c>
      <c r="L1426" t="s">
        <v>41</v>
      </c>
      <c r="M1426" s="3">
        <v>48</v>
      </c>
      <c r="N1426" t="s">
        <v>60</v>
      </c>
      <c r="O1426" t="s">
        <v>61</v>
      </c>
      <c r="P1426" t="s">
        <v>42</v>
      </c>
      <c r="Q1426" t="s">
        <v>60</v>
      </c>
      <c r="R1426" t="s">
        <v>37</v>
      </c>
      <c r="S1426" s="3">
        <v>5098</v>
      </c>
      <c r="T1426" s="3">
        <v>18698</v>
      </c>
      <c r="U1426" s="3" t="str">
        <f t="shared" si="91"/>
        <v>Medium</v>
      </c>
      <c r="V1426">
        <v>1</v>
      </c>
      <c r="W1426" t="s">
        <v>38</v>
      </c>
      <c r="X1426" s="2">
        <v>19</v>
      </c>
      <c r="Y1426" t="s">
        <v>60</v>
      </c>
      <c r="Z1426" t="s">
        <v>61</v>
      </c>
      <c r="AA1426">
        <v>0</v>
      </c>
      <c r="AB1426">
        <v>10</v>
      </c>
      <c r="AC1426">
        <v>5</v>
      </c>
      <c r="AD1426">
        <v>3</v>
      </c>
      <c r="AE1426">
        <v>10</v>
      </c>
      <c r="AF1426">
        <v>7</v>
      </c>
      <c r="AG1426">
        <v>0</v>
      </c>
      <c r="AH1426">
        <v>8</v>
      </c>
      <c r="AI1426" t="str">
        <f t="shared" si="88"/>
        <v>6-10 Years</v>
      </c>
      <c r="AJ1426" t="str">
        <f t="shared" si="89"/>
        <v>0-2</v>
      </c>
    </row>
    <row r="1427" spans="1:36" x14ac:dyDescent="0.35">
      <c r="A1427">
        <v>1426</v>
      </c>
      <c r="B1427">
        <v>33</v>
      </c>
      <c r="C1427" t="str">
        <f t="shared" si="90"/>
        <v>26-35</v>
      </c>
      <c r="D1427" t="s">
        <v>38</v>
      </c>
      <c r="E1427" t="s">
        <v>32</v>
      </c>
      <c r="F1427" s="3">
        <v>1389</v>
      </c>
      <c r="G1427" t="s">
        <v>40</v>
      </c>
      <c r="H1427" s="1">
        <v>15</v>
      </c>
      <c r="I1427" t="s">
        <v>58</v>
      </c>
      <c r="J1427" t="s">
        <v>46</v>
      </c>
      <c r="K1427" t="s">
        <v>61</v>
      </c>
      <c r="L1427" t="s">
        <v>35</v>
      </c>
      <c r="M1427" s="3">
        <v>95</v>
      </c>
      <c r="N1427" t="s">
        <v>60</v>
      </c>
      <c r="O1427" t="s">
        <v>61</v>
      </c>
      <c r="P1427" t="s">
        <v>49</v>
      </c>
      <c r="Q1427" t="s">
        <v>62</v>
      </c>
      <c r="R1427" t="s">
        <v>43</v>
      </c>
      <c r="S1427" s="3">
        <v>4878</v>
      </c>
      <c r="T1427" s="3">
        <v>21653</v>
      </c>
      <c r="U1427" s="3" t="str">
        <f t="shared" si="91"/>
        <v>Low</v>
      </c>
      <c r="V1427">
        <v>0</v>
      </c>
      <c r="W1427" t="s">
        <v>31</v>
      </c>
      <c r="X1427" s="2">
        <v>13</v>
      </c>
      <c r="Y1427" t="s">
        <v>60</v>
      </c>
      <c r="Z1427" t="s">
        <v>59</v>
      </c>
      <c r="AA1427">
        <v>1</v>
      </c>
      <c r="AB1427">
        <v>10</v>
      </c>
      <c r="AC1427">
        <v>6</v>
      </c>
      <c r="AD1427">
        <v>3</v>
      </c>
      <c r="AE1427">
        <v>9</v>
      </c>
      <c r="AF1427">
        <v>7</v>
      </c>
      <c r="AG1427">
        <v>8</v>
      </c>
      <c r="AH1427">
        <v>1</v>
      </c>
      <c r="AI1427" t="str">
        <f t="shared" si="88"/>
        <v>6-10 Years</v>
      </c>
      <c r="AJ1427" t="str">
        <f t="shared" si="89"/>
        <v>6+</v>
      </c>
    </row>
    <row r="1428" spans="1:36" x14ac:dyDescent="0.35">
      <c r="A1428">
        <v>1427</v>
      </c>
      <c r="B1428">
        <v>32</v>
      </c>
      <c r="C1428" t="str">
        <f t="shared" si="90"/>
        <v>26-35</v>
      </c>
      <c r="D1428" t="s">
        <v>38</v>
      </c>
      <c r="E1428" t="s">
        <v>32</v>
      </c>
      <c r="F1428" s="3">
        <v>1389</v>
      </c>
      <c r="G1428" t="s">
        <v>40</v>
      </c>
      <c r="H1428" s="1">
        <v>29</v>
      </c>
      <c r="I1428" t="s">
        <v>60</v>
      </c>
      <c r="J1428" t="s">
        <v>34</v>
      </c>
      <c r="K1428" t="s">
        <v>60</v>
      </c>
      <c r="L1428" t="s">
        <v>35</v>
      </c>
      <c r="M1428" s="3">
        <v>49</v>
      </c>
      <c r="N1428" t="s">
        <v>61</v>
      </c>
      <c r="O1428" t="s">
        <v>59</v>
      </c>
      <c r="P1428" t="s">
        <v>45</v>
      </c>
      <c r="Q1428" t="s">
        <v>61</v>
      </c>
      <c r="R1428" t="s">
        <v>37</v>
      </c>
      <c r="S1428" s="3">
        <v>2837</v>
      </c>
      <c r="T1428" s="3">
        <v>15919</v>
      </c>
      <c r="U1428" s="3" t="str">
        <f t="shared" si="91"/>
        <v>Low</v>
      </c>
      <c r="V1428">
        <v>1</v>
      </c>
      <c r="W1428" t="s">
        <v>38</v>
      </c>
      <c r="X1428" s="2">
        <v>13</v>
      </c>
      <c r="Y1428" t="s">
        <v>60</v>
      </c>
      <c r="Z1428" t="s">
        <v>60</v>
      </c>
      <c r="AA1428">
        <v>0</v>
      </c>
      <c r="AB1428">
        <v>6</v>
      </c>
      <c r="AC1428">
        <v>3</v>
      </c>
      <c r="AD1428">
        <v>3</v>
      </c>
      <c r="AE1428">
        <v>6</v>
      </c>
      <c r="AF1428">
        <v>2</v>
      </c>
      <c r="AG1428">
        <v>4</v>
      </c>
      <c r="AH1428">
        <v>1</v>
      </c>
      <c r="AI1428" t="str">
        <f t="shared" si="88"/>
        <v>6-10 Years</v>
      </c>
      <c r="AJ1428" t="str">
        <f t="shared" si="89"/>
        <v>3-5</v>
      </c>
    </row>
    <row r="1429" spans="1:36" x14ac:dyDescent="0.35">
      <c r="A1429">
        <v>1428</v>
      </c>
      <c r="B1429">
        <v>40</v>
      </c>
      <c r="C1429" t="str">
        <f t="shared" si="90"/>
        <v>36-45</v>
      </c>
      <c r="D1429" t="s">
        <v>38</v>
      </c>
      <c r="E1429" t="s">
        <v>32</v>
      </c>
      <c r="F1429" s="3">
        <v>1389</v>
      </c>
      <c r="G1429" t="s">
        <v>40</v>
      </c>
      <c r="H1429" s="1">
        <v>1</v>
      </c>
      <c r="I1429" t="s">
        <v>60</v>
      </c>
      <c r="J1429" t="s">
        <v>34</v>
      </c>
      <c r="K1429" t="s">
        <v>59</v>
      </c>
      <c r="L1429" t="s">
        <v>41</v>
      </c>
      <c r="M1429" s="3">
        <v>83</v>
      </c>
      <c r="N1429" t="s">
        <v>60</v>
      </c>
      <c r="O1429" t="s">
        <v>59</v>
      </c>
      <c r="P1429" t="s">
        <v>45</v>
      </c>
      <c r="Q1429" t="s">
        <v>62</v>
      </c>
      <c r="R1429" t="s">
        <v>43</v>
      </c>
      <c r="S1429" s="3">
        <v>2406</v>
      </c>
      <c r="T1429" s="3">
        <v>4060</v>
      </c>
      <c r="U1429" s="3" t="str">
        <f t="shared" si="91"/>
        <v>Low</v>
      </c>
      <c r="V1429">
        <v>8</v>
      </c>
      <c r="W1429" t="s">
        <v>38</v>
      </c>
      <c r="X1429" s="2">
        <v>19</v>
      </c>
      <c r="Y1429" t="s">
        <v>60</v>
      </c>
      <c r="Z1429" t="s">
        <v>60</v>
      </c>
      <c r="AA1429">
        <v>2</v>
      </c>
      <c r="AB1429">
        <v>8</v>
      </c>
      <c r="AC1429">
        <v>3</v>
      </c>
      <c r="AD1429">
        <v>2</v>
      </c>
      <c r="AE1429">
        <v>1</v>
      </c>
      <c r="AF1429">
        <v>0</v>
      </c>
      <c r="AG1429">
        <v>0</v>
      </c>
      <c r="AH1429">
        <v>0</v>
      </c>
      <c r="AI1429" t="str">
        <f t="shared" si="88"/>
        <v>0-2 Years</v>
      </c>
      <c r="AJ1429" t="str">
        <f t="shared" si="89"/>
        <v>0-2</v>
      </c>
    </row>
    <row r="1430" spans="1:36" x14ac:dyDescent="0.35">
      <c r="A1430">
        <v>1429</v>
      </c>
      <c r="B1430">
        <v>32</v>
      </c>
      <c r="C1430" t="str">
        <f t="shared" si="90"/>
        <v>26-35</v>
      </c>
      <c r="D1430" t="s">
        <v>38</v>
      </c>
      <c r="E1430" t="s">
        <v>32</v>
      </c>
      <c r="F1430" s="3">
        <v>1389</v>
      </c>
      <c r="G1430" t="s">
        <v>33</v>
      </c>
      <c r="H1430" s="1">
        <v>1</v>
      </c>
      <c r="I1430" t="s">
        <v>60</v>
      </c>
      <c r="J1430" t="s">
        <v>46</v>
      </c>
      <c r="K1430" t="s">
        <v>61</v>
      </c>
      <c r="L1430" t="s">
        <v>41</v>
      </c>
      <c r="M1430" s="3">
        <v>68</v>
      </c>
      <c r="N1430" t="s">
        <v>61</v>
      </c>
      <c r="O1430" t="s">
        <v>59</v>
      </c>
      <c r="P1430" t="s">
        <v>52</v>
      </c>
      <c r="Q1430" t="s">
        <v>61</v>
      </c>
      <c r="R1430" t="s">
        <v>43</v>
      </c>
      <c r="S1430" s="3">
        <v>2269</v>
      </c>
      <c r="T1430" s="3">
        <v>18024</v>
      </c>
      <c r="U1430" s="3" t="str">
        <f t="shared" si="91"/>
        <v>Low</v>
      </c>
      <c r="V1430">
        <v>0</v>
      </c>
      <c r="W1430" t="s">
        <v>38</v>
      </c>
      <c r="X1430" s="2">
        <v>14</v>
      </c>
      <c r="Y1430" t="s">
        <v>60</v>
      </c>
      <c r="Z1430" t="s">
        <v>61</v>
      </c>
      <c r="AA1430">
        <v>1</v>
      </c>
      <c r="AB1430">
        <v>3</v>
      </c>
      <c r="AC1430">
        <v>2</v>
      </c>
      <c r="AD1430">
        <v>3</v>
      </c>
      <c r="AE1430">
        <v>2</v>
      </c>
      <c r="AF1430">
        <v>2</v>
      </c>
      <c r="AG1430">
        <v>2</v>
      </c>
      <c r="AH1430">
        <v>2</v>
      </c>
      <c r="AI1430" t="str">
        <f t="shared" si="88"/>
        <v>0-2 Years</v>
      </c>
      <c r="AJ1430" t="str">
        <f t="shared" si="89"/>
        <v>0-2</v>
      </c>
    </row>
    <row r="1431" spans="1:36" x14ac:dyDescent="0.35">
      <c r="A1431">
        <v>1430</v>
      </c>
      <c r="B1431">
        <v>39</v>
      </c>
      <c r="C1431" t="str">
        <f t="shared" si="90"/>
        <v>36-45</v>
      </c>
      <c r="D1431" t="s">
        <v>38</v>
      </c>
      <c r="E1431" t="s">
        <v>32</v>
      </c>
      <c r="F1431" s="3">
        <v>1389</v>
      </c>
      <c r="G1431" t="s">
        <v>40</v>
      </c>
      <c r="H1431" s="1">
        <v>24</v>
      </c>
      <c r="I1431" t="s">
        <v>59</v>
      </c>
      <c r="J1431" t="s">
        <v>34</v>
      </c>
      <c r="K1431" t="s">
        <v>59</v>
      </c>
      <c r="L1431" t="s">
        <v>41</v>
      </c>
      <c r="M1431" s="3">
        <v>52</v>
      </c>
      <c r="N1431" t="s">
        <v>60</v>
      </c>
      <c r="O1431" t="s">
        <v>61</v>
      </c>
      <c r="P1431" t="s">
        <v>42</v>
      </c>
      <c r="Q1431" t="s">
        <v>62</v>
      </c>
      <c r="R1431" t="s">
        <v>37</v>
      </c>
      <c r="S1431" s="3">
        <v>4108</v>
      </c>
      <c r="T1431" s="3">
        <v>5340</v>
      </c>
      <c r="U1431" s="3" t="str">
        <f t="shared" si="91"/>
        <v>Low</v>
      </c>
      <c r="V1431">
        <v>7</v>
      </c>
      <c r="W1431" t="s">
        <v>38</v>
      </c>
      <c r="X1431" s="2">
        <v>13</v>
      </c>
      <c r="Y1431" t="s">
        <v>60</v>
      </c>
      <c r="Z1431" t="s">
        <v>59</v>
      </c>
      <c r="AA1431">
        <v>0</v>
      </c>
      <c r="AB1431">
        <v>18</v>
      </c>
      <c r="AC1431">
        <v>2</v>
      </c>
      <c r="AD1431">
        <v>3</v>
      </c>
      <c r="AE1431">
        <v>7</v>
      </c>
      <c r="AF1431">
        <v>7</v>
      </c>
      <c r="AG1431">
        <v>1</v>
      </c>
      <c r="AH1431">
        <v>7</v>
      </c>
      <c r="AI1431" t="str">
        <f t="shared" si="88"/>
        <v>6-10 Years</v>
      </c>
      <c r="AJ1431" t="str">
        <f t="shared" si="89"/>
        <v>0-2</v>
      </c>
    </row>
    <row r="1432" spans="1:36" x14ac:dyDescent="0.35">
      <c r="A1432">
        <v>1431</v>
      </c>
      <c r="B1432">
        <v>38</v>
      </c>
      <c r="C1432" t="str">
        <f t="shared" si="90"/>
        <v>36-45</v>
      </c>
      <c r="D1432" t="s">
        <v>38</v>
      </c>
      <c r="E1432" t="s">
        <v>32</v>
      </c>
      <c r="F1432" s="3">
        <v>1389</v>
      </c>
      <c r="G1432" t="s">
        <v>40</v>
      </c>
      <c r="H1432" s="1">
        <v>10</v>
      </c>
      <c r="I1432" t="s">
        <v>61</v>
      </c>
      <c r="J1432" t="s">
        <v>46</v>
      </c>
      <c r="K1432" t="s">
        <v>61</v>
      </c>
      <c r="L1432" t="s">
        <v>35</v>
      </c>
      <c r="M1432" s="3">
        <v>99</v>
      </c>
      <c r="N1432" t="s">
        <v>59</v>
      </c>
      <c r="O1432" t="s">
        <v>60</v>
      </c>
      <c r="P1432" t="s">
        <v>53</v>
      </c>
      <c r="Q1432" t="s">
        <v>60</v>
      </c>
      <c r="R1432" t="s">
        <v>43</v>
      </c>
      <c r="S1432" s="3">
        <v>13206</v>
      </c>
      <c r="T1432" s="3">
        <v>3376</v>
      </c>
      <c r="U1432" s="3" t="str">
        <f t="shared" si="91"/>
        <v>High</v>
      </c>
      <c r="V1432">
        <v>3</v>
      </c>
      <c r="W1432" t="s">
        <v>38</v>
      </c>
      <c r="X1432" s="2">
        <v>12</v>
      </c>
      <c r="Y1432" t="s">
        <v>60</v>
      </c>
      <c r="Z1432" t="s">
        <v>59</v>
      </c>
      <c r="AA1432">
        <v>1</v>
      </c>
      <c r="AB1432">
        <v>20</v>
      </c>
      <c r="AC1432">
        <v>3</v>
      </c>
      <c r="AD1432">
        <v>3</v>
      </c>
      <c r="AE1432">
        <v>18</v>
      </c>
      <c r="AF1432">
        <v>16</v>
      </c>
      <c r="AG1432">
        <v>1</v>
      </c>
      <c r="AH1432">
        <v>11</v>
      </c>
      <c r="AI1432" t="str">
        <f t="shared" si="88"/>
        <v>10+ Years</v>
      </c>
      <c r="AJ1432" t="str">
        <f t="shared" si="89"/>
        <v>0-2</v>
      </c>
    </row>
    <row r="1433" spans="1:36" x14ac:dyDescent="0.35">
      <c r="A1433">
        <v>1432</v>
      </c>
      <c r="B1433">
        <v>32</v>
      </c>
      <c r="C1433" t="str">
        <f t="shared" si="90"/>
        <v>26-35</v>
      </c>
      <c r="D1433" t="s">
        <v>38</v>
      </c>
      <c r="E1433" t="s">
        <v>32</v>
      </c>
      <c r="F1433" s="3">
        <v>1389</v>
      </c>
      <c r="G1433" t="s">
        <v>33</v>
      </c>
      <c r="H1433" s="1">
        <v>1</v>
      </c>
      <c r="I1433" t="s">
        <v>60</v>
      </c>
      <c r="J1433" t="s">
        <v>54</v>
      </c>
      <c r="K1433" t="s">
        <v>60</v>
      </c>
      <c r="L1433" t="s">
        <v>35</v>
      </c>
      <c r="M1433" s="3">
        <v>48</v>
      </c>
      <c r="N1433" t="s">
        <v>60</v>
      </c>
      <c r="O1433" t="s">
        <v>60</v>
      </c>
      <c r="P1433" t="s">
        <v>36</v>
      </c>
      <c r="Q1433" t="s">
        <v>62</v>
      </c>
      <c r="R1433" t="s">
        <v>43</v>
      </c>
      <c r="S1433" s="3">
        <v>10422</v>
      </c>
      <c r="T1433" s="3">
        <v>24032</v>
      </c>
      <c r="U1433" s="3" t="str">
        <f t="shared" si="91"/>
        <v>High</v>
      </c>
      <c r="V1433">
        <v>1</v>
      </c>
      <c r="W1433" t="s">
        <v>38</v>
      </c>
      <c r="X1433" s="2">
        <v>19</v>
      </c>
      <c r="Y1433" t="s">
        <v>60</v>
      </c>
      <c r="Z1433" t="s">
        <v>60</v>
      </c>
      <c r="AA1433">
        <v>2</v>
      </c>
      <c r="AB1433">
        <v>14</v>
      </c>
      <c r="AC1433">
        <v>3</v>
      </c>
      <c r="AD1433">
        <v>3</v>
      </c>
      <c r="AE1433">
        <v>14</v>
      </c>
      <c r="AF1433">
        <v>10</v>
      </c>
      <c r="AG1433">
        <v>5</v>
      </c>
      <c r="AH1433">
        <v>7</v>
      </c>
      <c r="AI1433" t="str">
        <f t="shared" si="88"/>
        <v>10+ Years</v>
      </c>
      <c r="AJ1433" t="str">
        <f t="shared" si="89"/>
        <v>3-5</v>
      </c>
    </row>
    <row r="1434" spans="1:36" x14ac:dyDescent="0.35">
      <c r="A1434">
        <v>1433</v>
      </c>
      <c r="B1434">
        <v>37</v>
      </c>
      <c r="C1434" t="str">
        <f t="shared" si="90"/>
        <v>36-45</v>
      </c>
      <c r="D1434" t="s">
        <v>38</v>
      </c>
      <c r="E1434" t="s">
        <v>32</v>
      </c>
      <c r="F1434" s="3">
        <v>1389</v>
      </c>
      <c r="G1434" t="s">
        <v>40</v>
      </c>
      <c r="H1434" s="1">
        <v>10</v>
      </c>
      <c r="I1434" t="s">
        <v>61</v>
      </c>
      <c r="J1434" t="s">
        <v>34</v>
      </c>
      <c r="K1434" t="s">
        <v>60</v>
      </c>
      <c r="L1434" t="s">
        <v>35</v>
      </c>
      <c r="M1434" s="3">
        <v>42</v>
      </c>
      <c r="N1434" t="s">
        <v>62</v>
      </c>
      <c r="O1434" t="s">
        <v>60</v>
      </c>
      <c r="P1434" t="s">
        <v>53</v>
      </c>
      <c r="Q1434" t="s">
        <v>62</v>
      </c>
      <c r="R1434" t="s">
        <v>43</v>
      </c>
      <c r="S1434" s="3">
        <v>13744</v>
      </c>
      <c r="T1434" s="3">
        <v>15471</v>
      </c>
      <c r="U1434" s="3" t="str">
        <f t="shared" si="91"/>
        <v>High</v>
      </c>
      <c r="V1434">
        <v>1</v>
      </c>
      <c r="W1434" t="s">
        <v>31</v>
      </c>
      <c r="X1434" s="2">
        <v>25</v>
      </c>
      <c r="Y1434" t="s">
        <v>62</v>
      </c>
      <c r="Z1434" t="s">
        <v>59</v>
      </c>
      <c r="AA1434">
        <v>1</v>
      </c>
      <c r="AB1434">
        <v>16</v>
      </c>
      <c r="AC1434">
        <v>2</v>
      </c>
      <c r="AD1434">
        <v>3</v>
      </c>
      <c r="AE1434">
        <v>16</v>
      </c>
      <c r="AF1434">
        <v>11</v>
      </c>
      <c r="AG1434">
        <v>6</v>
      </c>
      <c r="AH1434">
        <v>8</v>
      </c>
      <c r="AI1434" t="str">
        <f t="shared" si="88"/>
        <v>10+ Years</v>
      </c>
      <c r="AJ1434" t="str">
        <f t="shared" si="89"/>
        <v>6+</v>
      </c>
    </row>
    <row r="1435" spans="1:36" x14ac:dyDescent="0.35">
      <c r="A1435">
        <v>1434</v>
      </c>
      <c r="B1435">
        <v>25</v>
      </c>
      <c r="C1435" t="str">
        <f t="shared" si="90"/>
        <v>18-25</v>
      </c>
      <c r="D1435" t="s">
        <v>38</v>
      </c>
      <c r="E1435" t="s">
        <v>32</v>
      </c>
      <c r="F1435" s="3">
        <v>1389</v>
      </c>
      <c r="G1435" t="s">
        <v>33</v>
      </c>
      <c r="H1435" s="1">
        <v>8</v>
      </c>
      <c r="I1435" t="s">
        <v>58</v>
      </c>
      <c r="J1435" t="s">
        <v>44</v>
      </c>
      <c r="K1435" t="s">
        <v>59</v>
      </c>
      <c r="L1435" t="s">
        <v>35</v>
      </c>
      <c r="M1435" s="3">
        <v>85</v>
      </c>
      <c r="N1435" t="s">
        <v>60</v>
      </c>
      <c r="O1435" t="s">
        <v>61</v>
      </c>
      <c r="P1435" t="s">
        <v>36</v>
      </c>
      <c r="Q1435" t="s">
        <v>60</v>
      </c>
      <c r="R1435" t="s">
        <v>47</v>
      </c>
      <c r="S1435" s="3">
        <v>4907</v>
      </c>
      <c r="T1435" s="3">
        <v>13684</v>
      </c>
      <c r="U1435" s="3" t="str">
        <f t="shared" si="91"/>
        <v>Low</v>
      </c>
      <c r="V1435">
        <v>0</v>
      </c>
      <c r="W1435" t="s">
        <v>31</v>
      </c>
      <c r="X1435" s="2">
        <v>22</v>
      </c>
      <c r="Y1435" t="s">
        <v>62</v>
      </c>
      <c r="Z1435" t="s">
        <v>61</v>
      </c>
      <c r="AA1435">
        <v>1</v>
      </c>
      <c r="AB1435">
        <v>6</v>
      </c>
      <c r="AC1435">
        <v>3</v>
      </c>
      <c r="AD1435">
        <v>2</v>
      </c>
      <c r="AE1435">
        <v>5</v>
      </c>
      <c r="AF1435">
        <v>3</v>
      </c>
      <c r="AG1435">
        <v>0</v>
      </c>
      <c r="AH1435">
        <v>4</v>
      </c>
      <c r="AI1435" t="str">
        <f t="shared" si="88"/>
        <v>3-5 Years</v>
      </c>
      <c r="AJ1435" t="str">
        <f t="shared" si="89"/>
        <v>0-2</v>
      </c>
    </row>
    <row r="1436" spans="1:36" x14ac:dyDescent="0.35">
      <c r="A1436">
        <v>1435</v>
      </c>
      <c r="B1436">
        <v>52</v>
      </c>
      <c r="C1436" t="str">
        <f t="shared" si="90"/>
        <v>46-55</v>
      </c>
      <c r="D1436" t="s">
        <v>38</v>
      </c>
      <c r="E1436" t="s">
        <v>50</v>
      </c>
      <c r="F1436" s="3">
        <v>1389</v>
      </c>
      <c r="G1436" t="s">
        <v>33</v>
      </c>
      <c r="H1436" s="1">
        <v>29</v>
      </c>
      <c r="I1436" t="s">
        <v>60</v>
      </c>
      <c r="J1436" t="s">
        <v>34</v>
      </c>
      <c r="K1436" t="s">
        <v>59</v>
      </c>
      <c r="L1436" t="s">
        <v>41</v>
      </c>
      <c r="M1436" s="3">
        <v>40</v>
      </c>
      <c r="N1436" t="s">
        <v>60</v>
      </c>
      <c r="O1436" t="s">
        <v>59</v>
      </c>
      <c r="P1436" t="s">
        <v>52</v>
      </c>
      <c r="Q1436" t="s">
        <v>62</v>
      </c>
      <c r="R1436" t="s">
        <v>47</v>
      </c>
      <c r="S1436" s="3">
        <v>3482</v>
      </c>
      <c r="T1436" s="3">
        <v>19788</v>
      </c>
      <c r="U1436" s="3" t="str">
        <f t="shared" si="91"/>
        <v>Low</v>
      </c>
      <c r="V1436">
        <v>2</v>
      </c>
      <c r="W1436" t="s">
        <v>38</v>
      </c>
      <c r="X1436" s="2">
        <v>15</v>
      </c>
      <c r="Y1436" t="s">
        <v>60</v>
      </c>
      <c r="Z1436" t="s">
        <v>61</v>
      </c>
      <c r="AA1436">
        <v>2</v>
      </c>
      <c r="AB1436">
        <v>16</v>
      </c>
      <c r="AC1436">
        <v>3</v>
      </c>
      <c r="AD1436">
        <v>2</v>
      </c>
      <c r="AE1436">
        <v>9</v>
      </c>
      <c r="AF1436">
        <v>8</v>
      </c>
      <c r="AG1436">
        <v>0</v>
      </c>
      <c r="AH1436">
        <v>0</v>
      </c>
      <c r="AI1436" t="str">
        <f t="shared" si="88"/>
        <v>6-10 Years</v>
      </c>
      <c r="AJ1436" t="str">
        <f t="shared" si="89"/>
        <v>0-2</v>
      </c>
    </row>
    <row r="1437" spans="1:36" x14ac:dyDescent="0.35">
      <c r="A1437">
        <v>1436</v>
      </c>
      <c r="B1437">
        <v>44</v>
      </c>
      <c r="C1437" t="str">
        <f t="shared" si="90"/>
        <v>36-45</v>
      </c>
      <c r="D1437" t="s">
        <v>38</v>
      </c>
      <c r="E1437" t="s">
        <v>32</v>
      </c>
      <c r="F1437" s="3">
        <v>1389</v>
      </c>
      <c r="G1437" t="s">
        <v>40</v>
      </c>
      <c r="H1437" s="1">
        <v>1</v>
      </c>
      <c r="I1437" t="s">
        <v>61</v>
      </c>
      <c r="J1437" t="s">
        <v>46</v>
      </c>
      <c r="K1437" t="s">
        <v>61</v>
      </c>
      <c r="L1437" t="s">
        <v>41</v>
      </c>
      <c r="M1437" s="3">
        <v>42</v>
      </c>
      <c r="N1437" t="s">
        <v>60</v>
      </c>
      <c r="O1437" t="s">
        <v>59</v>
      </c>
      <c r="P1437" t="s">
        <v>42</v>
      </c>
      <c r="Q1437" t="s">
        <v>62</v>
      </c>
      <c r="R1437" t="s">
        <v>37</v>
      </c>
      <c r="S1437" s="3">
        <v>2436</v>
      </c>
      <c r="T1437" s="3">
        <v>13422</v>
      </c>
      <c r="U1437" s="3" t="str">
        <f t="shared" si="91"/>
        <v>Low</v>
      </c>
      <c r="V1437">
        <v>6</v>
      </c>
      <c r="W1437" t="s">
        <v>31</v>
      </c>
      <c r="X1437" s="2">
        <v>12</v>
      </c>
      <c r="Y1437" t="s">
        <v>60</v>
      </c>
      <c r="Z1437" t="s">
        <v>60</v>
      </c>
      <c r="AA1437">
        <v>0</v>
      </c>
      <c r="AB1437">
        <v>6</v>
      </c>
      <c r="AC1437">
        <v>2</v>
      </c>
      <c r="AD1437">
        <v>3</v>
      </c>
      <c r="AE1437">
        <v>4</v>
      </c>
      <c r="AF1437">
        <v>3</v>
      </c>
      <c r="AG1437">
        <v>1</v>
      </c>
      <c r="AH1437">
        <v>2</v>
      </c>
      <c r="AI1437" t="str">
        <f t="shared" si="88"/>
        <v>3-5 Years</v>
      </c>
      <c r="AJ1437" t="str">
        <f t="shared" si="89"/>
        <v>0-2</v>
      </c>
    </row>
    <row r="1438" spans="1:36" x14ac:dyDescent="0.35">
      <c r="A1438">
        <v>1437</v>
      </c>
      <c r="B1438">
        <v>21</v>
      </c>
      <c r="C1438" t="str">
        <f t="shared" si="90"/>
        <v>18-25</v>
      </c>
      <c r="D1438" t="s">
        <v>38</v>
      </c>
      <c r="E1438" t="s">
        <v>32</v>
      </c>
      <c r="F1438" s="3">
        <v>1389</v>
      </c>
      <c r="G1438" t="s">
        <v>33</v>
      </c>
      <c r="H1438" s="1">
        <v>5</v>
      </c>
      <c r="I1438" t="s">
        <v>59</v>
      </c>
      <c r="J1438" t="s">
        <v>46</v>
      </c>
      <c r="K1438" t="s">
        <v>60</v>
      </c>
      <c r="L1438" t="s">
        <v>41</v>
      </c>
      <c r="M1438" s="3">
        <v>58</v>
      </c>
      <c r="N1438" t="s">
        <v>60</v>
      </c>
      <c r="O1438" t="s">
        <v>59</v>
      </c>
      <c r="P1438" t="s">
        <v>52</v>
      </c>
      <c r="Q1438" t="s">
        <v>59</v>
      </c>
      <c r="R1438" t="s">
        <v>37</v>
      </c>
      <c r="S1438" s="3">
        <v>2380</v>
      </c>
      <c r="T1438" s="3">
        <v>25479</v>
      </c>
      <c r="U1438" s="3" t="str">
        <f t="shared" si="91"/>
        <v>Low</v>
      </c>
      <c r="V1438">
        <v>1</v>
      </c>
      <c r="W1438" t="s">
        <v>31</v>
      </c>
      <c r="X1438" s="2">
        <v>11</v>
      </c>
      <c r="Y1438" t="s">
        <v>60</v>
      </c>
      <c r="Z1438" t="s">
        <v>62</v>
      </c>
      <c r="AA1438">
        <v>0</v>
      </c>
      <c r="AB1438">
        <v>2</v>
      </c>
      <c r="AC1438">
        <v>6</v>
      </c>
      <c r="AD1438">
        <v>3</v>
      </c>
      <c r="AE1438">
        <v>2</v>
      </c>
      <c r="AF1438">
        <v>2</v>
      </c>
      <c r="AG1438">
        <v>1</v>
      </c>
      <c r="AH1438">
        <v>2</v>
      </c>
      <c r="AI1438" t="str">
        <f t="shared" si="88"/>
        <v>0-2 Years</v>
      </c>
      <c r="AJ1438" t="str">
        <f t="shared" si="89"/>
        <v>0-2</v>
      </c>
    </row>
    <row r="1439" spans="1:36" x14ac:dyDescent="0.35">
      <c r="A1439">
        <v>1438</v>
      </c>
      <c r="B1439">
        <v>39</v>
      </c>
      <c r="C1439" t="str">
        <f t="shared" si="90"/>
        <v>36-45</v>
      </c>
      <c r="D1439" t="s">
        <v>38</v>
      </c>
      <c r="E1439" t="s">
        <v>50</v>
      </c>
      <c r="F1439" s="3">
        <v>1389</v>
      </c>
      <c r="G1439" t="s">
        <v>40</v>
      </c>
      <c r="H1439" s="1">
        <v>9</v>
      </c>
      <c r="I1439" t="s">
        <v>61</v>
      </c>
      <c r="J1439" t="s">
        <v>34</v>
      </c>
      <c r="K1439" t="s">
        <v>62</v>
      </c>
      <c r="L1439" t="s">
        <v>41</v>
      </c>
      <c r="M1439" s="3">
        <v>87</v>
      </c>
      <c r="N1439" t="s">
        <v>60</v>
      </c>
      <c r="O1439" t="e">
        <v>#N/A</v>
      </c>
      <c r="P1439" t="s">
        <v>51</v>
      </c>
      <c r="Q1439" t="s">
        <v>62</v>
      </c>
      <c r="R1439" t="s">
        <v>37</v>
      </c>
      <c r="S1439" s="3">
        <v>19431</v>
      </c>
      <c r="T1439" s="3">
        <v>15302</v>
      </c>
      <c r="U1439" s="3" t="str">
        <f t="shared" si="91"/>
        <v>High</v>
      </c>
      <c r="V1439">
        <v>2</v>
      </c>
      <c r="W1439" t="s">
        <v>38</v>
      </c>
      <c r="X1439" s="2">
        <v>13</v>
      </c>
      <c r="Y1439" t="s">
        <v>60</v>
      </c>
      <c r="Z1439" t="s">
        <v>60</v>
      </c>
      <c r="AA1439">
        <v>0</v>
      </c>
      <c r="AB1439">
        <v>21</v>
      </c>
      <c r="AC1439">
        <v>3</v>
      </c>
      <c r="AD1439">
        <v>2</v>
      </c>
      <c r="AE1439">
        <v>6</v>
      </c>
      <c r="AF1439">
        <v>0</v>
      </c>
      <c r="AG1439">
        <v>1</v>
      </c>
      <c r="AH1439">
        <v>3</v>
      </c>
      <c r="AI1439" t="str">
        <f t="shared" si="88"/>
        <v>6-10 Years</v>
      </c>
      <c r="AJ1439" t="str">
        <f t="shared" si="89"/>
        <v>0-2</v>
      </c>
    </row>
    <row r="1440" spans="1:36" x14ac:dyDescent="0.35">
      <c r="A1440">
        <v>1439</v>
      </c>
      <c r="B1440">
        <v>23</v>
      </c>
      <c r="C1440" t="str">
        <f t="shared" si="90"/>
        <v>18-25</v>
      </c>
      <c r="D1440" t="s">
        <v>31</v>
      </c>
      <c r="E1440" t="s">
        <v>39</v>
      </c>
      <c r="F1440" s="3">
        <v>1389</v>
      </c>
      <c r="G1440" t="s">
        <v>33</v>
      </c>
      <c r="H1440" s="1">
        <v>9</v>
      </c>
      <c r="I1440" t="s">
        <v>61</v>
      </c>
      <c r="J1440" t="s">
        <v>54</v>
      </c>
      <c r="K1440" t="s">
        <v>62</v>
      </c>
      <c r="L1440" t="s">
        <v>41</v>
      </c>
      <c r="M1440" s="3">
        <v>33</v>
      </c>
      <c r="N1440" t="s">
        <v>60</v>
      </c>
      <c r="O1440" t="s">
        <v>59</v>
      </c>
      <c r="P1440" t="s">
        <v>52</v>
      </c>
      <c r="Q1440" t="s">
        <v>59</v>
      </c>
      <c r="R1440" t="s">
        <v>43</v>
      </c>
      <c r="S1440" s="3">
        <v>1790</v>
      </c>
      <c r="T1440" s="3">
        <v>26956</v>
      </c>
      <c r="U1440" s="3" t="str">
        <f t="shared" si="91"/>
        <v>Low</v>
      </c>
      <c r="V1440">
        <v>1</v>
      </c>
      <c r="W1440" t="s">
        <v>38</v>
      </c>
      <c r="X1440" s="2">
        <v>19</v>
      </c>
      <c r="Y1440" t="s">
        <v>60</v>
      </c>
      <c r="Z1440" t="s">
        <v>59</v>
      </c>
      <c r="AA1440">
        <v>1</v>
      </c>
      <c r="AB1440">
        <v>1</v>
      </c>
      <c r="AC1440">
        <v>3</v>
      </c>
      <c r="AD1440">
        <v>2</v>
      </c>
      <c r="AE1440">
        <v>1</v>
      </c>
      <c r="AF1440">
        <v>0</v>
      </c>
      <c r="AG1440">
        <v>1</v>
      </c>
      <c r="AH1440">
        <v>0</v>
      </c>
      <c r="AI1440" t="str">
        <f t="shared" si="88"/>
        <v>0-2 Years</v>
      </c>
      <c r="AJ1440" t="str">
        <f t="shared" si="89"/>
        <v>0-2</v>
      </c>
    </row>
    <row r="1441" spans="1:36" x14ac:dyDescent="0.35">
      <c r="A1441">
        <v>1440</v>
      </c>
      <c r="B1441">
        <v>36</v>
      </c>
      <c r="C1441" t="str">
        <f t="shared" si="90"/>
        <v>36-45</v>
      </c>
      <c r="D1441" t="s">
        <v>38</v>
      </c>
      <c r="E1441" t="s">
        <v>32</v>
      </c>
      <c r="F1441" s="3">
        <v>1389</v>
      </c>
      <c r="G1441" t="s">
        <v>33</v>
      </c>
      <c r="H1441" s="1">
        <v>3</v>
      </c>
      <c r="I1441" t="s">
        <v>61</v>
      </c>
      <c r="J1441" t="s">
        <v>46</v>
      </c>
      <c r="K1441" t="s">
        <v>59</v>
      </c>
      <c r="L1441" t="s">
        <v>35</v>
      </c>
      <c r="M1441" s="3">
        <v>94</v>
      </c>
      <c r="N1441" t="s">
        <v>61</v>
      </c>
      <c r="O1441" t="s">
        <v>60</v>
      </c>
      <c r="P1441" t="s">
        <v>36</v>
      </c>
      <c r="Q1441" t="s">
        <v>62</v>
      </c>
      <c r="R1441" t="s">
        <v>43</v>
      </c>
      <c r="S1441" s="3">
        <v>7644</v>
      </c>
      <c r="T1441" s="3">
        <v>12695</v>
      </c>
      <c r="U1441" s="3" t="str">
        <f t="shared" si="91"/>
        <v>Medium</v>
      </c>
      <c r="V1441">
        <v>0</v>
      </c>
      <c r="W1441" t="s">
        <v>38</v>
      </c>
      <c r="X1441" s="2">
        <v>19</v>
      </c>
      <c r="Y1441" t="s">
        <v>60</v>
      </c>
      <c r="Z1441" t="s">
        <v>60</v>
      </c>
      <c r="AA1441">
        <v>2</v>
      </c>
      <c r="AB1441">
        <v>10</v>
      </c>
      <c r="AC1441">
        <v>2</v>
      </c>
      <c r="AD1441">
        <v>3</v>
      </c>
      <c r="AE1441">
        <v>9</v>
      </c>
      <c r="AF1441">
        <v>7</v>
      </c>
      <c r="AG1441">
        <v>3</v>
      </c>
      <c r="AH1441">
        <v>4</v>
      </c>
      <c r="AI1441" t="str">
        <f t="shared" si="88"/>
        <v>6-10 Years</v>
      </c>
      <c r="AJ1441" t="str">
        <f t="shared" si="89"/>
        <v>3-5</v>
      </c>
    </row>
    <row r="1442" spans="1:36" x14ac:dyDescent="0.35">
      <c r="A1442">
        <v>1441</v>
      </c>
      <c r="B1442">
        <v>36</v>
      </c>
      <c r="C1442" t="str">
        <f t="shared" si="90"/>
        <v>36-45</v>
      </c>
      <c r="D1442" t="s">
        <v>38</v>
      </c>
      <c r="E1442" t="s">
        <v>39</v>
      </c>
      <c r="F1442" s="3">
        <v>1389</v>
      </c>
      <c r="G1442" t="s">
        <v>40</v>
      </c>
      <c r="H1442" s="1">
        <v>4</v>
      </c>
      <c r="I1442" t="s">
        <v>58</v>
      </c>
      <c r="J1442" t="s">
        <v>34</v>
      </c>
      <c r="K1442" t="s">
        <v>62</v>
      </c>
      <c r="L1442" t="s">
        <v>35</v>
      </c>
      <c r="M1442" s="3">
        <v>97</v>
      </c>
      <c r="N1442" t="s">
        <v>60</v>
      </c>
      <c r="O1442" t="s">
        <v>61</v>
      </c>
      <c r="P1442" t="s">
        <v>48</v>
      </c>
      <c r="Q1442" t="s">
        <v>61</v>
      </c>
      <c r="R1442" t="s">
        <v>47</v>
      </c>
      <c r="S1442" s="3">
        <v>5131</v>
      </c>
      <c r="T1442" s="3">
        <v>9192</v>
      </c>
      <c r="U1442" s="3" t="str">
        <f t="shared" si="91"/>
        <v>Medium</v>
      </c>
      <c r="V1442">
        <v>7</v>
      </c>
      <c r="W1442" t="s">
        <v>38</v>
      </c>
      <c r="X1442" s="2">
        <v>13</v>
      </c>
      <c r="Y1442" t="s">
        <v>60</v>
      </c>
      <c r="Z1442" t="s">
        <v>61</v>
      </c>
      <c r="AA1442">
        <v>3</v>
      </c>
      <c r="AB1442">
        <v>18</v>
      </c>
      <c r="AC1442">
        <v>3</v>
      </c>
      <c r="AD1442">
        <v>3</v>
      </c>
      <c r="AE1442">
        <v>4</v>
      </c>
      <c r="AF1442">
        <v>2</v>
      </c>
      <c r="AG1442">
        <v>0</v>
      </c>
      <c r="AH1442">
        <v>2</v>
      </c>
      <c r="AI1442" t="str">
        <f t="shared" si="88"/>
        <v>3-5 Years</v>
      </c>
      <c r="AJ1442" t="str">
        <f t="shared" si="89"/>
        <v>0-2</v>
      </c>
    </row>
    <row r="1443" spans="1:36" x14ac:dyDescent="0.35">
      <c r="A1443">
        <v>1442</v>
      </c>
      <c r="B1443">
        <v>56</v>
      </c>
      <c r="C1443" t="str">
        <f t="shared" si="90"/>
        <v>55+</v>
      </c>
      <c r="D1443" t="s">
        <v>38</v>
      </c>
      <c r="E1443" t="s">
        <v>50</v>
      </c>
      <c r="F1443" s="3">
        <v>1389</v>
      </c>
      <c r="G1443" t="s">
        <v>40</v>
      </c>
      <c r="H1443" s="1">
        <v>1</v>
      </c>
      <c r="I1443" t="s">
        <v>60</v>
      </c>
      <c r="J1443" t="s">
        <v>34</v>
      </c>
      <c r="K1443" t="s">
        <v>60</v>
      </c>
      <c r="L1443" t="s">
        <v>41</v>
      </c>
      <c r="M1443" s="3">
        <v>57</v>
      </c>
      <c r="N1443" t="s">
        <v>60</v>
      </c>
      <c r="O1443" t="s">
        <v>61</v>
      </c>
      <c r="P1443" t="s">
        <v>49</v>
      </c>
      <c r="Q1443" t="s">
        <v>60</v>
      </c>
      <c r="R1443" t="s">
        <v>47</v>
      </c>
      <c r="S1443" s="3">
        <v>6306</v>
      </c>
      <c r="T1443" s="3">
        <v>26236</v>
      </c>
      <c r="U1443" s="3" t="str">
        <f t="shared" si="91"/>
        <v>Medium</v>
      </c>
      <c r="V1443">
        <v>1</v>
      </c>
      <c r="W1443" t="s">
        <v>38</v>
      </c>
      <c r="X1443" s="2">
        <v>21</v>
      </c>
      <c r="Y1443" t="s">
        <v>62</v>
      </c>
      <c r="Z1443" t="s">
        <v>59</v>
      </c>
      <c r="AA1443">
        <v>1</v>
      </c>
      <c r="AB1443">
        <v>13</v>
      </c>
      <c r="AC1443">
        <v>2</v>
      </c>
      <c r="AD1443">
        <v>2</v>
      </c>
      <c r="AE1443">
        <v>13</v>
      </c>
      <c r="AF1443">
        <v>12</v>
      </c>
      <c r="AG1443">
        <v>1</v>
      </c>
      <c r="AH1443">
        <v>9</v>
      </c>
      <c r="AI1443" t="str">
        <f t="shared" si="88"/>
        <v>10+ Years</v>
      </c>
      <c r="AJ1443" t="str">
        <f t="shared" si="89"/>
        <v>0-2</v>
      </c>
    </row>
    <row r="1444" spans="1:36" x14ac:dyDescent="0.35">
      <c r="A1444">
        <v>1443</v>
      </c>
      <c r="B1444">
        <v>29</v>
      </c>
      <c r="C1444" t="str">
        <f t="shared" si="90"/>
        <v>26-35</v>
      </c>
      <c r="D1444" t="s">
        <v>31</v>
      </c>
      <c r="E1444" t="s">
        <v>32</v>
      </c>
      <c r="F1444" s="3">
        <v>1389</v>
      </c>
      <c r="G1444" t="s">
        <v>40</v>
      </c>
      <c r="H1444" s="1">
        <v>1</v>
      </c>
      <c r="I1444" t="s">
        <v>60</v>
      </c>
      <c r="J1444" t="s">
        <v>46</v>
      </c>
      <c r="K1444" t="s">
        <v>59</v>
      </c>
      <c r="L1444" t="s">
        <v>41</v>
      </c>
      <c r="M1444" s="3">
        <v>36</v>
      </c>
      <c r="N1444" t="s">
        <v>60</v>
      </c>
      <c r="O1444" t="s">
        <v>59</v>
      </c>
      <c r="P1444" t="s">
        <v>42</v>
      </c>
      <c r="Q1444" t="s">
        <v>62</v>
      </c>
      <c r="R1444" t="s">
        <v>43</v>
      </c>
      <c r="S1444" s="3">
        <v>4787</v>
      </c>
      <c r="T1444" s="3">
        <v>26124</v>
      </c>
      <c r="U1444" s="3" t="str">
        <f t="shared" si="91"/>
        <v>Low</v>
      </c>
      <c r="V1444">
        <v>9</v>
      </c>
      <c r="W1444" t="s">
        <v>31</v>
      </c>
      <c r="X1444" s="2">
        <v>14</v>
      </c>
      <c r="Y1444" t="s">
        <v>60</v>
      </c>
      <c r="Z1444" t="s">
        <v>61</v>
      </c>
      <c r="AA1444">
        <v>3</v>
      </c>
      <c r="AB1444">
        <v>4</v>
      </c>
      <c r="AC1444">
        <v>3</v>
      </c>
      <c r="AD1444">
        <v>4</v>
      </c>
      <c r="AE1444">
        <v>2</v>
      </c>
      <c r="AF1444">
        <v>2</v>
      </c>
      <c r="AG1444">
        <v>2</v>
      </c>
      <c r="AH1444">
        <v>2</v>
      </c>
      <c r="AI1444" t="str">
        <f t="shared" si="88"/>
        <v>0-2 Years</v>
      </c>
      <c r="AJ1444" t="str">
        <f t="shared" si="89"/>
        <v>0-2</v>
      </c>
    </row>
    <row r="1445" spans="1:36" x14ac:dyDescent="0.35">
      <c r="A1445">
        <v>1444</v>
      </c>
      <c r="B1445">
        <v>42</v>
      </c>
      <c r="C1445" t="str">
        <f t="shared" si="90"/>
        <v>36-45</v>
      </c>
      <c r="D1445" t="s">
        <v>38</v>
      </c>
      <c r="E1445" t="s">
        <v>32</v>
      </c>
      <c r="F1445" s="3">
        <v>1389</v>
      </c>
      <c r="G1445" t="s">
        <v>40</v>
      </c>
      <c r="H1445" s="1">
        <v>2</v>
      </c>
      <c r="I1445" t="s">
        <v>61</v>
      </c>
      <c r="J1445" t="s">
        <v>34</v>
      </c>
      <c r="K1445" t="s">
        <v>59</v>
      </c>
      <c r="L1445" t="s">
        <v>41</v>
      </c>
      <c r="M1445" s="3">
        <v>56</v>
      </c>
      <c r="N1445" t="s">
        <v>60</v>
      </c>
      <c r="O1445" t="e">
        <v>#N/A</v>
      </c>
      <c r="P1445" t="s">
        <v>51</v>
      </c>
      <c r="Q1445" t="s">
        <v>60</v>
      </c>
      <c r="R1445" t="s">
        <v>43</v>
      </c>
      <c r="S1445" s="3">
        <v>18880</v>
      </c>
      <c r="T1445" s="3">
        <v>17312</v>
      </c>
      <c r="U1445" s="3" t="str">
        <f t="shared" si="91"/>
        <v>High</v>
      </c>
      <c r="V1445">
        <v>5</v>
      </c>
      <c r="W1445" t="s">
        <v>38</v>
      </c>
      <c r="X1445" s="2">
        <v>11</v>
      </c>
      <c r="Y1445" t="s">
        <v>60</v>
      </c>
      <c r="Z1445" t="s">
        <v>59</v>
      </c>
      <c r="AA1445">
        <v>0</v>
      </c>
      <c r="AB1445">
        <v>24</v>
      </c>
      <c r="AC1445">
        <v>2</v>
      </c>
      <c r="AD1445">
        <v>2</v>
      </c>
      <c r="AE1445">
        <v>22</v>
      </c>
      <c r="AF1445">
        <v>6</v>
      </c>
      <c r="AG1445">
        <v>4</v>
      </c>
      <c r="AH1445">
        <v>14</v>
      </c>
      <c r="AI1445" t="str">
        <f t="shared" si="88"/>
        <v>10+ Years</v>
      </c>
      <c r="AJ1445" t="str">
        <f t="shared" si="89"/>
        <v>3-5</v>
      </c>
    </row>
    <row r="1446" spans="1:36" x14ac:dyDescent="0.35">
      <c r="A1446">
        <v>1445</v>
      </c>
      <c r="B1446">
        <v>56</v>
      </c>
      <c r="C1446" t="str">
        <f t="shared" si="90"/>
        <v>55+</v>
      </c>
      <c r="D1446" t="s">
        <v>31</v>
      </c>
      <c r="E1446" t="s">
        <v>32</v>
      </c>
      <c r="F1446" s="3">
        <v>1389</v>
      </c>
      <c r="G1446" t="s">
        <v>40</v>
      </c>
      <c r="H1446" s="1">
        <v>7</v>
      </c>
      <c r="I1446" t="s">
        <v>58</v>
      </c>
      <c r="J1446" t="s">
        <v>55</v>
      </c>
      <c r="K1446" t="s">
        <v>62</v>
      </c>
      <c r="L1446" t="s">
        <v>41</v>
      </c>
      <c r="M1446" s="3">
        <v>72</v>
      </c>
      <c r="N1446" t="s">
        <v>60</v>
      </c>
      <c r="O1446" t="s">
        <v>59</v>
      </c>
      <c r="P1446" t="s">
        <v>45</v>
      </c>
      <c r="Q1446" t="s">
        <v>60</v>
      </c>
      <c r="R1446" t="s">
        <v>43</v>
      </c>
      <c r="S1446" s="3">
        <v>2339</v>
      </c>
      <c r="T1446" s="3">
        <v>3666</v>
      </c>
      <c r="U1446" s="3" t="str">
        <f t="shared" si="91"/>
        <v>Low</v>
      </c>
      <c r="V1446">
        <v>8</v>
      </c>
      <c r="W1446" t="s">
        <v>38</v>
      </c>
      <c r="X1446" s="2">
        <v>11</v>
      </c>
      <c r="Y1446" t="s">
        <v>60</v>
      </c>
      <c r="Z1446" t="s">
        <v>62</v>
      </c>
      <c r="AA1446">
        <v>1</v>
      </c>
      <c r="AB1446">
        <v>14</v>
      </c>
      <c r="AC1446">
        <v>4</v>
      </c>
      <c r="AD1446">
        <v>1</v>
      </c>
      <c r="AE1446">
        <v>10</v>
      </c>
      <c r="AF1446">
        <v>9</v>
      </c>
      <c r="AG1446">
        <v>9</v>
      </c>
      <c r="AH1446">
        <v>8</v>
      </c>
      <c r="AI1446" t="str">
        <f t="shared" si="88"/>
        <v>6-10 Years</v>
      </c>
      <c r="AJ1446" t="str">
        <f t="shared" si="89"/>
        <v>6+</v>
      </c>
    </row>
    <row r="1447" spans="1:36" x14ac:dyDescent="0.35">
      <c r="A1447">
        <v>1446</v>
      </c>
      <c r="B1447">
        <v>41</v>
      </c>
      <c r="C1447" t="str">
        <f t="shared" si="90"/>
        <v>36-45</v>
      </c>
      <c r="D1447" t="s">
        <v>38</v>
      </c>
      <c r="E1447" t="s">
        <v>32</v>
      </c>
      <c r="F1447" s="3">
        <v>1389</v>
      </c>
      <c r="G1447" t="s">
        <v>40</v>
      </c>
      <c r="H1447" s="1">
        <v>28</v>
      </c>
      <c r="I1447" t="s">
        <v>60</v>
      </c>
      <c r="J1447" t="s">
        <v>34</v>
      </c>
      <c r="K1447" t="s">
        <v>59</v>
      </c>
      <c r="L1447" t="s">
        <v>35</v>
      </c>
      <c r="M1447" s="3">
        <v>60</v>
      </c>
      <c r="N1447" t="s">
        <v>61</v>
      </c>
      <c r="O1447" t="s">
        <v>62</v>
      </c>
      <c r="P1447" t="s">
        <v>48</v>
      </c>
      <c r="Q1447" t="s">
        <v>61</v>
      </c>
      <c r="R1447" t="s">
        <v>43</v>
      </c>
      <c r="S1447" s="3">
        <v>13570</v>
      </c>
      <c r="T1447" s="3">
        <v>5640</v>
      </c>
      <c r="U1447" s="3" t="str">
        <f t="shared" si="91"/>
        <v>High</v>
      </c>
      <c r="V1447">
        <v>0</v>
      </c>
      <c r="W1447" t="s">
        <v>38</v>
      </c>
      <c r="X1447" s="2">
        <v>23</v>
      </c>
      <c r="Y1447" t="s">
        <v>62</v>
      </c>
      <c r="Z1447" t="s">
        <v>60</v>
      </c>
      <c r="AA1447">
        <v>1</v>
      </c>
      <c r="AB1447">
        <v>21</v>
      </c>
      <c r="AC1447">
        <v>3</v>
      </c>
      <c r="AD1447">
        <v>3</v>
      </c>
      <c r="AE1447">
        <v>20</v>
      </c>
      <c r="AF1447">
        <v>7</v>
      </c>
      <c r="AG1447">
        <v>0</v>
      </c>
      <c r="AH1447">
        <v>10</v>
      </c>
      <c r="AI1447" t="str">
        <f t="shared" si="88"/>
        <v>10+ Years</v>
      </c>
      <c r="AJ1447" t="str">
        <f t="shared" si="89"/>
        <v>0-2</v>
      </c>
    </row>
    <row r="1448" spans="1:36" x14ac:dyDescent="0.35">
      <c r="A1448">
        <v>1447</v>
      </c>
      <c r="B1448">
        <v>34</v>
      </c>
      <c r="C1448" t="str">
        <f t="shared" si="90"/>
        <v>26-35</v>
      </c>
      <c r="D1448" t="s">
        <v>38</v>
      </c>
      <c r="E1448" t="s">
        <v>32</v>
      </c>
      <c r="F1448" s="3">
        <v>1389</v>
      </c>
      <c r="G1448" t="s">
        <v>33</v>
      </c>
      <c r="H1448" s="1">
        <v>28</v>
      </c>
      <c r="I1448" t="s">
        <v>61</v>
      </c>
      <c r="J1448" t="s">
        <v>54</v>
      </c>
      <c r="K1448" t="s">
        <v>62</v>
      </c>
      <c r="L1448" t="s">
        <v>35</v>
      </c>
      <c r="M1448" s="3">
        <v>95</v>
      </c>
      <c r="N1448" t="s">
        <v>61</v>
      </c>
      <c r="O1448" t="s">
        <v>61</v>
      </c>
      <c r="P1448" t="s">
        <v>36</v>
      </c>
      <c r="Q1448" t="s">
        <v>60</v>
      </c>
      <c r="R1448" t="s">
        <v>43</v>
      </c>
      <c r="S1448" s="3">
        <v>6712</v>
      </c>
      <c r="T1448" s="3">
        <v>8978</v>
      </c>
      <c r="U1448" s="3" t="str">
        <f t="shared" si="91"/>
        <v>Medium</v>
      </c>
      <c r="V1448">
        <v>1</v>
      </c>
      <c r="W1448" t="s">
        <v>38</v>
      </c>
      <c r="X1448" s="2">
        <v>21</v>
      </c>
      <c r="Y1448" t="s">
        <v>62</v>
      </c>
      <c r="Z1448" t="s">
        <v>62</v>
      </c>
      <c r="AA1448">
        <v>2</v>
      </c>
      <c r="AB1448">
        <v>8</v>
      </c>
      <c r="AC1448">
        <v>2</v>
      </c>
      <c r="AD1448">
        <v>3</v>
      </c>
      <c r="AE1448">
        <v>8</v>
      </c>
      <c r="AF1448">
        <v>7</v>
      </c>
      <c r="AG1448">
        <v>1</v>
      </c>
      <c r="AH1448">
        <v>7</v>
      </c>
      <c r="AI1448" t="str">
        <f t="shared" si="88"/>
        <v>6-10 Years</v>
      </c>
      <c r="AJ1448" t="str">
        <f t="shared" si="89"/>
        <v>0-2</v>
      </c>
    </row>
    <row r="1449" spans="1:36" x14ac:dyDescent="0.35">
      <c r="A1449">
        <v>1448</v>
      </c>
      <c r="B1449">
        <v>36</v>
      </c>
      <c r="C1449" t="str">
        <f t="shared" si="90"/>
        <v>36-45</v>
      </c>
      <c r="D1449" t="s">
        <v>38</v>
      </c>
      <c r="E1449" t="s">
        <v>50</v>
      </c>
      <c r="F1449" s="3">
        <v>1389</v>
      </c>
      <c r="G1449" t="s">
        <v>33</v>
      </c>
      <c r="H1449" s="1">
        <v>15</v>
      </c>
      <c r="I1449" t="s">
        <v>60</v>
      </c>
      <c r="J1449" t="s">
        <v>54</v>
      </c>
      <c r="K1449" t="s">
        <v>62</v>
      </c>
      <c r="L1449" t="s">
        <v>41</v>
      </c>
      <c r="M1449" s="3">
        <v>88</v>
      </c>
      <c r="N1449" t="s">
        <v>59</v>
      </c>
      <c r="O1449" t="s">
        <v>61</v>
      </c>
      <c r="P1449" t="s">
        <v>36</v>
      </c>
      <c r="Q1449" t="s">
        <v>62</v>
      </c>
      <c r="R1449" t="s">
        <v>47</v>
      </c>
      <c r="S1449" s="3">
        <v>5406</v>
      </c>
      <c r="T1449" s="3">
        <v>10436</v>
      </c>
      <c r="U1449" s="3" t="str">
        <f t="shared" si="91"/>
        <v>Medium</v>
      </c>
      <c r="V1449">
        <v>1</v>
      </c>
      <c r="W1449" t="s">
        <v>38</v>
      </c>
      <c r="X1449" s="2">
        <v>24</v>
      </c>
      <c r="Y1449" t="s">
        <v>62</v>
      </c>
      <c r="Z1449" t="s">
        <v>59</v>
      </c>
      <c r="AA1449">
        <v>1</v>
      </c>
      <c r="AB1449">
        <v>15</v>
      </c>
      <c r="AC1449">
        <v>4</v>
      </c>
      <c r="AD1449">
        <v>2</v>
      </c>
      <c r="AE1449">
        <v>15</v>
      </c>
      <c r="AF1449">
        <v>12</v>
      </c>
      <c r="AG1449">
        <v>11</v>
      </c>
      <c r="AH1449">
        <v>11</v>
      </c>
      <c r="AI1449" t="str">
        <f t="shared" si="88"/>
        <v>10+ Years</v>
      </c>
      <c r="AJ1449" t="str">
        <f t="shared" si="89"/>
        <v>6+</v>
      </c>
    </row>
    <row r="1450" spans="1:36" x14ac:dyDescent="0.35">
      <c r="A1450">
        <v>1449</v>
      </c>
      <c r="B1450">
        <v>41</v>
      </c>
      <c r="C1450" t="str">
        <f t="shared" si="90"/>
        <v>36-45</v>
      </c>
      <c r="D1450" t="s">
        <v>38</v>
      </c>
      <c r="E1450" t="s">
        <v>32</v>
      </c>
      <c r="F1450" s="3">
        <v>1389</v>
      </c>
      <c r="G1450" t="s">
        <v>33</v>
      </c>
      <c r="H1450" s="1">
        <v>3</v>
      </c>
      <c r="I1450" t="s">
        <v>61</v>
      </c>
      <c r="J1450" t="s">
        <v>34</v>
      </c>
      <c r="K1450" t="s">
        <v>60</v>
      </c>
      <c r="L1450" t="s">
        <v>41</v>
      </c>
      <c r="M1450" s="3">
        <v>57</v>
      </c>
      <c r="N1450" t="s">
        <v>61</v>
      </c>
      <c r="O1450" t="s">
        <v>61</v>
      </c>
      <c r="P1450" t="s">
        <v>36</v>
      </c>
      <c r="Q1450" t="s">
        <v>61</v>
      </c>
      <c r="R1450" t="s">
        <v>47</v>
      </c>
      <c r="S1450" s="3">
        <v>8938</v>
      </c>
      <c r="T1450" s="3">
        <v>12227</v>
      </c>
      <c r="U1450" s="3" t="str">
        <f t="shared" si="91"/>
        <v>Medium</v>
      </c>
      <c r="V1450">
        <v>2</v>
      </c>
      <c r="W1450" t="s">
        <v>38</v>
      </c>
      <c r="X1450" s="2">
        <v>11</v>
      </c>
      <c r="Y1450" t="s">
        <v>60</v>
      </c>
      <c r="Z1450" t="s">
        <v>60</v>
      </c>
      <c r="AA1450">
        <v>1</v>
      </c>
      <c r="AB1450">
        <v>14</v>
      </c>
      <c r="AC1450">
        <v>5</v>
      </c>
      <c r="AD1450">
        <v>3</v>
      </c>
      <c r="AE1450">
        <v>5</v>
      </c>
      <c r="AF1450">
        <v>4</v>
      </c>
      <c r="AG1450">
        <v>0</v>
      </c>
      <c r="AH1450">
        <v>4</v>
      </c>
      <c r="AI1450" t="str">
        <f t="shared" si="88"/>
        <v>3-5 Years</v>
      </c>
      <c r="AJ1450" t="str">
        <f t="shared" si="89"/>
        <v>0-2</v>
      </c>
    </row>
    <row r="1451" spans="1:36" x14ac:dyDescent="0.35">
      <c r="A1451">
        <v>1450</v>
      </c>
      <c r="B1451">
        <v>32</v>
      </c>
      <c r="C1451" t="str">
        <f t="shared" si="90"/>
        <v>26-35</v>
      </c>
      <c r="D1451" t="s">
        <v>38</v>
      </c>
      <c r="E1451" t="s">
        <v>32</v>
      </c>
      <c r="F1451" s="3">
        <v>1389</v>
      </c>
      <c r="G1451" t="s">
        <v>40</v>
      </c>
      <c r="H1451" s="1">
        <v>2</v>
      </c>
      <c r="I1451" t="s">
        <v>61</v>
      </c>
      <c r="J1451" t="s">
        <v>55</v>
      </c>
      <c r="K1451" t="s">
        <v>62</v>
      </c>
      <c r="L1451" t="s">
        <v>41</v>
      </c>
      <c r="M1451" s="3">
        <v>78</v>
      </c>
      <c r="N1451" t="s">
        <v>60</v>
      </c>
      <c r="O1451" t="s">
        <v>59</v>
      </c>
      <c r="P1451" t="s">
        <v>42</v>
      </c>
      <c r="Q1451" t="s">
        <v>59</v>
      </c>
      <c r="R1451" t="s">
        <v>37</v>
      </c>
      <c r="S1451" s="3">
        <v>2439</v>
      </c>
      <c r="T1451" s="3">
        <v>11288</v>
      </c>
      <c r="U1451" s="3" t="str">
        <f t="shared" si="91"/>
        <v>Low</v>
      </c>
      <c r="V1451">
        <v>1</v>
      </c>
      <c r="W1451" t="s">
        <v>38</v>
      </c>
      <c r="X1451" s="2">
        <v>14</v>
      </c>
      <c r="Y1451" t="s">
        <v>60</v>
      </c>
      <c r="Z1451" t="s">
        <v>62</v>
      </c>
      <c r="AA1451">
        <v>0</v>
      </c>
      <c r="AB1451">
        <v>4</v>
      </c>
      <c r="AC1451">
        <v>4</v>
      </c>
      <c r="AD1451">
        <v>3</v>
      </c>
      <c r="AE1451">
        <v>4</v>
      </c>
      <c r="AF1451">
        <v>2</v>
      </c>
      <c r="AG1451">
        <v>1</v>
      </c>
      <c r="AH1451">
        <v>2</v>
      </c>
      <c r="AI1451" t="str">
        <f t="shared" si="88"/>
        <v>3-5 Years</v>
      </c>
      <c r="AJ1451" t="str">
        <f t="shared" si="89"/>
        <v>0-2</v>
      </c>
    </row>
    <row r="1452" spans="1:36" x14ac:dyDescent="0.35">
      <c r="A1452">
        <v>1451</v>
      </c>
      <c r="B1452">
        <v>35</v>
      </c>
      <c r="C1452" t="str">
        <f t="shared" si="90"/>
        <v>26-35</v>
      </c>
      <c r="D1452" t="s">
        <v>38</v>
      </c>
      <c r="E1452" t="s">
        <v>32</v>
      </c>
      <c r="F1452" s="3">
        <v>1389</v>
      </c>
      <c r="G1452" t="s">
        <v>56</v>
      </c>
      <c r="H1452" s="1">
        <v>26</v>
      </c>
      <c r="I1452" t="s">
        <v>60</v>
      </c>
      <c r="J1452" t="s">
        <v>34</v>
      </c>
      <c r="K1452" t="s">
        <v>60</v>
      </c>
      <c r="L1452" t="s">
        <v>35</v>
      </c>
      <c r="M1452" s="3">
        <v>31</v>
      </c>
      <c r="N1452" t="s">
        <v>60</v>
      </c>
      <c r="O1452" t="s">
        <v>60</v>
      </c>
      <c r="P1452" t="s">
        <v>56</v>
      </c>
      <c r="Q1452" t="s">
        <v>62</v>
      </c>
      <c r="R1452" t="s">
        <v>37</v>
      </c>
      <c r="S1452" s="3">
        <v>8837</v>
      </c>
      <c r="T1452" s="3">
        <v>16642</v>
      </c>
      <c r="U1452" s="3" t="str">
        <f t="shared" si="91"/>
        <v>Medium</v>
      </c>
      <c r="V1452">
        <v>1</v>
      </c>
      <c r="W1452" t="s">
        <v>31</v>
      </c>
      <c r="X1452" s="2">
        <v>16</v>
      </c>
      <c r="Y1452" t="s">
        <v>60</v>
      </c>
      <c r="Z1452" t="s">
        <v>60</v>
      </c>
      <c r="AA1452">
        <v>0</v>
      </c>
      <c r="AB1452">
        <v>9</v>
      </c>
      <c r="AC1452">
        <v>2</v>
      </c>
      <c r="AD1452">
        <v>3</v>
      </c>
      <c r="AE1452">
        <v>9</v>
      </c>
      <c r="AF1452">
        <v>0</v>
      </c>
      <c r="AG1452">
        <v>1</v>
      </c>
      <c r="AH1452">
        <v>7</v>
      </c>
      <c r="AI1452" t="str">
        <f t="shared" si="88"/>
        <v>6-10 Years</v>
      </c>
      <c r="AJ1452" t="str">
        <f t="shared" si="89"/>
        <v>0-2</v>
      </c>
    </row>
    <row r="1453" spans="1:36" x14ac:dyDescent="0.35">
      <c r="A1453">
        <v>1452</v>
      </c>
      <c r="B1453">
        <v>38</v>
      </c>
      <c r="C1453" t="str">
        <f t="shared" si="90"/>
        <v>36-45</v>
      </c>
      <c r="D1453" t="s">
        <v>38</v>
      </c>
      <c r="E1453" t="s">
        <v>32</v>
      </c>
      <c r="F1453" s="3">
        <v>1389</v>
      </c>
      <c r="G1453" t="s">
        <v>33</v>
      </c>
      <c r="H1453" s="1">
        <v>10</v>
      </c>
      <c r="I1453" t="s">
        <v>58</v>
      </c>
      <c r="J1453" t="s">
        <v>34</v>
      </c>
      <c r="K1453" t="s">
        <v>59</v>
      </c>
      <c r="L1453" t="s">
        <v>35</v>
      </c>
      <c r="M1453" s="3">
        <v>100</v>
      </c>
      <c r="N1453" t="s">
        <v>60</v>
      </c>
      <c r="O1453" t="s">
        <v>61</v>
      </c>
      <c r="P1453" t="s">
        <v>36</v>
      </c>
      <c r="Q1453" t="s">
        <v>62</v>
      </c>
      <c r="R1453" t="s">
        <v>43</v>
      </c>
      <c r="S1453" s="3">
        <v>5343</v>
      </c>
      <c r="T1453" s="3">
        <v>5982</v>
      </c>
      <c r="U1453" s="3" t="str">
        <f t="shared" si="91"/>
        <v>Medium</v>
      </c>
      <c r="V1453">
        <v>1</v>
      </c>
      <c r="W1453" t="s">
        <v>38</v>
      </c>
      <c r="X1453" s="2">
        <v>11</v>
      </c>
      <c r="Y1453" t="s">
        <v>60</v>
      </c>
      <c r="Z1453" t="s">
        <v>60</v>
      </c>
      <c r="AA1453">
        <v>1</v>
      </c>
      <c r="AB1453">
        <v>10</v>
      </c>
      <c r="AC1453">
        <v>1</v>
      </c>
      <c r="AD1453">
        <v>3</v>
      </c>
      <c r="AE1453">
        <v>10</v>
      </c>
      <c r="AF1453">
        <v>7</v>
      </c>
      <c r="AG1453">
        <v>1</v>
      </c>
      <c r="AH1453">
        <v>9</v>
      </c>
      <c r="AI1453" t="str">
        <f t="shared" si="88"/>
        <v>6-10 Years</v>
      </c>
      <c r="AJ1453" t="str">
        <f t="shared" si="89"/>
        <v>0-2</v>
      </c>
    </row>
    <row r="1454" spans="1:36" x14ac:dyDescent="0.35">
      <c r="A1454">
        <v>1453</v>
      </c>
      <c r="B1454">
        <v>50</v>
      </c>
      <c r="C1454" t="str">
        <f t="shared" si="90"/>
        <v>46-55</v>
      </c>
      <c r="D1454" t="s">
        <v>31</v>
      </c>
      <c r="E1454" t="s">
        <v>39</v>
      </c>
      <c r="F1454" s="3">
        <v>1389</v>
      </c>
      <c r="G1454" t="s">
        <v>33</v>
      </c>
      <c r="H1454" s="1">
        <v>1</v>
      </c>
      <c r="I1454" t="s">
        <v>60</v>
      </c>
      <c r="J1454" t="s">
        <v>34</v>
      </c>
      <c r="K1454" t="s">
        <v>61</v>
      </c>
      <c r="L1454" t="s">
        <v>41</v>
      </c>
      <c r="M1454" s="3">
        <v>94</v>
      </c>
      <c r="N1454" t="s">
        <v>60</v>
      </c>
      <c r="O1454" t="s">
        <v>61</v>
      </c>
      <c r="P1454" t="s">
        <v>36</v>
      </c>
      <c r="Q1454" t="s">
        <v>60</v>
      </c>
      <c r="R1454" t="s">
        <v>47</v>
      </c>
      <c r="S1454" s="3">
        <v>6728</v>
      </c>
      <c r="T1454" s="3">
        <v>14255</v>
      </c>
      <c r="U1454" s="3" t="str">
        <f t="shared" si="91"/>
        <v>Medium</v>
      </c>
      <c r="V1454">
        <v>7</v>
      </c>
      <c r="W1454" t="s">
        <v>38</v>
      </c>
      <c r="X1454" s="2">
        <v>12</v>
      </c>
      <c r="Y1454" t="s">
        <v>60</v>
      </c>
      <c r="Z1454" t="s">
        <v>62</v>
      </c>
      <c r="AA1454">
        <v>2</v>
      </c>
      <c r="AB1454">
        <v>12</v>
      </c>
      <c r="AC1454">
        <v>3</v>
      </c>
      <c r="AD1454">
        <v>3</v>
      </c>
      <c r="AE1454">
        <v>6</v>
      </c>
      <c r="AF1454">
        <v>3</v>
      </c>
      <c r="AG1454">
        <v>0</v>
      </c>
      <c r="AH1454">
        <v>1</v>
      </c>
      <c r="AI1454" t="str">
        <f t="shared" si="88"/>
        <v>6-10 Years</v>
      </c>
      <c r="AJ1454" t="str">
        <f t="shared" si="89"/>
        <v>0-2</v>
      </c>
    </row>
    <row r="1455" spans="1:36" x14ac:dyDescent="0.35">
      <c r="A1455">
        <v>1454</v>
      </c>
      <c r="B1455">
        <v>36</v>
      </c>
      <c r="C1455" t="str">
        <f t="shared" si="90"/>
        <v>36-45</v>
      </c>
      <c r="D1455" t="s">
        <v>38</v>
      </c>
      <c r="E1455" t="s">
        <v>32</v>
      </c>
      <c r="F1455" s="3">
        <v>1389</v>
      </c>
      <c r="G1455" t="s">
        <v>33</v>
      </c>
      <c r="H1455" s="1">
        <v>11</v>
      </c>
      <c r="I1455" t="s">
        <v>60</v>
      </c>
      <c r="J1455" t="s">
        <v>54</v>
      </c>
      <c r="K1455" t="s">
        <v>61</v>
      </c>
      <c r="L1455" t="s">
        <v>35</v>
      </c>
      <c r="M1455" s="3">
        <v>100</v>
      </c>
      <c r="N1455" t="s">
        <v>61</v>
      </c>
      <c r="O1455" t="s">
        <v>61</v>
      </c>
      <c r="P1455" t="s">
        <v>36</v>
      </c>
      <c r="Q1455" t="s">
        <v>62</v>
      </c>
      <c r="R1455" t="s">
        <v>43</v>
      </c>
      <c r="S1455" s="3">
        <v>6652</v>
      </c>
      <c r="T1455" s="3">
        <v>14369</v>
      </c>
      <c r="U1455" s="3" t="str">
        <f t="shared" si="91"/>
        <v>Medium</v>
      </c>
      <c r="V1455">
        <v>4</v>
      </c>
      <c r="W1455" t="s">
        <v>38</v>
      </c>
      <c r="X1455" s="2">
        <v>13</v>
      </c>
      <c r="Y1455" t="s">
        <v>60</v>
      </c>
      <c r="Z1455" t="s">
        <v>59</v>
      </c>
      <c r="AA1455">
        <v>1</v>
      </c>
      <c r="AB1455">
        <v>8</v>
      </c>
      <c r="AC1455">
        <v>2</v>
      </c>
      <c r="AD1455">
        <v>2</v>
      </c>
      <c r="AE1455">
        <v>6</v>
      </c>
      <c r="AF1455">
        <v>3</v>
      </c>
      <c r="AG1455">
        <v>0</v>
      </c>
      <c r="AH1455">
        <v>0</v>
      </c>
      <c r="AI1455" t="str">
        <f t="shared" si="88"/>
        <v>6-10 Years</v>
      </c>
      <c r="AJ1455" t="str">
        <f t="shared" si="89"/>
        <v>0-2</v>
      </c>
    </row>
    <row r="1456" spans="1:36" x14ac:dyDescent="0.35">
      <c r="A1456">
        <v>1455</v>
      </c>
      <c r="B1456">
        <v>45</v>
      </c>
      <c r="C1456" t="str">
        <f t="shared" si="90"/>
        <v>36-45</v>
      </c>
      <c r="D1456" t="s">
        <v>38</v>
      </c>
      <c r="E1456" t="s">
        <v>32</v>
      </c>
      <c r="F1456" s="3">
        <v>1389</v>
      </c>
      <c r="G1456" t="s">
        <v>33</v>
      </c>
      <c r="H1456" s="1">
        <v>20</v>
      </c>
      <c r="I1456" t="s">
        <v>61</v>
      </c>
      <c r="J1456" t="s">
        <v>34</v>
      </c>
      <c r="K1456" t="s">
        <v>62</v>
      </c>
      <c r="L1456" t="s">
        <v>35</v>
      </c>
      <c r="M1456" s="3">
        <v>50</v>
      </c>
      <c r="N1456" t="s">
        <v>60</v>
      </c>
      <c r="O1456" t="s">
        <v>61</v>
      </c>
      <c r="P1456" t="s">
        <v>36</v>
      </c>
      <c r="Q1456" t="s">
        <v>60</v>
      </c>
      <c r="R1456" t="s">
        <v>37</v>
      </c>
      <c r="S1456" s="3">
        <v>4850</v>
      </c>
      <c r="T1456" s="3">
        <v>23333</v>
      </c>
      <c r="U1456" s="3" t="str">
        <f t="shared" si="91"/>
        <v>Low</v>
      </c>
      <c r="V1456">
        <v>8</v>
      </c>
      <c r="W1456" t="s">
        <v>38</v>
      </c>
      <c r="X1456" s="2">
        <v>15</v>
      </c>
      <c r="Y1456" t="s">
        <v>60</v>
      </c>
      <c r="Z1456" t="s">
        <v>60</v>
      </c>
      <c r="AA1456">
        <v>0</v>
      </c>
      <c r="AB1456">
        <v>8</v>
      </c>
      <c r="AC1456">
        <v>3</v>
      </c>
      <c r="AD1456">
        <v>3</v>
      </c>
      <c r="AE1456">
        <v>5</v>
      </c>
      <c r="AF1456">
        <v>3</v>
      </c>
      <c r="AG1456">
        <v>0</v>
      </c>
      <c r="AH1456">
        <v>1</v>
      </c>
      <c r="AI1456" t="str">
        <f t="shared" si="88"/>
        <v>3-5 Years</v>
      </c>
      <c r="AJ1456" t="str">
        <f t="shared" si="89"/>
        <v>0-2</v>
      </c>
    </row>
    <row r="1457" spans="1:36" x14ac:dyDescent="0.35">
      <c r="A1457">
        <v>1456</v>
      </c>
      <c r="B1457">
        <v>40</v>
      </c>
      <c r="C1457" t="str">
        <f t="shared" si="90"/>
        <v>36-45</v>
      </c>
      <c r="D1457" t="s">
        <v>38</v>
      </c>
      <c r="E1457" t="s">
        <v>32</v>
      </c>
      <c r="F1457" s="3">
        <v>1389</v>
      </c>
      <c r="G1457" t="s">
        <v>40</v>
      </c>
      <c r="H1457" s="1">
        <v>2</v>
      </c>
      <c r="I1457" t="s">
        <v>60</v>
      </c>
      <c r="J1457" t="s">
        <v>34</v>
      </c>
      <c r="K1457" t="s">
        <v>60</v>
      </c>
      <c r="L1457" t="s">
        <v>41</v>
      </c>
      <c r="M1457" s="3">
        <v>52</v>
      </c>
      <c r="N1457" t="s">
        <v>61</v>
      </c>
      <c r="O1457" t="s">
        <v>59</v>
      </c>
      <c r="P1457" t="s">
        <v>42</v>
      </c>
      <c r="Q1457" t="s">
        <v>60</v>
      </c>
      <c r="R1457" t="s">
        <v>37</v>
      </c>
      <c r="S1457" s="3">
        <v>2809</v>
      </c>
      <c r="T1457" s="3">
        <v>2725</v>
      </c>
      <c r="U1457" s="3" t="str">
        <f t="shared" si="91"/>
        <v>Low</v>
      </c>
      <c r="V1457">
        <v>2</v>
      </c>
      <c r="W1457" t="s">
        <v>38</v>
      </c>
      <c r="X1457" s="2">
        <v>14</v>
      </c>
      <c r="Y1457" t="s">
        <v>60</v>
      </c>
      <c r="Z1457" t="s">
        <v>62</v>
      </c>
      <c r="AA1457">
        <v>0</v>
      </c>
      <c r="AB1457">
        <v>8</v>
      </c>
      <c r="AC1457">
        <v>2</v>
      </c>
      <c r="AD1457">
        <v>3</v>
      </c>
      <c r="AE1457">
        <v>2</v>
      </c>
      <c r="AF1457">
        <v>2</v>
      </c>
      <c r="AG1457">
        <v>2</v>
      </c>
      <c r="AH1457">
        <v>2</v>
      </c>
      <c r="AI1457" t="str">
        <f t="shared" si="88"/>
        <v>0-2 Years</v>
      </c>
      <c r="AJ1457" t="str">
        <f t="shared" si="89"/>
        <v>0-2</v>
      </c>
    </row>
    <row r="1458" spans="1:36" x14ac:dyDescent="0.35">
      <c r="A1458">
        <v>1457</v>
      </c>
      <c r="B1458">
        <v>35</v>
      </c>
      <c r="C1458" t="str">
        <f t="shared" si="90"/>
        <v>26-35</v>
      </c>
      <c r="D1458" t="s">
        <v>38</v>
      </c>
      <c r="E1458" t="s">
        <v>39</v>
      </c>
      <c r="F1458" s="3">
        <v>1389</v>
      </c>
      <c r="G1458" t="s">
        <v>40</v>
      </c>
      <c r="H1458" s="1">
        <v>18</v>
      </c>
      <c r="I1458" t="s">
        <v>60</v>
      </c>
      <c r="J1458" t="s">
        <v>34</v>
      </c>
      <c r="K1458" t="s">
        <v>60</v>
      </c>
      <c r="L1458" t="s">
        <v>41</v>
      </c>
      <c r="M1458" s="3">
        <v>80</v>
      </c>
      <c r="N1458" t="s">
        <v>60</v>
      </c>
      <c r="O1458" t="s">
        <v>61</v>
      </c>
      <c r="P1458" t="s">
        <v>49</v>
      </c>
      <c r="Q1458" t="s">
        <v>60</v>
      </c>
      <c r="R1458" t="s">
        <v>43</v>
      </c>
      <c r="S1458" s="3">
        <v>5689</v>
      </c>
      <c r="T1458" s="3">
        <v>24594</v>
      </c>
      <c r="U1458" s="3" t="str">
        <f t="shared" si="91"/>
        <v>Medium</v>
      </c>
      <c r="V1458">
        <v>1</v>
      </c>
      <c r="W1458" t="s">
        <v>31</v>
      </c>
      <c r="X1458" s="2">
        <v>14</v>
      </c>
      <c r="Y1458" t="s">
        <v>60</v>
      </c>
      <c r="Z1458" t="s">
        <v>62</v>
      </c>
      <c r="AA1458">
        <v>2</v>
      </c>
      <c r="AB1458">
        <v>10</v>
      </c>
      <c r="AC1458">
        <v>2</v>
      </c>
      <c r="AD1458">
        <v>4</v>
      </c>
      <c r="AE1458">
        <v>10</v>
      </c>
      <c r="AF1458">
        <v>2</v>
      </c>
      <c r="AG1458">
        <v>0</v>
      </c>
      <c r="AH1458">
        <v>2</v>
      </c>
      <c r="AI1458" t="str">
        <f t="shared" si="88"/>
        <v>6-10 Years</v>
      </c>
      <c r="AJ1458" t="str">
        <f t="shared" si="89"/>
        <v>0-2</v>
      </c>
    </row>
    <row r="1459" spans="1:36" x14ac:dyDescent="0.35">
      <c r="A1459">
        <v>1458</v>
      </c>
      <c r="B1459">
        <v>40</v>
      </c>
      <c r="C1459" t="str">
        <f t="shared" si="90"/>
        <v>36-45</v>
      </c>
      <c r="D1459" t="s">
        <v>38</v>
      </c>
      <c r="E1459" t="s">
        <v>32</v>
      </c>
      <c r="F1459" s="3">
        <v>1389</v>
      </c>
      <c r="G1459" t="s">
        <v>40</v>
      </c>
      <c r="H1459" s="1">
        <v>2</v>
      </c>
      <c r="I1459" t="s">
        <v>60</v>
      </c>
      <c r="J1459" t="s">
        <v>46</v>
      </c>
      <c r="K1459" t="s">
        <v>60</v>
      </c>
      <c r="L1459" t="s">
        <v>35</v>
      </c>
      <c r="M1459" s="3">
        <v>98</v>
      </c>
      <c r="N1459" t="s">
        <v>60</v>
      </c>
      <c r="O1459" t="s">
        <v>59</v>
      </c>
      <c r="P1459" t="s">
        <v>42</v>
      </c>
      <c r="Q1459" t="s">
        <v>60</v>
      </c>
      <c r="R1459" t="s">
        <v>43</v>
      </c>
      <c r="S1459" s="3">
        <v>2001</v>
      </c>
      <c r="T1459" s="3">
        <v>12549</v>
      </c>
      <c r="U1459" s="3" t="str">
        <f t="shared" si="91"/>
        <v>Low</v>
      </c>
      <c r="V1459">
        <v>2</v>
      </c>
      <c r="W1459" t="s">
        <v>38</v>
      </c>
      <c r="X1459" s="2">
        <v>14</v>
      </c>
      <c r="Y1459" t="s">
        <v>60</v>
      </c>
      <c r="Z1459" t="s">
        <v>61</v>
      </c>
      <c r="AA1459">
        <v>3</v>
      </c>
      <c r="AB1459">
        <v>20</v>
      </c>
      <c r="AC1459">
        <v>2</v>
      </c>
      <c r="AD1459">
        <v>3</v>
      </c>
      <c r="AE1459">
        <v>5</v>
      </c>
      <c r="AF1459">
        <v>3</v>
      </c>
      <c r="AG1459">
        <v>0</v>
      </c>
      <c r="AH1459">
        <v>2</v>
      </c>
      <c r="AI1459" t="str">
        <f t="shared" si="88"/>
        <v>3-5 Years</v>
      </c>
      <c r="AJ1459" t="str">
        <f t="shared" si="89"/>
        <v>0-2</v>
      </c>
    </row>
    <row r="1460" spans="1:36" x14ac:dyDescent="0.35">
      <c r="A1460">
        <v>1459</v>
      </c>
      <c r="B1460">
        <v>35</v>
      </c>
      <c r="C1460" t="str">
        <f t="shared" si="90"/>
        <v>26-35</v>
      </c>
      <c r="D1460" t="s">
        <v>38</v>
      </c>
      <c r="E1460" t="s">
        <v>32</v>
      </c>
      <c r="F1460" s="3">
        <v>1389</v>
      </c>
      <c r="G1460" t="s">
        <v>40</v>
      </c>
      <c r="H1460" s="1">
        <v>1</v>
      </c>
      <c r="I1460" t="s">
        <v>60</v>
      </c>
      <c r="J1460" t="s">
        <v>34</v>
      </c>
      <c r="K1460" t="s">
        <v>60</v>
      </c>
      <c r="L1460" t="s">
        <v>35</v>
      </c>
      <c r="M1460" s="3">
        <v>62</v>
      </c>
      <c r="N1460" t="s">
        <v>59</v>
      </c>
      <c r="O1460" t="s">
        <v>59</v>
      </c>
      <c r="P1460" t="s">
        <v>42</v>
      </c>
      <c r="Q1460" t="s">
        <v>62</v>
      </c>
      <c r="R1460" t="s">
        <v>43</v>
      </c>
      <c r="S1460" s="3">
        <v>2977</v>
      </c>
      <c r="T1460" s="3">
        <v>8952</v>
      </c>
      <c r="U1460" s="3" t="str">
        <f t="shared" si="91"/>
        <v>Low</v>
      </c>
      <c r="V1460">
        <v>1</v>
      </c>
      <c r="W1460" t="s">
        <v>38</v>
      </c>
      <c r="X1460" s="2">
        <v>12</v>
      </c>
      <c r="Y1460" t="s">
        <v>60</v>
      </c>
      <c r="Z1460" t="s">
        <v>62</v>
      </c>
      <c r="AA1460">
        <v>1</v>
      </c>
      <c r="AB1460">
        <v>4</v>
      </c>
      <c r="AC1460">
        <v>5</v>
      </c>
      <c r="AD1460">
        <v>3</v>
      </c>
      <c r="AE1460">
        <v>4</v>
      </c>
      <c r="AF1460">
        <v>3</v>
      </c>
      <c r="AG1460">
        <v>1</v>
      </c>
      <c r="AH1460">
        <v>1</v>
      </c>
      <c r="AI1460" t="str">
        <f t="shared" si="88"/>
        <v>3-5 Years</v>
      </c>
      <c r="AJ1460" t="str">
        <f t="shared" si="89"/>
        <v>0-2</v>
      </c>
    </row>
    <row r="1461" spans="1:36" x14ac:dyDescent="0.35">
      <c r="A1461">
        <v>1460</v>
      </c>
      <c r="B1461">
        <v>29</v>
      </c>
      <c r="C1461" t="str">
        <f t="shared" si="90"/>
        <v>26-35</v>
      </c>
      <c r="D1461" t="s">
        <v>38</v>
      </c>
      <c r="E1461" t="s">
        <v>32</v>
      </c>
      <c r="F1461" s="3">
        <v>1389</v>
      </c>
      <c r="G1461" t="s">
        <v>40</v>
      </c>
      <c r="H1461" s="1">
        <v>13</v>
      </c>
      <c r="I1461" t="s">
        <v>58</v>
      </c>
      <c r="J1461" t="s">
        <v>44</v>
      </c>
      <c r="K1461" t="s">
        <v>62</v>
      </c>
      <c r="L1461" t="s">
        <v>41</v>
      </c>
      <c r="M1461" s="3">
        <v>46</v>
      </c>
      <c r="N1461" t="s">
        <v>61</v>
      </c>
      <c r="O1461" t="s">
        <v>61</v>
      </c>
      <c r="P1461" t="s">
        <v>45</v>
      </c>
      <c r="Q1461" t="s">
        <v>61</v>
      </c>
      <c r="R1461" t="s">
        <v>43</v>
      </c>
      <c r="S1461" s="3">
        <v>4025</v>
      </c>
      <c r="T1461" s="3">
        <v>23679</v>
      </c>
      <c r="U1461" s="3" t="str">
        <f t="shared" si="91"/>
        <v>Low</v>
      </c>
      <c r="V1461">
        <v>4</v>
      </c>
      <c r="W1461" t="s">
        <v>31</v>
      </c>
      <c r="X1461" s="2">
        <v>13</v>
      </c>
      <c r="Y1461" t="s">
        <v>60</v>
      </c>
      <c r="Z1461" t="s">
        <v>59</v>
      </c>
      <c r="AA1461">
        <v>1</v>
      </c>
      <c r="AB1461">
        <v>10</v>
      </c>
      <c r="AC1461">
        <v>2</v>
      </c>
      <c r="AD1461">
        <v>3</v>
      </c>
      <c r="AE1461">
        <v>4</v>
      </c>
      <c r="AF1461">
        <v>3</v>
      </c>
      <c r="AG1461">
        <v>0</v>
      </c>
      <c r="AH1461">
        <v>3</v>
      </c>
      <c r="AI1461" t="str">
        <f t="shared" si="88"/>
        <v>3-5 Years</v>
      </c>
      <c r="AJ1461" t="str">
        <f t="shared" si="89"/>
        <v>0-2</v>
      </c>
    </row>
    <row r="1462" spans="1:36" x14ac:dyDescent="0.35">
      <c r="A1462">
        <v>1461</v>
      </c>
      <c r="B1462">
        <v>29</v>
      </c>
      <c r="C1462" t="str">
        <f t="shared" si="90"/>
        <v>26-35</v>
      </c>
      <c r="D1462" t="s">
        <v>38</v>
      </c>
      <c r="E1462" t="s">
        <v>32</v>
      </c>
      <c r="F1462" s="3">
        <v>1389</v>
      </c>
      <c r="G1462" t="s">
        <v>40</v>
      </c>
      <c r="H1462" s="1">
        <v>28</v>
      </c>
      <c r="I1462" t="s">
        <v>60</v>
      </c>
      <c r="J1462" t="s">
        <v>46</v>
      </c>
      <c r="K1462" t="s">
        <v>62</v>
      </c>
      <c r="L1462" t="s">
        <v>35</v>
      </c>
      <c r="M1462" s="3">
        <v>73</v>
      </c>
      <c r="N1462" t="s">
        <v>61</v>
      </c>
      <c r="O1462" t="s">
        <v>59</v>
      </c>
      <c r="P1462" t="s">
        <v>42</v>
      </c>
      <c r="Q1462" t="s">
        <v>59</v>
      </c>
      <c r="R1462" t="s">
        <v>37</v>
      </c>
      <c r="S1462" s="3">
        <v>3785</v>
      </c>
      <c r="T1462" s="3">
        <v>8489</v>
      </c>
      <c r="U1462" s="3" t="str">
        <f t="shared" si="91"/>
        <v>Low</v>
      </c>
      <c r="V1462">
        <v>1</v>
      </c>
      <c r="W1462" t="s">
        <v>38</v>
      </c>
      <c r="X1462" s="2">
        <v>14</v>
      </c>
      <c r="Y1462" t="s">
        <v>60</v>
      </c>
      <c r="Z1462" t="s">
        <v>61</v>
      </c>
      <c r="AA1462">
        <v>0</v>
      </c>
      <c r="AB1462">
        <v>5</v>
      </c>
      <c r="AC1462">
        <v>3</v>
      </c>
      <c r="AD1462">
        <v>1</v>
      </c>
      <c r="AE1462">
        <v>5</v>
      </c>
      <c r="AF1462">
        <v>4</v>
      </c>
      <c r="AG1462">
        <v>0</v>
      </c>
      <c r="AH1462">
        <v>4</v>
      </c>
      <c r="AI1462" t="str">
        <f t="shared" si="88"/>
        <v>3-5 Years</v>
      </c>
      <c r="AJ1462" t="str">
        <f t="shared" si="89"/>
        <v>0-2</v>
      </c>
    </row>
    <row r="1463" spans="1:36" x14ac:dyDescent="0.35">
      <c r="A1463">
        <v>1462</v>
      </c>
      <c r="B1463">
        <v>50</v>
      </c>
      <c r="C1463" t="str">
        <f t="shared" si="90"/>
        <v>46-55</v>
      </c>
      <c r="D1463" t="s">
        <v>31</v>
      </c>
      <c r="E1463" t="s">
        <v>32</v>
      </c>
      <c r="F1463" s="3">
        <v>1389</v>
      </c>
      <c r="G1463" t="s">
        <v>33</v>
      </c>
      <c r="H1463" s="1">
        <v>28</v>
      </c>
      <c r="I1463" t="s">
        <v>61</v>
      </c>
      <c r="J1463" t="s">
        <v>54</v>
      </c>
      <c r="K1463" t="s">
        <v>62</v>
      </c>
      <c r="L1463" t="s">
        <v>41</v>
      </c>
      <c r="M1463" s="3">
        <v>39</v>
      </c>
      <c r="N1463" t="s">
        <v>61</v>
      </c>
      <c r="O1463" t="s">
        <v>60</v>
      </c>
      <c r="P1463" t="s">
        <v>36</v>
      </c>
      <c r="Q1463" t="s">
        <v>59</v>
      </c>
      <c r="R1463" t="s">
        <v>47</v>
      </c>
      <c r="S1463" s="3">
        <v>10854</v>
      </c>
      <c r="T1463" s="3">
        <v>16586</v>
      </c>
      <c r="U1463" s="3" t="str">
        <f t="shared" si="91"/>
        <v>High</v>
      </c>
      <c r="V1463">
        <v>4</v>
      </c>
      <c r="W1463" t="s">
        <v>31</v>
      </c>
      <c r="X1463" s="2">
        <v>13</v>
      </c>
      <c r="Y1463" t="s">
        <v>60</v>
      </c>
      <c r="Z1463" t="s">
        <v>61</v>
      </c>
      <c r="AA1463">
        <v>1</v>
      </c>
      <c r="AB1463">
        <v>20</v>
      </c>
      <c r="AC1463">
        <v>3</v>
      </c>
      <c r="AD1463">
        <v>3</v>
      </c>
      <c r="AE1463">
        <v>3</v>
      </c>
      <c r="AF1463">
        <v>2</v>
      </c>
      <c r="AG1463">
        <v>2</v>
      </c>
      <c r="AH1463">
        <v>0</v>
      </c>
      <c r="AI1463" t="str">
        <f t="shared" si="88"/>
        <v>3-5 Years</v>
      </c>
      <c r="AJ1463" t="str">
        <f t="shared" si="89"/>
        <v>0-2</v>
      </c>
    </row>
    <row r="1464" spans="1:36" x14ac:dyDescent="0.35">
      <c r="A1464">
        <v>1463</v>
      </c>
      <c r="B1464">
        <v>39</v>
      </c>
      <c r="C1464" t="str">
        <f t="shared" si="90"/>
        <v>36-45</v>
      </c>
      <c r="D1464" t="s">
        <v>38</v>
      </c>
      <c r="E1464" t="s">
        <v>32</v>
      </c>
      <c r="F1464" s="3">
        <v>1389</v>
      </c>
      <c r="G1464" t="s">
        <v>33</v>
      </c>
      <c r="H1464" s="1">
        <v>24</v>
      </c>
      <c r="I1464" t="s">
        <v>59</v>
      </c>
      <c r="J1464" t="s">
        <v>54</v>
      </c>
      <c r="K1464" t="s">
        <v>61</v>
      </c>
      <c r="L1464" t="s">
        <v>35</v>
      </c>
      <c r="M1464" s="3">
        <v>60</v>
      </c>
      <c r="N1464" t="s">
        <v>61</v>
      </c>
      <c r="O1464" t="s">
        <v>62</v>
      </c>
      <c r="P1464" t="s">
        <v>36</v>
      </c>
      <c r="Q1464" t="s">
        <v>62</v>
      </c>
      <c r="R1464" t="s">
        <v>43</v>
      </c>
      <c r="S1464" s="3">
        <v>12031</v>
      </c>
      <c r="T1464" s="3">
        <v>8828</v>
      </c>
      <c r="U1464" s="3" t="str">
        <f t="shared" si="91"/>
        <v>High</v>
      </c>
      <c r="V1464">
        <v>0</v>
      </c>
      <c r="W1464" t="s">
        <v>38</v>
      </c>
      <c r="X1464" s="2">
        <v>11</v>
      </c>
      <c r="Y1464" t="s">
        <v>60</v>
      </c>
      <c r="Z1464" t="s">
        <v>59</v>
      </c>
      <c r="AA1464">
        <v>1</v>
      </c>
      <c r="AB1464">
        <v>21</v>
      </c>
      <c r="AC1464">
        <v>2</v>
      </c>
      <c r="AD1464">
        <v>2</v>
      </c>
      <c r="AE1464">
        <v>20</v>
      </c>
      <c r="AF1464">
        <v>9</v>
      </c>
      <c r="AG1464">
        <v>9</v>
      </c>
      <c r="AH1464">
        <v>6</v>
      </c>
      <c r="AI1464" t="str">
        <f t="shared" si="88"/>
        <v>10+ Years</v>
      </c>
      <c r="AJ1464" t="str">
        <f t="shared" si="89"/>
        <v>6+</v>
      </c>
    </row>
    <row r="1465" spans="1:36" x14ac:dyDescent="0.35">
      <c r="A1465">
        <v>1464</v>
      </c>
      <c r="B1465">
        <v>31</v>
      </c>
      <c r="C1465" t="str">
        <f t="shared" si="90"/>
        <v>26-35</v>
      </c>
      <c r="D1465" t="s">
        <v>38</v>
      </c>
      <c r="E1465" t="s">
        <v>50</v>
      </c>
      <c r="F1465" s="3">
        <v>1389</v>
      </c>
      <c r="G1465" t="s">
        <v>40</v>
      </c>
      <c r="H1465" s="1">
        <v>5</v>
      </c>
      <c r="I1465" t="s">
        <v>61</v>
      </c>
      <c r="J1465" t="s">
        <v>46</v>
      </c>
      <c r="K1465" t="s">
        <v>61</v>
      </c>
      <c r="L1465" t="s">
        <v>41</v>
      </c>
      <c r="M1465" s="3">
        <v>74</v>
      </c>
      <c r="N1465" t="s">
        <v>60</v>
      </c>
      <c r="O1465" t="s">
        <v>61</v>
      </c>
      <c r="P1465" t="s">
        <v>48</v>
      </c>
      <c r="Q1465" t="s">
        <v>59</v>
      </c>
      <c r="R1465" t="s">
        <v>37</v>
      </c>
      <c r="S1465" s="3">
        <v>9936</v>
      </c>
      <c r="T1465" s="3">
        <v>3787</v>
      </c>
      <c r="U1465" s="3" t="str">
        <f t="shared" si="91"/>
        <v>Medium</v>
      </c>
      <c r="V1465">
        <v>0</v>
      </c>
      <c r="W1465" t="s">
        <v>38</v>
      </c>
      <c r="X1465" s="2">
        <v>19</v>
      </c>
      <c r="Y1465" t="s">
        <v>60</v>
      </c>
      <c r="Z1465" t="s">
        <v>61</v>
      </c>
      <c r="AA1465">
        <v>0</v>
      </c>
      <c r="AB1465">
        <v>10</v>
      </c>
      <c r="AC1465">
        <v>2</v>
      </c>
      <c r="AD1465">
        <v>3</v>
      </c>
      <c r="AE1465">
        <v>9</v>
      </c>
      <c r="AF1465">
        <v>4</v>
      </c>
      <c r="AG1465">
        <v>1</v>
      </c>
      <c r="AH1465">
        <v>7</v>
      </c>
      <c r="AI1465" t="str">
        <f t="shared" si="88"/>
        <v>6-10 Years</v>
      </c>
      <c r="AJ1465" t="str">
        <f t="shared" si="89"/>
        <v>0-2</v>
      </c>
    </row>
    <row r="1466" spans="1:36" x14ac:dyDescent="0.35">
      <c r="A1466">
        <v>1465</v>
      </c>
      <c r="B1466">
        <v>26</v>
      </c>
      <c r="C1466" t="str">
        <f t="shared" si="90"/>
        <v>26-35</v>
      </c>
      <c r="D1466" t="s">
        <v>38</v>
      </c>
      <c r="E1466" t="s">
        <v>32</v>
      </c>
      <c r="F1466" s="3">
        <v>1389</v>
      </c>
      <c r="G1466" t="s">
        <v>33</v>
      </c>
      <c r="H1466" s="1">
        <v>5</v>
      </c>
      <c r="I1466" t="s">
        <v>61</v>
      </c>
      <c r="J1466" t="s">
        <v>44</v>
      </c>
      <c r="K1466" t="s">
        <v>62</v>
      </c>
      <c r="L1466" t="s">
        <v>35</v>
      </c>
      <c r="M1466" s="3">
        <v>30</v>
      </c>
      <c r="N1466" t="s">
        <v>61</v>
      </c>
      <c r="O1466" t="s">
        <v>59</v>
      </c>
      <c r="P1466" t="s">
        <v>52</v>
      </c>
      <c r="Q1466" t="s">
        <v>60</v>
      </c>
      <c r="R1466" t="s">
        <v>37</v>
      </c>
      <c r="S1466" s="3">
        <v>2966</v>
      </c>
      <c r="T1466" s="3">
        <v>21378</v>
      </c>
      <c r="U1466" s="3" t="str">
        <f t="shared" si="91"/>
        <v>Low</v>
      </c>
      <c r="V1466">
        <v>0</v>
      </c>
      <c r="W1466" t="s">
        <v>38</v>
      </c>
      <c r="X1466" s="2">
        <v>18</v>
      </c>
      <c r="Y1466" t="s">
        <v>60</v>
      </c>
      <c r="Z1466" t="s">
        <v>62</v>
      </c>
      <c r="AA1466">
        <v>0</v>
      </c>
      <c r="AB1466">
        <v>5</v>
      </c>
      <c r="AC1466">
        <v>2</v>
      </c>
      <c r="AD1466">
        <v>3</v>
      </c>
      <c r="AE1466">
        <v>4</v>
      </c>
      <c r="AF1466">
        <v>2</v>
      </c>
      <c r="AG1466">
        <v>0</v>
      </c>
      <c r="AH1466">
        <v>0</v>
      </c>
      <c r="AI1466" t="str">
        <f t="shared" si="88"/>
        <v>3-5 Years</v>
      </c>
      <c r="AJ1466" t="str">
        <f t="shared" si="89"/>
        <v>0-2</v>
      </c>
    </row>
    <row r="1467" spans="1:36" x14ac:dyDescent="0.35">
      <c r="A1467">
        <v>1466</v>
      </c>
      <c r="B1467">
        <v>36</v>
      </c>
      <c r="C1467" t="str">
        <f t="shared" si="90"/>
        <v>36-45</v>
      </c>
      <c r="D1467" t="s">
        <v>38</v>
      </c>
      <c r="E1467" t="s">
        <v>39</v>
      </c>
      <c r="F1467" s="3">
        <v>1389</v>
      </c>
      <c r="G1467" t="s">
        <v>40</v>
      </c>
      <c r="H1467" s="1">
        <v>23</v>
      </c>
      <c r="I1467" t="s">
        <v>58</v>
      </c>
      <c r="J1467" t="s">
        <v>46</v>
      </c>
      <c r="K1467" t="s">
        <v>60</v>
      </c>
      <c r="L1467" t="s">
        <v>41</v>
      </c>
      <c r="M1467" s="3">
        <v>41</v>
      </c>
      <c r="N1467" t="s">
        <v>62</v>
      </c>
      <c r="O1467" t="s">
        <v>61</v>
      </c>
      <c r="P1467" t="s">
        <v>45</v>
      </c>
      <c r="Q1467" t="s">
        <v>62</v>
      </c>
      <c r="R1467" t="s">
        <v>43</v>
      </c>
      <c r="S1467" s="3">
        <v>2571</v>
      </c>
      <c r="T1467" s="3">
        <v>12290</v>
      </c>
      <c r="U1467" s="3" t="str">
        <f t="shared" si="91"/>
        <v>Low</v>
      </c>
      <c r="V1467">
        <v>4</v>
      </c>
      <c r="W1467" t="s">
        <v>38</v>
      </c>
      <c r="X1467" s="2">
        <v>17</v>
      </c>
      <c r="Y1467" t="s">
        <v>60</v>
      </c>
      <c r="Z1467" t="s">
        <v>60</v>
      </c>
      <c r="AA1467">
        <v>1</v>
      </c>
      <c r="AB1467">
        <v>17</v>
      </c>
      <c r="AC1467">
        <v>3</v>
      </c>
      <c r="AD1467">
        <v>3</v>
      </c>
      <c r="AE1467">
        <v>5</v>
      </c>
      <c r="AF1467">
        <v>2</v>
      </c>
      <c r="AG1467">
        <v>0</v>
      </c>
      <c r="AH1467">
        <v>3</v>
      </c>
      <c r="AI1467" t="str">
        <f t="shared" si="88"/>
        <v>3-5 Years</v>
      </c>
      <c r="AJ1467" t="str">
        <f t="shared" si="89"/>
        <v>0-2</v>
      </c>
    </row>
    <row r="1468" spans="1:36" x14ac:dyDescent="0.35">
      <c r="A1468">
        <v>1467</v>
      </c>
      <c r="B1468">
        <v>39</v>
      </c>
      <c r="C1468" t="str">
        <f t="shared" si="90"/>
        <v>36-45</v>
      </c>
      <c r="D1468" t="s">
        <v>38</v>
      </c>
      <c r="E1468" t="s">
        <v>32</v>
      </c>
      <c r="F1468" s="3">
        <v>1389</v>
      </c>
      <c r="G1468" t="s">
        <v>40</v>
      </c>
      <c r="H1468" s="1">
        <v>6</v>
      </c>
      <c r="I1468" t="s">
        <v>59</v>
      </c>
      <c r="J1468" t="s">
        <v>46</v>
      </c>
      <c r="K1468" t="s">
        <v>62</v>
      </c>
      <c r="L1468" t="s">
        <v>41</v>
      </c>
      <c r="M1468" s="3">
        <v>42</v>
      </c>
      <c r="N1468" t="s">
        <v>61</v>
      </c>
      <c r="O1468" t="s">
        <v>60</v>
      </c>
      <c r="P1468" t="s">
        <v>49</v>
      </c>
      <c r="Q1468" t="s">
        <v>59</v>
      </c>
      <c r="R1468" t="s">
        <v>43</v>
      </c>
      <c r="S1468" s="3">
        <v>9991</v>
      </c>
      <c r="T1468" s="3">
        <v>21457</v>
      </c>
      <c r="U1468" s="3" t="str">
        <f t="shared" si="91"/>
        <v>Medium</v>
      </c>
      <c r="V1468">
        <v>4</v>
      </c>
      <c r="W1468" t="s">
        <v>38</v>
      </c>
      <c r="X1468" s="2">
        <v>15</v>
      </c>
      <c r="Y1468" t="s">
        <v>60</v>
      </c>
      <c r="Z1468" t="s">
        <v>59</v>
      </c>
      <c r="AA1468">
        <v>1</v>
      </c>
      <c r="AB1468">
        <v>9</v>
      </c>
      <c r="AC1468">
        <v>5</v>
      </c>
      <c r="AD1468">
        <v>3</v>
      </c>
      <c r="AE1468">
        <v>7</v>
      </c>
      <c r="AF1468">
        <v>7</v>
      </c>
      <c r="AG1468">
        <v>1</v>
      </c>
      <c r="AH1468">
        <v>7</v>
      </c>
      <c r="AI1468" t="str">
        <f t="shared" si="88"/>
        <v>6-10 Years</v>
      </c>
      <c r="AJ1468" t="str">
        <f t="shared" si="89"/>
        <v>0-2</v>
      </c>
    </row>
    <row r="1469" spans="1:36" x14ac:dyDescent="0.35">
      <c r="A1469">
        <v>1468</v>
      </c>
      <c r="B1469">
        <v>27</v>
      </c>
      <c r="C1469" t="str">
        <f t="shared" si="90"/>
        <v>26-35</v>
      </c>
      <c r="D1469" t="s">
        <v>38</v>
      </c>
      <c r="E1469" t="s">
        <v>32</v>
      </c>
      <c r="F1469" s="3">
        <v>1389</v>
      </c>
      <c r="G1469" t="s">
        <v>40</v>
      </c>
      <c r="H1469" s="1">
        <v>4</v>
      </c>
      <c r="I1469" t="s">
        <v>61</v>
      </c>
      <c r="J1469" t="s">
        <v>34</v>
      </c>
      <c r="K1469" t="s">
        <v>61</v>
      </c>
      <c r="L1469" t="s">
        <v>41</v>
      </c>
      <c r="M1469" s="3">
        <v>87</v>
      </c>
      <c r="N1469" t="s">
        <v>62</v>
      </c>
      <c r="O1469" t="s">
        <v>61</v>
      </c>
      <c r="P1469" t="s">
        <v>48</v>
      </c>
      <c r="Q1469" t="s">
        <v>61</v>
      </c>
      <c r="R1469" t="s">
        <v>43</v>
      </c>
      <c r="S1469" s="3">
        <v>6142</v>
      </c>
      <c r="T1469" s="3">
        <v>5174</v>
      </c>
      <c r="U1469" s="3" t="str">
        <f t="shared" si="91"/>
        <v>Medium</v>
      </c>
      <c r="V1469">
        <v>1</v>
      </c>
      <c r="W1469" t="s">
        <v>31</v>
      </c>
      <c r="X1469" s="2">
        <v>20</v>
      </c>
      <c r="Y1469" t="s">
        <v>62</v>
      </c>
      <c r="Z1469" t="s">
        <v>61</v>
      </c>
      <c r="AA1469">
        <v>1</v>
      </c>
      <c r="AB1469">
        <v>6</v>
      </c>
      <c r="AC1469">
        <v>0</v>
      </c>
      <c r="AD1469">
        <v>3</v>
      </c>
      <c r="AE1469">
        <v>6</v>
      </c>
      <c r="AF1469">
        <v>2</v>
      </c>
      <c r="AG1469">
        <v>0</v>
      </c>
      <c r="AH1469">
        <v>3</v>
      </c>
      <c r="AI1469" t="str">
        <f t="shared" si="88"/>
        <v>6-10 Years</v>
      </c>
      <c r="AJ1469" t="str">
        <f t="shared" si="89"/>
        <v>0-2</v>
      </c>
    </row>
    <row r="1470" spans="1:36" x14ac:dyDescent="0.35">
      <c r="A1470">
        <v>1469</v>
      </c>
      <c r="B1470">
        <v>49</v>
      </c>
      <c r="C1470" t="str">
        <f t="shared" si="90"/>
        <v>46-55</v>
      </c>
      <c r="D1470" t="s">
        <v>38</v>
      </c>
      <c r="E1470" t="s">
        <v>39</v>
      </c>
      <c r="F1470" s="3">
        <v>1389</v>
      </c>
      <c r="G1470" t="s">
        <v>33</v>
      </c>
      <c r="H1470" s="1">
        <v>2</v>
      </c>
      <c r="I1470" t="s">
        <v>61</v>
      </c>
      <c r="J1470" t="s">
        <v>46</v>
      </c>
      <c r="K1470" t="s">
        <v>62</v>
      </c>
      <c r="L1470" t="s">
        <v>41</v>
      </c>
      <c r="M1470" s="3">
        <v>63</v>
      </c>
      <c r="N1470" t="s">
        <v>61</v>
      </c>
      <c r="O1470" t="s">
        <v>61</v>
      </c>
      <c r="P1470" t="s">
        <v>36</v>
      </c>
      <c r="Q1470" t="s">
        <v>61</v>
      </c>
      <c r="R1470" t="s">
        <v>43</v>
      </c>
      <c r="S1470" s="3">
        <v>5390</v>
      </c>
      <c r="T1470" s="3">
        <v>13243</v>
      </c>
      <c r="U1470" s="3" t="str">
        <f t="shared" si="91"/>
        <v>Medium</v>
      </c>
      <c r="V1470">
        <v>2</v>
      </c>
      <c r="W1470" t="s">
        <v>38</v>
      </c>
      <c r="X1470" s="2">
        <v>14</v>
      </c>
      <c r="Y1470" t="s">
        <v>60</v>
      </c>
      <c r="Z1470" t="s">
        <v>62</v>
      </c>
      <c r="AA1470">
        <v>0</v>
      </c>
      <c r="AB1470">
        <v>17</v>
      </c>
      <c r="AC1470">
        <v>3</v>
      </c>
      <c r="AD1470">
        <v>2</v>
      </c>
      <c r="AE1470">
        <v>9</v>
      </c>
      <c r="AF1470">
        <v>6</v>
      </c>
      <c r="AG1470">
        <v>0</v>
      </c>
      <c r="AH1470">
        <v>8</v>
      </c>
      <c r="AI1470" t="str">
        <f t="shared" si="88"/>
        <v>6-10 Years</v>
      </c>
      <c r="AJ1470" t="str">
        <f t="shared" si="89"/>
        <v>0-2</v>
      </c>
    </row>
    <row r="1471" spans="1:36" x14ac:dyDescent="0.35">
      <c r="A1471">
        <v>1470</v>
      </c>
      <c r="B1471">
        <v>34</v>
      </c>
      <c r="C1471" t="str">
        <f t="shared" si="90"/>
        <v>26-35</v>
      </c>
      <c r="D1471" t="s">
        <v>38</v>
      </c>
      <c r="E1471" t="s">
        <v>32</v>
      </c>
      <c r="F1471" s="3">
        <v>1389</v>
      </c>
      <c r="G1471" t="s">
        <v>40</v>
      </c>
      <c r="H1471" s="1">
        <v>8</v>
      </c>
      <c r="I1471" t="s">
        <v>61</v>
      </c>
      <c r="J1471" t="s">
        <v>46</v>
      </c>
      <c r="K1471" t="s">
        <v>61</v>
      </c>
      <c r="L1471" t="s">
        <v>41</v>
      </c>
      <c r="M1471" s="3">
        <v>82</v>
      </c>
      <c r="N1471" t="s">
        <v>62</v>
      </c>
      <c r="O1471" t="s">
        <v>61</v>
      </c>
      <c r="P1471" t="s">
        <v>45</v>
      </c>
      <c r="Q1471" t="s">
        <v>60</v>
      </c>
      <c r="R1471" t="s">
        <v>43</v>
      </c>
      <c r="S1471" s="3">
        <v>4404</v>
      </c>
      <c r="T1471" s="3">
        <v>10228</v>
      </c>
      <c r="U1471" s="3" t="str">
        <f t="shared" si="91"/>
        <v>Low</v>
      </c>
      <c r="V1471">
        <v>2</v>
      </c>
      <c r="W1471" t="s">
        <v>38</v>
      </c>
      <c r="X1471" s="2">
        <v>12</v>
      </c>
      <c r="Y1471" t="s">
        <v>60</v>
      </c>
      <c r="Z1471" t="s">
        <v>59</v>
      </c>
      <c r="AA1471">
        <v>0</v>
      </c>
      <c r="AB1471">
        <v>6</v>
      </c>
      <c r="AC1471">
        <v>3</v>
      </c>
      <c r="AD1471">
        <v>4</v>
      </c>
      <c r="AE1471">
        <v>4</v>
      </c>
      <c r="AF1471">
        <v>3</v>
      </c>
      <c r="AG1471">
        <v>1</v>
      </c>
      <c r="AH1471">
        <v>2</v>
      </c>
      <c r="AI1471" t="str">
        <f t="shared" si="88"/>
        <v>3-5 Years</v>
      </c>
      <c r="AJ1471" t="str">
        <f t="shared" si="89"/>
        <v>0-2</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C932-9985-4067-8409-04B039FE8511}">
  <dimension ref="A1:Q134"/>
  <sheetViews>
    <sheetView showGridLines="0" zoomScale="74" zoomScaleNormal="130" workbookViewId="0">
      <selection activeCell="O11" sqref="O11"/>
    </sheetView>
  </sheetViews>
  <sheetFormatPr defaultRowHeight="14.5" x14ac:dyDescent="0.35"/>
  <cols>
    <col min="1" max="1" width="10.54296875" bestFit="1" customWidth="1"/>
    <col min="2" max="2" width="11.26953125" bestFit="1" customWidth="1"/>
    <col min="3" max="3" width="3.81640625" bestFit="1" customWidth="1"/>
    <col min="4" max="4" width="12.453125" bestFit="1" customWidth="1"/>
    <col min="5" max="5" width="11.90625" bestFit="1" customWidth="1"/>
    <col min="14" max="14" width="12.26953125" bestFit="1" customWidth="1"/>
    <col min="15" max="15" width="15.1796875" customWidth="1"/>
  </cols>
  <sheetData>
    <row r="1" spans="1:17" x14ac:dyDescent="0.35">
      <c r="A1" s="17" t="s">
        <v>89</v>
      </c>
      <c r="B1" s="18"/>
    </row>
    <row r="2" spans="1:17" x14ac:dyDescent="0.35">
      <c r="A2" s="18"/>
      <c r="B2" s="18"/>
    </row>
    <row r="3" spans="1:17" x14ac:dyDescent="0.35">
      <c r="A3" t="s">
        <v>68</v>
      </c>
      <c r="B3" t="s">
        <v>88</v>
      </c>
      <c r="C3" s="16" t="s">
        <v>69</v>
      </c>
      <c r="D3" s="16" t="s">
        <v>70</v>
      </c>
    </row>
    <row r="4" spans="1:17" x14ac:dyDescent="0.35">
      <c r="A4">
        <v>1470</v>
      </c>
      <c r="B4" s="3">
        <v>6502.931292517007</v>
      </c>
      <c r="C4">
        <v>237</v>
      </c>
      <c r="D4" s="15">
        <f>C4/GETPIVOTDATA("index",$A$3)</f>
        <v>0.16122448979591836</v>
      </c>
      <c r="E4" s="15"/>
    </row>
    <row r="6" spans="1:17" x14ac:dyDescent="0.35">
      <c r="A6">
        <f>GETPIVOTDATA("Total Employees",$A$3)</f>
        <v>1470</v>
      </c>
      <c r="B6" s="3">
        <f>GETPIVOTDATA("Average of MonthlyIncome",$A$3)</f>
        <v>6502.931292517007</v>
      </c>
      <c r="C6">
        <f>C4</f>
        <v>237</v>
      </c>
      <c r="D6" s="15">
        <f>D4</f>
        <v>0.16122448979591836</v>
      </c>
    </row>
    <row r="10" spans="1:17" x14ac:dyDescent="0.35">
      <c r="A10" s="18" t="s">
        <v>67</v>
      </c>
      <c r="B10" s="18"/>
    </row>
    <row r="11" spans="1:17" x14ac:dyDescent="0.35">
      <c r="A11" s="11" t="s">
        <v>65</v>
      </c>
      <c r="B11" s="11" t="s">
        <v>68</v>
      </c>
      <c r="C11" s="11" t="s">
        <v>69</v>
      </c>
      <c r="D11" s="12" t="s">
        <v>70</v>
      </c>
    </row>
    <row r="12" spans="1:17" x14ac:dyDescent="0.35">
      <c r="A12" s="10" t="s">
        <v>56</v>
      </c>
      <c r="B12">
        <v>63</v>
      </c>
      <c r="C12">
        <v>12</v>
      </c>
      <c r="D12" s="13">
        <f>(C12/B12)</f>
        <v>0.19047619047619047</v>
      </c>
    </row>
    <row r="13" spans="1:17" x14ac:dyDescent="0.35">
      <c r="A13" s="10" t="s">
        <v>40</v>
      </c>
      <c r="B13">
        <v>961</v>
      </c>
      <c r="C13">
        <v>133</v>
      </c>
      <c r="D13" s="13">
        <f>(C13/B13)</f>
        <v>0.13839750260145681</v>
      </c>
    </row>
    <row r="14" spans="1:17" ht="15" customHeight="1" x14ac:dyDescent="0.35">
      <c r="A14" s="10" t="s">
        <v>33</v>
      </c>
      <c r="B14">
        <v>446</v>
      </c>
      <c r="C14">
        <v>92</v>
      </c>
      <c r="D14" s="13">
        <f>(C14/B14)</f>
        <v>0.20627802690582961</v>
      </c>
    </row>
    <row r="15" spans="1:17" ht="15" customHeight="1" x14ac:dyDescent="0.35">
      <c r="A15" s="10"/>
      <c r="D15" s="13"/>
      <c r="Q15" s="10"/>
    </row>
    <row r="16" spans="1:17" ht="15" customHeight="1" x14ac:dyDescent="0.35">
      <c r="A16" s="10"/>
      <c r="D16" s="13"/>
      <c r="Q16" s="10"/>
    </row>
    <row r="17" spans="1:17" x14ac:dyDescent="0.35">
      <c r="A17" s="10"/>
      <c r="D17" s="13"/>
      <c r="Q17" s="10"/>
    </row>
    <row r="18" spans="1:17" x14ac:dyDescent="0.35">
      <c r="A18" s="10"/>
      <c r="D18" s="13"/>
      <c r="Q18" s="10"/>
    </row>
    <row r="19" spans="1:17" x14ac:dyDescent="0.35">
      <c r="Q19" s="10"/>
    </row>
    <row r="20" spans="1:17" x14ac:dyDescent="0.35">
      <c r="Q20" s="10"/>
    </row>
    <row r="21" spans="1:17" x14ac:dyDescent="0.35">
      <c r="A21" s="18" t="s">
        <v>71</v>
      </c>
      <c r="B21" s="18"/>
      <c r="Q21" s="10"/>
    </row>
    <row r="22" spans="1:17" x14ac:dyDescent="0.35">
      <c r="A22" s="9" t="s">
        <v>72</v>
      </c>
      <c r="B22" s="9" t="s">
        <v>1</v>
      </c>
      <c r="Q22" s="10"/>
    </row>
    <row r="23" spans="1:17" x14ac:dyDescent="0.35">
      <c r="A23" s="9" t="s">
        <v>73</v>
      </c>
      <c r="B23" t="s">
        <v>38</v>
      </c>
      <c r="C23" t="s">
        <v>31</v>
      </c>
      <c r="Q23" s="10"/>
    </row>
    <row r="24" spans="1:17" x14ac:dyDescent="0.35">
      <c r="A24" s="10" t="s">
        <v>38</v>
      </c>
      <c r="B24">
        <v>944</v>
      </c>
      <c r="C24">
        <v>110</v>
      </c>
      <c r="Q24" s="10"/>
    </row>
    <row r="25" spans="1:17" x14ac:dyDescent="0.35">
      <c r="A25" s="10" t="s">
        <v>31</v>
      </c>
      <c r="B25">
        <v>289</v>
      </c>
      <c r="C25">
        <v>127</v>
      </c>
      <c r="Q25" s="10"/>
    </row>
    <row r="26" spans="1:17" x14ac:dyDescent="0.35">
      <c r="A26" s="10"/>
      <c r="Q26" s="10"/>
    </row>
    <row r="27" spans="1:17" x14ac:dyDescent="0.35">
      <c r="A27" s="10"/>
      <c r="Q27" s="10"/>
    </row>
    <row r="28" spans="1:17" x14ac:dyDescent="0.35">
      <c r="Q28" s="10"/>
    </row>
    <row r="29" spans="1:17" x14ac:dyDescent="0.35">
      <c r="Q29" s="10"/>
    </row>
    <row r="30" spans="1:17" x14ac:dyDescent="0.35">
      <c r="Q30" s="10"/>
    </row>
    <row r="31" spans="1:17" x14ac:dyDescent="0.35">
      <c r="A31" s="18" t="s">
        <v>74</v>
      </c>
      <c r="B31" s="18"/>
      <c r="Q31" s="10"/>
    </row>
    <row r="32" spans="1:17" x14ac:dyDescent="0.35">
      <c r="A32" s="9" t="s">
        <v>79</v>
      </c>
      <c r="B32" s="9" t="s">
        <v>1</v>
      </c>
      <c r="Q32" s="10"/>
    </row>
    <row r="33" spans="1:17" x14ac:dyDescent="0.35">
      <c r="A33" s="9" t="s">
        <v>66</v>
      </c>
      <c r="B33" t="s">
        <v>38</v>
      </c>
      <c r="C33" t="s">
        <v>31</v>
      </c>
      <c r="Q33" s="10"/>
    </row>
    <row r="34" spans="1:17" x14ac:dyDescent="0.35">
      <c r="A34" s="10" t="s">
        <v>75</v>
      </c>
      <c r="B34">
        <v>240</v>
      </c>
      <c r="C34">
        <v>102</v>
      </c>
      <c r="Q34" s="10"/>
    </row>
    <row r="35" spans="1:17" x14ac:dyDescent="0.35">
      <c r="A35" s="10" t="s">
        <v>76</v>
      </c>
      <c r="B35">
        <v>226</v>
      </c>
      <c r="C35">
        <v>20</v>
      </c>
      <c r="Q35" s="10"/>
    </row>
    <row r="36" spans="1:17" x14ac:dyDescent="0.35">
      <c r="A36" s="10" t="s">
        <v>77</v>
      </c>
      <c r="B36">
        <v>374</v>
      </c>
      <c r="C36">
        <v>60</v>
      </c>
      <c r="Q36" s="10"/>
    </row>
    <row r="37" spans="1:17" x14ac:dyDescent="0.35">
      <c r="A37" s="10" t="s">
        <v>78</v>
      </c>
      <c r="B37">
        <v>393</v>
      </c>
      <c r="C37">
        <v>55</v>
      </c>
      <c r="Q37" s="10"/>
    </row>
    <row r="38" spans="1:17" x14ac:dyDescent="0.35">
      <c r="A38" s="10"/>
      <c r="Q38" s="10"/>
    </row>
    <row r="39" spans="1:17" x14ac:dyDescent="0.35">
      <c r="A39" s="10"/>
      <c r="Q39" s="10"/>
    </row>
    <row r="40" spans="1:17" x14ac:dyDescent="0.35">
      <c r="A40" s="10"/>
      <c r="Q40" s="10"/>
    </row>
    <row r="41" spans="1:17" x14ac:dyDescent="0.35">
      <c r="A41" s="10"/>
      <c r="Q41" s="10"/>
    </row>
    <row r="42" spans="1:17" x14ac:dyDescent="0.35">
      <c r="Q42" s="10"/>
    </row>
    <row r="43" spans="1:17" x14ac:dyDescent="0.35">
      <c r="Q43" s="10"/>
    </row>
    <row r="44" spans="1:17" x14ac:dyDescent="0.35">
      <c r="A44" s="18" t="s">
        <v>80</v>
      </c>
      <c r="B44" s="18"/>
      <c r="Q44" s="10"/>
    </row>
    <row r="45" spans="1:17" x14ac:dyDescent="0.35">
      <c r="A45" s="9" t="s">
        <v>79</v>
      </c>
      <c r="B45" s="9" t="s">
        <v>1</v>
      </c>
      <c r="Q45" s="10"/>
    </row>
    <row r="46" spans="1:17" x14ac:dyDescent="0.35">
      <c r="A46" s="9" t="s">
        <v>66</v>
      </c>
      <c r="B46" t="s">
        <v>38</v>
      </c>
      <c r="C46" t="s">
        <v>31</v>
      </c>
      <c r="Q46" s="10"/>
    </row>
    <row r="47" spans="1:17" x14ac:dyDescent="0.35">
      <c r="A47" s="10" t="s">
        <v>60</v>
      </c>
      <c r="B47">
        <v>256</v>
      </c>
      <c r="C47">
        <v>25</v>
      </c>
      <c r="Q47" s="10"/>
    </row>
    <row r="48" spans="1:17" x14ac:dyDescent="0.35">
      <c r="A48" s="10" t="s">
        <v>59</v>
      </c>
      <c r="B48">
        <v>586</v>
      </c>
      <c r="C48">
        <v>163</v>
      </c>
      <c r="Q48" s="10"/>
    </row>
    <row r="49" spans="1:17" x14ac:dyDescent="0.35">
      <c r="A49" s="10" t="s">
        <v>61</v>
      </c>
      <c r="B49">
        <v>391</v>
      </c>
      <c r="C49">
        <v>49</v>
      </c>
      <c r="Q49" s="10"/>
    </row>
    <row r="50" spans="1:17" x14ac:dyDescent="0.35">
      <c r="Q50" s="10"/>
    </row>
    <row r="51" spans="1:17" x14ac:dyDescent="0.35">
      <c r="Q51" s="10"/>
    </row>
    <row r="55" spans="1:17" x14ac:dyDescent="0.35">
      <c r="A55" s="18" t="s">
        <v>81</v>
      </c>
      <c r="B55" s="18"/>
    </row>
    <row r="56" spans="1:17" x14ac:dyDescent="0.35">
      <c r="A56" s="9" t="s">
        <v>79</v>
      </c>
      <c r="B56" s="9" t="s">
        <v>1</v>
      </c>
    </row>
    <row r="57" spans="1:17" x14ac:dyDescent="0.35">
      <c r="A57" s="9" t="s">
        <v>83</v>
      </c>
      <c r="B57" t="s">
        <v>38</v>
      </c>
      <c r="C57" t="s">
        <v>31</v>
      </c>
    </row>
    <row r="58" spans="1:17" x14ac:dyDescent="0.35">
      <c r="A58" s="10" t="s">
        <v>62</v>
      </c>
      <c r="B58">
        <v>407</v>
      </c>
      <c r="C58">
        <v>52</v>
      </c>
    </row>
    <row r="59" spans="1:17" x14ac:dyDescent="0.35">
      <c r="A59" s="10" t="s">
        <v>60</v>
      </c>
      <c r="B59">
        <v>369</v>
      </c>
      <c r="C59">
        <v>73</v>
      </c>
    </row>
    <row r="60" spans="1:17" x14ac:dyDescent="0.35">
      <c r="A60" s="10" t="s">
        <v>59</v>
      </c>
      <c r="B60">
        <v>223</v>
      </c>
      <c r="C60">
        <v>66</v>
      </c>
    </row>
    <row r="61" spans="1:17" x14ac:dyDescent="0.35">
      <c r="A61" s="10" t="s">
        <v>61</v>
      </c>
      <c r="B61">
        <v>234</v>
      </c>
      <c r="C61">
        <v>46</v>
      </c>
    </row>
    <row r="67" spans="1:4" x14ac:dyDescent="0.35">
      <c r="A67" s="18" t="s">
        <v>82</v>
      </c>
      <c r="B67" s="18"/>
    </row>
    <row r="68" spans="1:4" x14ac:dyDescent="0.35">
      <c r="A68" s="9" t="s">
        <v>79</v>
      </c>
      <c r="B68" s="9" t="s">
        <v>1</v>
      </c>
    </row>
    <row r="69" spans="1:4" x14ac:dyDescent="0.35">
      <c r="A69" s="9" t="s">
        <v>66</v>
      </c>
      <c r="B69" t="s">
        <v>38</v>
      </c>
      <c r="C69" t="s">
        <v>31</v>
      </c>
    </row>
    <row r="70" spans="1:4" x14ac:dyDescent="0.35">
      <c r="A70" s="10">
        <v>1</v>
      </c>
      <c r="B70">
        <v>55</v>
      </c>
      <c r="C70">
        <v>25</v>
      </c>
    </row>
    <row r="71" spans="1:4" x14ac:dyDescent="0.35">
      <c r="A71" s="10">
        <v>2</v>
      </c>
      <c r="B71">
        <v>286</v>
      </c>
      <c r="C71">
        <v>58</v>
      </c>
    </row>
    <row r="72" spans="1:4" x14ac:dyDescent="0.35">
      <c r="A72" s="10">
        <v>3</v>
      </c>
      <c r="B72">
        <v>766</v>
      </c>
      <c r="C72">
        <v>127</v>
      </c>
    </row>
    <row r="73" spans="1:4" x14ac:dyDescent="0.35">
      <c r="A73" s="10">
        <v>4</v>
      </c>
      <c r="B73">
        <v>126</v>
      </c>
      <c r="C73">
        <v>27</v>
      </c>
    </row>
    <row r="78" spans="1:4" x14ac:dyDescent="0.35">
      <c r="A78" s="18" t="s">
        <v>86</v>
      </c>
      <c r="B78" s="18"/>
      <c r="C78" s="18"/>
    </row>
    <row r="79" spans="1:4" x14ac:dyDescent="0.35">
      <c r="A79" s="12" t="s">
        <v>79</v>
      </c>
      <c r="B79" s="12" t="s">
        <v>4</v>
      </c>
      <c r="C79" s="12"/>
      <c r="D79" s="12"/>
    </row>
    <row r="80" spans="1:4" x14ac:dyDescent="0.35">
      <c r="A80" s="11" t="s">
        <v>85</v>
      </c>
      <c r="B80" s="11" t="s">
        <v>56</v>
      </c>
      <c r="C80" s="11" t="s">
        <v>40</v>
      </c>
      <c r="D80" s="11" t="s">
        <v>33</v>
      </c>
    </row>
    <row r="81" spans="1:4" x14ac:dyDescent="0.35">
      <c r="A81" s="10" t="s">
        <v>49</v>
      </c>
      <c r="C81">
        <v>131</v>
      </c>
    </row>
    <row r="82" spans="1:4" x14ac:dyDescent="0.35">
      <c r="A82" s="10" t="s">
        <v>56</v>
      </c>
      <c r="B82">
        <v>52</v>
      </c>
    </row>
    <row r="83" spans="1:4" x14ac:dyDescent="0.35">
      <c r="A83" s="10" t="s">
        <v>45</v>
      </c>
      <c r="C83">
        <v>259</v>
      </c>
    </row>
    <row r="84" spans="1:4" x14ac:dyDescent="0.35">
      <c r="A84" s="10" t="s">
        <v>51</v>
      </c>
      <c r="B84">
        <v>11</v>
      </c>
      <c r="C84">
        <v>54</v>
      </c>
      <c r="D84">
        <v>37</v>
      </c>
    </row>
    <row r="85" spans="1:4" x14ac:dyDescent="0.35">
      <c r="A85" s="10" t="s">
        <v>48</v>
      </c>
      <c r="C85">
        <v>145</v>
      </c>
    </row>
    <row r="86" spans="1:4" x14ac:dyDescent="0.35">
      <c r="A86" s="10" t="s">
        <v>53</v>
      </c>
      <c r="C86">
        <v>80</v>
      </c>
    </row>
    <row r="87" spans="1:4" x14ac:dyDescent="0.35">
      <c r="A87" s="10" t="s">
        <v>42</v>
      </c>
      <c r="C87">
        <v>292</v>
      </c>
    </row>
    <row r="88" spans="1:4" x14ac:dyDescent="0.35">
      <c r="A88" s="10" t="s">
        <v>36</v>
      </c>
      <c r="D88">
        <v>326</v>
      </c>
    </row>
    <row r="89" spans="1:4" x14ac:dyDescent="0.35">
      <c r="A89" s="10" t="s">
        <v>52</v>
      </c>
      <c r="D89">
        <v>83</v>
      </c>
    </row>
    <row r="96" spans="1:4" x14ac:dyDescent="0.35">
      <c r="A96" s="18"/>
      <c r="B96" s="18"/>
    </row>
    <row r="97" spans="1:3" x14ac:dyDescent="0.35">
      <c r="A97" s="14" t="s">
        <v>27</v>
      </c>
      <c r="B97" s="14" t="s">
        <v>87</v>
      </c>
    </row>
    <row r="98" spans="1:3" x14ac:dyDescent="0.35">
      <c r="A98">
        <v>0</v>
      </c>
      <c r="B98">
        <v>180994</v>
      </c>
      <c r="C98" s="10"/>
    </row>
    <row r="99" spans="1:3" x14ac:dyDescent="0.35">
      <c r="A99">
        <v>1</v>
      </c>
      <c r="B99">
        <v>800503</v>
      </c>
      <c r="C99" s="10"/>
    </row>
    <row r="100" spans="1:3" x14ac:dyDescent="0.35">
      <c r="A100">
        <v>2</v>
      </c>
      <c r="B100">
        <v>629096</v>
      </c>
      <c r="C100" s="10"/>
    </row>
    <row r="101" spans="1:3" x14ac:dyDescent="0.35">
      <c r="A101">
        <v>3</v>
      </c>
      <c r="B101">
        <v>650112</v>
      </c>
      <c r="C101" s="10"/>
    </row>
    <row r="102" spans="1:3" x14ac:dyDescent="0.35">
      <c r="A102">
        <v>4</v>
      </c>
      <c r="B102">
        <v>562086</v>
      </c>
      <c r="C102" s="10"/>
    </row>
    <row r="103" spans="1:3" x14ac:dyDescent="0.35">
      <c r="A103">
        <v>5</v>
      </c>
      <c r="B103">
        <v>1116165</v>
      </c>
      <c r="C103" s="10"/>
    </row>
    <row r="104" spans="1:3" x14ac:dyDescent="0.35">
      <c r="A104">
        <v>6</v>
      </c>
      <c r="B104">
        <v>419828</v>
      </c>
      <c r="C104" s="10"/>
    </row>
    <row r="105" spans="1:3" x14ac:dyDescent="0.35">
      <c r="A105">
        <v>7</v>
      </c>
      <c r="B105">
        <v>607079</v>
      </c>
      <c r="C105" s="10"/>
    </row>
    <row r="106" spans="1:3" x14ac:dyDescent="0.35">
      <c r="A106">
        <v>8</v>
      </c>
      <c r="B106">
        <v>513210</v>
      </c>
      <c r="C106" s="10"/>
    </row>
    <row r="107" spans="1:3" x14ac:dyDescent="0.35">
      <c r="A107">
        <v>9</v>
      </c>
      <c r="B107">
        <v>590613</v>
      </c>
      <c r="C107" s="10"/>
    </row>
    <row r="108" spans="1:3" x14ac:dyDescent="0.35">
      <c r="A108">
        <v>10</v>
      </c>
      <c r="B108">
        <v>811452</v>
      </c>
      <c r="C108" s="10"/>
    </row>
    <row r="109" spans="1:3" x14ac:dyDescent="0.35">
      <c r="A109">
        <v>11</v>
      </c>
      <c r="B109">
        <v>205943</v>
      </c>
      <c r="C109" s="10"/>
    </row>
    <row r="110" spans="1:3" x14ac:dyDescent="0.35">
      <c r="A110">
        <v>12</v>
      </c>
      <c r="B110">
        <v>121452</v>
      </c>
      <c r="C110" s="10"/>
    </row>
    <row r="111" spans="1:3" x14ac:dyDescent="0.35">
      <c r="A111">
        <v>13</v>
      </c>
      <c r="B111">
        <v>192400</v>
      </c>
      <c r="C111" s="10"/>
    </row>
    <row r="112" spans="1:3" x14ac:dyDescent="0.35">
      <c r="A112">
        <v>14</v>
      </c>
      <c r="B112">
        <v>176073</v>
      </c>
      <c r="C112" s="10"/>
    </row>
    <row r="113" spans="1:3" x14ac:dyDescent="0.35">
      <c r="A113">
        <v>15</v>
      </c>
      <c r="B113">
        <v>138844</v>
      </c>
      <c r="C113" s="10"/>
    </row>
    <row r="114" spans="1:3" x14ac:dyDescent="0.35">
      <c r="A114">
        <v>16</v>
      </c>
      <c r="B114">
        <v>115472</v>
      </c>
      <c r="C114" s="10"/>
    </row>
    <row r="115" spans="1:3" x14ac:dyDescent="0.35">
      <c r="A115">
        <v>17</v>
      </c>
      <c r="B115">
        <v>74182</v>
      </c>
      <c r="C115" s="10"/>
    </row>
    <row r="116" spans="1:3" x14ac:dyDescent="0.35">
      <c r="A116">
        <v>18</v>
      </c>
      <c r="B116">
        <v>135980</v>
      </c>
      <c r="C116" s="10"/>
    </row>
    <row r="117" spans="1:3" x14ac:dyDescent="0.35">
      <c r="A117">
        <v>19</v>
      </c>
      <c r="B117">
        <v>133299</v>
      </c>
      <c r="C117" s="10"/>
    </row>
    <row r="118" spans="1:3" x14ac:dyDescent="0.35">
      <c r="A118">
        <v>20</v>
      </c>
      <c r="B118">
        <v>328000</v>
      </c>
      <c r="C118" s="10"/>
    </row>
    <row r="119" spans="1:3" x14ac:dyDescent="0.35">
      <c r="A119">
        <v>21</v>
      </c>
      <c r="B119">
        <v>222309</v>
      </c>
      <c r="C119" s="10"/>
    </row>
    <row r="120" spans="1:3" x14ac:dyDescent="0.35">
      <c r="A120">
        <v>22</v>
      </c>
      <c r="B120">
        <v>242928</v>
      </c>
      <c r="C120" s="10"/>
    </row>
    <row r="121" spans="1:3" x14ac:dyDescent="0.35">
      <c r="A121">
        <v>23</v>
      </c>
      <c r="B121">
        <v>23684</v>
      </c>
      <c r="C121" s="10"/>
    </row>
    <row r="122" spans="1:3" x14ac:dyDescent="0.35">
      <c r="A122">
        <v>24</v>
      </c>
      <c r="B122">
        <v>90841</v>
      </c>
      <c r="C122" s="10"/>
    </row>
    <row r="123" spans="1:3" x14ac:dyDescent="0.35">
      <c r="A123">
        <v>25</v>
      </c>
      <c r="B123">
        <v>65912</v>
      </c>
      <c r="C123" s="10"/>
    </row>
    <row r="124" spans="1:3" x14ac:dyDescent="0.35">
      <c r="A124">
        <v>26</v>
      </c>
      <c r="B124">
        <v>58770</v>
      </c>
      <c r="C124" s="10"/>
    </row>
    <row r="125" spans="1:3" x14ac:dyDescent="0.35">
      <c r="A125">
        <v>27</v>
      </c>
      <c r="B125">
        <v>35786</v>
      </c>
      <c r="C125" s="10"/>
    </row>
    <row r="126" spans="1:3" x14ac:dyDescent="0.35">
      <c r="A126">
        <v>29</v>
      </c>
      <c r="B126">
        <v>39413</v>
      </c>
      <c r="C126" s="10"/>
    </row>
    <row r="127" spans="1:3" x14ac:dyDescent="0.35">
      <c r="A127">
        <v>30</v>
      </c>
      <c r="B127">
        <v>11245</v>
      </c>
      <c r="C127" s="10"/>
    </row>
    <row r="128" spans="1:3" x14ac:dyDescent="0.35">
      <c r="A128">
        <v>31</v>
      </c>
      <c r="B128">
        <v>56672</v>
      </c>
      <c r="C128" s="10"/>
    </row>
    <row r="129" spans="1:3" x14ac:dyDescent="0.35">
      <c r="A129">
        <v>32</v>
      </c>
      <c r="B129">
        <v>52456</v>
      </c>
      <c r="C129" s="10"/>
    </row>
    <row r="130" spans="1:3" x14ac:dyDescent="0.35">
      <c r="A130">
        <v>33</v>
      </c>
      <c r="B130">
        <v>76839</v>
      </c>
      <c r="C130" s="10"/>
    </row>
    <row r="131" spans="1:3" x14ac:dyDescent="0.35">
      <c r="A131">
        <v>34</v>
      </c>
      <c r="B131">
        <v>16856</v>
      </c>
      <c r="C131" s="10"/>
    </row>
    <row r="132" spans="1:3" x14ac:dyDescent="0.35">
      <c r="A132">
        <v>36</v>
      </c>
      <c r="B132">
        <v>38631</v>
      </c>
      <c r="C132" s="10"/>
    </row>
    <row r="133" spans="1:3" x14ac:dyDescent="0.35">
      <c r="A133">
        <v>37</v>
      </c>
      <c r="B133">
        <v>13872</v>
      </c>
      <c r="C133" s="10"/>
    </row>
    <row r="134" spans="1:3" x14ac:dyDescent="0.35">
      <c r="A134">
        <v>40</v>
      </c>
      <c r="B134">
        <v>10312</v>
      </c>
      <c r="C134" s="10"/>
    </row>
  </sheetData>
  <mergeCells count="9">
    <mergeCell ref="A1:B2"/>
    <mergeCell ref="A96:B96"/>
    <mergeCell ref="A78:C78"/>
    <mergeCell ref="A10:B10"/>
    <mergeCell ref="A21:B21"/>
    <mergeCell ref="A31:B31"/>
    <mergeCell ref="A44:B44"/>
    <mergeCell ref="A55:B55"/>
    <mergeCell ref="A67:B67"/>
  </mergeCells>
  <conditionalFormatting sqref="A79:D89">
    <cfRule type="colorScale" priority="1">
      <colorScale>
        <cfvo type="min"/>
        <cfvo type="percentile" val="50"/>
        <cfvo type="max"/>
        <color rgb="FF63BE7B"/>
        <color rgb="FFFFEB84"/>
        <color rgb="FFF8696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150E-2514-4BDA-92D6-082B0830E99C}">
  <dimension ref="X46:AA54"/>
  <sheetViews>
    <sheetView showGridLines="0" showRowColHeaders="0" tabSelected="1" topLeftCell="I22" zoomScale="73" zoomScaleNormal="80" workbookViewId="0">
      <selection activeCell="AH33" sqref="AH33"/>
    </sheetView>
  </sheetViews>
  <sheetFormatPr defaultRowHeight="14.5" x14ac:dyDescent="0.35"/>
  <sheetData>
    <row r="46" spans="24:26" x14ac:dyDescent="0.35">
      <c r="X46" s="10" t="s">
        <v>49</v>
      </c>
      <c r="Z46">
        <v>131</v>
      </c>
    </row>
    <row r="47" spans="24:26" x14ac:dyDescent="0.35">
      <c r="X47" s="10" t="s">
        <v>56</v>
      </c>
      <c r="Y47">
        <v>52</v>
      </c>
    </row>
    <row r="48" spans="24:26" x14ac:dyDescent="0.35">
      <c r="X48" s="10" t="s">
        <v>45</v>
      </c>
      <c r="Z48">
        <v>259</v>
      </c>
    </row>
    <row r="49" spans="24:27" x14ac:dyDescent="0.35">
      <c r="X49" s="10" t="s">
        <v>51</v>
      </c>
      <c r="Y49">
        <v>11</v>
      </c>
      <c r="Z49">
        <v>54</v>
      </c>
      <c r="AA49">
        <v>37</v>
      </c>
    </row>
    <row r="50" spans="24:27" x14ac:dyDescent="0.35">
      <c r="X50" s="10" t="s">
        <v>48</v>
      </c>
      <c r="Z50">
        <v>145</v>
      </c>
    </row>
    <row r="51" spans="24:27" x14ac:dyDescent="0.35">
      <c r="X51" s="10" t="s">
        <v>53</v>
      </c>
      <c r="Z51">
        <v>80</v>
      </c>
    </row>
    <row r="52" spans="24:27" x14ac:dyDescent="0.35">
      <c r="X52" s="10" t="s">
        <v>42</v>
      </c>
      <c r="Z52">
        <v>292</v>
      </c>
    </row>
    <row r="53" spans="24:27" x14ac:dyDescent="0.35">
      <c r="X53" s="10" t="s">
        <v>36</v>
      </c>
      <c r="AA53">
        <v>326</v>
      </c>
    </row>
    <row r="54" spans="24:27" x14ac:dyDescent="0.35">
      <c r="X54" s="10" t="s">
        <v>52</v>
      </c>
      <c r="AA54">
        <v>83</v>
      </c>
    </row>
  </sheetData>
  <conditionalFormatting sqref="X46:AA54">
    <cfRule type="colorScale" priority="1">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E9CBCC-B23E-4D68-B5E5-85A5C801D2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HR-Employee-Attrition</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Narasimha Yadav</dc:creator>
  <cp:lastModifiedBy>ARIBOINA MOKSHAGNA YADAV</cp:lastModifiedBy>
  <dcterms:created xsi:type="dcterms:W3CDTF">2026-06-02T09:12:56Z</dcterms:created>
  <dcterms:modified xsi:type="dcterms:W3CDTF">2026-06-24T08:02:23Z</dcterms:modified>
</cp:coreProperties>
</file>